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Documents\rizi-engine\!work docs\"/>
    </mc:Choice>
  </mc:AlternateContent>
  <xr:revisionPtr revIDLastSave="0" documentId="13_ncr:1_{CF2A68A9-0255-4CE9-9DEA-449BF217B538}" xr6:coauthVersionLast="47" xr6:coauthVersionMax="47" xr10:uidLastSave="{00000000-0000-0000-0000-000000000000}"/>
  <bookViews>
    <workbookView xWindow="-120" yWindow="-120" windowWidth="29040" windowHeight="16440" tabRatio="793" activeTab="13" xr2:uid="{B99E2268-57BC-43F1-BB3A-66DEED2AA345}"/>
  </bookViews>
  <sheets>
    <sheet name="Pokédex" sheetId="5" r:id="rId1"/>
    <sheet name="Evolution" sheetId="13" r:id="rId2"/>
    <sheet name="Learnset" sheetId="14" r:id="rId3"/>
    <sheet name="Boss Fights" sheetId="11" r:id="rId4"/>
    <sheet name="Trainer Fights" sheetId="10" state="hidden" r:id="rId5"/>
    <sheet name="Encounters" sheetId="9" r:id="rId6"/>
    <sheet name="Moves" sheetId="7" r:id="rId7"/>
    <sheet name="Items" sheetId="12" r:id="rId8"/>
    <sheet name="Abilities" sheetId="18" r:id="rId9"/>
    <sheet name="TMs" sheetId="8" r:id="rId10"/>
    <sheet name="Other" sheetId="19" r:id="rId11"/>
    <sheet name="Type Chart" sheetId="6" r:id="rId12"/>
    <sheet name="IP" sheetId="17" r:id="rId13"/>
    <sheet name="Changed" sheetId="4" r:id="rId14"/>
    <sheet name="Base" sheetId="3" r:id="rId15"/>
  </sheets>
  <definedNames>
    <definedName name="_xlnm._FilterDatabase" localSheetId="13" hidden="1">Changed!$A$1:$M$591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74" i="4" l="1"/>
  <c r="G571" i="4"/>
  <c r="G572" i="4"/>
  <c r="G573" i="4"/>
  <c r="G575" i="4"/>
  <c r="G576" i="4"/>
  <c r="G577" i="4"/>
  <c r="G578" i="4"/>
  <c r="G579" i="4"/>
  <c r="G580" i="4"/>
  <c r="G582" i="4"/>
  <c r="G583" i="4"/>
  <c r="G584" i="4"/>
  <c r="G585" i="4"/>
  <c r="G586" i="4"/>
  <c r="G587" i="4"/>
  <c r="G588" i="4"/>
  <c r="G589" i="4"/>
  <c r="G590" i="4"/>
  <c r="G591" i="4"/>
  <c r="G592" i="4"/>
  <c r="G593" i="4"/>
  <c r="G594" i="4"/>
  <c r="G554" i="4"/>
  <c r="G555" i="4"/>
  <c r="G556" i="4"/>
  <c r="G551" i="4"/>
  <c r="G545" i="4"/>
  <c r="G533" i="4"/>
  <c r="G534" i="4"/>
  <c r="G535" i="4"/>
  <c r="G536" i="4"/>
  <c r="G542" i="4"/>
  <c r="G527" i="4"/>
  <c r="D370" i="5"/>
  <c r="K169" i="5" a="1"/>
  <c r="K169" i="5" s="1"/>
  <c r="I51" i="5" a="1"/>
  <c r="I51" i="5" s="1"/>
  <c r="J51" i="5" a="1"/>
  <c r="J51" i="5" s="1"/>
  <c r="F19" i="5"/>
  <c r="F452" i="5"/>
  <c r="C186" i="5"/>
  <c r="E46" i="5"/>
  <c r="E47" i="5"/>
  <c r="E48" i="5"/>
  <c r="E49" i="5"/>
  <c r="J105" i="5" a="1"/>
  <c r="J105" i="5" s="1"/>
  <c r="F202" i="5"/>
  <c r="F201" i="5"/>
  <c r="E576" i="5"/>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3" i="5" s="1" a="1"/>
  <c r="G523" i="5" s="1"/>
  <c r="G524" i="4"/>
  <c r="G525" i="4"/>
  <c r="G526" i="4"/>
  <c r="G528" i="4"/>
  <c r="G529" i="4"/>
  <c r="G530" i="4"/>
  <c r="G531" i="4"/>
  <c r="G532" i="4"/>
  <c r="G537" i="4"/>
  <c r="G538" i="4"/>
  <c r="G539" i="4"/>
  <c r="G540" i="4"/>
  <c r="G541" i="4"/>
  <c r="G543" i="4"/>
  <c r="G544" i="4"/>
  <c r="G546" i="4"/>
  <c r="G547" i="4"/>
  <c r="G548" i="4"/>
  <c r="G549" i="4"/>
  <c r="G550" i="4"/>
  <c r="G552" i="4"/>
  <c r="G553" i="4"/>
  <c r="G557" i="4"/>
  <c r="G558" i="4"/>
  <c r="G559" i="4"/>
  <c r="G560" i="4"/>
  <c r="G561" i="4"/>
  <c r="G562" i="4"/>
  <c r="G563" i="4"/>
  <c r="G564" i="4"/>
  <c r="G565" i="4"/>
  <c r="G566" i="4"/>
  <c r="G567" i="4"/>
  <c r="G568" i="4"/>
  <c r="G569" i="4"/>
  <c r="G570" i="4"/>
  <c r="G245" i="3"/>
  <c r="G244" i="3"/>
  <c r="G529" i="3"/>
  <c r="G573" i="3"/>
  <c r="G537" i="3"/>
  <c r="G574" i="3"/>
  <c r="G575" i="3"/>
  <c r="G576" i="3"/>
  <c r="G535"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6" i="3"/>
  <c r="G534" i="3"/>
  <c r="G533" i="3"/>
  <c r="G532" i="3"/>
  <c r="G531" i="3"/>
  <c r="G530" i="3"/>
  <c r="G528" i="3"/>
  <c r="G527" i="3"/>
  <c r="G526" i="3"/>
  <c r="G525" i="3"/>
  <c r="G524" i="3"/>
  <c r="G523" i="3"/>
  <c r="F188" i="5"/>
  <c r="E100" i="5"/>
  <c r="F87" i="5"/>
  <c r="C320" i="13"/>
  <c r="E320" i="13"/>
  <c r="C317" i="13"/>
  <c r="E317" i="13"/>
  <c r="E314" i="13"/>
  <c r="C314" i="13"/>
  <c r="C311" i="13"/>
  <c r="G311" i="13"/>
  <c r="E311" i="13"/>
  <c r="E308" i="13"/>
  <c r="C308" i="13"/>
  <c r="G305" i="13"/>
  <c r="E305" i="13"/>
  <c r="C305" i="13"/>
  <c r="G302" i="13"/>
  <c r="E302" i="13"/>
  <c r="C302" i="13"/>
  <c r="E299" i="13"/>
  <c r="G296" i="13"/>
  <c r="E296" i="13"/>
  <c r="C293" i="13"/>
  <c r="E293" i="13"/>
  <c r="C290" i="13"/>
  <c r="E290" i="13"/>
  <c r="C296" i="13"/>
  <c r="C299" i="13"/>
  <c r="E287" i="13"/>
  <c r="C287" i="13"/>
  <c r="E284" i="13"/>
  <c r="C284" i="13"/>
  <c r="E281" i="13"/>
  <c r="G275" i="13"/>
  <c r="G278" i="13"/>
  <c r="E275" i="13"/>
  <c r="E278" i="13"/>
  <c r="C281" i="13"/>
  <c r="C275" i="13"/>
  <c r="C278" i="13"/>
  <c r="G272" i="13"/>
  <c r="E272" i="13"/>
  <c r="C272" i="13"/>
  <c r="C266" i="13"/>
  <c r="C269" i="13"/>
  <c r="G263" i="13"/>
  <c r="E263" i="13"/>
  <c r="C263" i="13"/>
  <c r="E242" i="13"/>
  <c r="C242" i="13"/>
  <c r="E239" i="13"/>
  <c r="C239" i="13"/>
  <c r="G236" i="13"/>
  <c r="E236" i="13"/>
  <c r="C236" i="13"/>
  <c r="E218" i="13"/>
  <c r="E233" i="13"/>
  <c r="E230" i="13"/>
  <c r="E227" i="13"/>
  <c r="E224" i="13"/>
  <c r="E221" i="13"/>
  <c r="E215" i="13"/>
  <c r="C215" i="13"/>
  <c r="C212" i="13"/>
  <c r="C209" i="13"/>
  <c r="E206" i="13"/>
  <c r="C206" i="13"/>
  <c r="C203" i="13"/>
  <c r="C200" i="13"/>
  <c r="G197" i="13"/>
  <c r="E197" i="13"/>
  <c r="C197" i="13"/>
  <c r="G194" i="13"/>
  <c r="E194" i="13"/>
  <c r="C194" i="13"/>
  <c r="E191" i="13"/>
  <c r="C191" i="13"/>
  <c r="F41" i="5" l="1"/>
  <c r="F42" i="5"/>
  <c r="F43" i="5"/>
  <c r="F44" i="5"/>
  <c r="F45" i="5"/>
  <c r="F46" i="5"/>
  <c r="F47" i="5"/>
  <c r="F48" i="5"/>
  <c r="F49" i="5"/>
  <c r="F50" i="5"/>
  <c r="F51" i="5"/>
  <c r="D160" i="13"/>
  <c r="D157" i="13"/>
  <c r="E158" i="13"/>
  <c r="C158" i="13"/>
  <c r="E155" i="13"/>
  <c r="C155" i="13"/>
  <c r="I109" i="13"/>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E575"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C536" i="5"/>
  <c r="D536" i="5"/>
  <c r="C537" i="5"/>
  <c r="D537" i="5"/>
  <c r="C538" i="5"/>
  <c r="D538" i="5"/>
  <c r="C539" i="5"/>
  <c r="D539" i="5"/>
  <c r="C540" i="5"/>
  <c r="D540" i="5"/>
  <c r="C541" i="5"/>
  <c r="D541" i="5"/>
  <c r="C542" i="5"/>
  <c r="D542" i="5"/>
  <c r="C543" i="5"/>
  <c r="D543" i="5"/>
  <c r="C544" i="5"/>
  <c r="D544" i="5"/>
  <c r="C545" i="5"/>
  <c r="D545" i="5"/>
  <c r="C546" i="5"/>
  <c r="D546" i="5"/>
  <c r="C547" i="5"/>
  <c r="D547" i="5"/>
  <c r="C548" i="5"/>
  <c r="D548" i="5"/>
  <c r="C549" i="5"/>
  <c r="D549" i="5"/>
  <c r="C550" i="5"/>
  <c r="D550" i="5"/>
  <c r="C551" i="5"/>
  <c r="D551" i="5"/>
  <c r="C552" i="5"/>
  <c r="D552" i="5"/>
  <c r="C553" i="5"/>
  <c r="D553" i="5"/>
  <c r="C554" i="5"/>
  <c r="D554" i="5"/>
  <c r="C555" i="5"/>
  <c r="D555" i="5"/>
  <c r="C556" i="5"/>
  <c r="D556" i="5"/>
  <c r="C557" i="5"/>
  <c r="D557" i="5"/>
  <c r="C558" i="5"/>
  <c r="D558" i="5"/>
  <c r="C559" i="5"/>
  <c r="D559" i="5"/>
  <c r="C560" i="5"/>
  <c r="D560" i="5"/>
  <c r="C561" i="5"/>
  <c r="D561" i="5"/>
  <c r="C562" i="5"/>
  <c r="D562" i="5"/>
  <c r="C563" i="5"/>
  <c r="D563" i="5"/>
  <c r="C564" i="5"/>
  <c r="D564" i="5"/>
  <c r="C565" i="5"/>
  <c r="D565" i="5"/>
  <c r="C566" i="5"/>
  <c r="D566" i="5"/>
  <c r="C567" i="5"/>
  <c r="D567" i="5"/>
  <c r="C568" i="5"/>
  <c r="D568" i="5"/>
  <c r="C569" i="5"/>
  <c r="D569" i="5"/>
  <c r="C570" i="5"/>
  <c r="D570" i="5"/>
  <c r="C571" i="5"/>
  <c r="D571" i="5"/>
  <c r="C572" i="5"/>
  <c r="D572" i="5"/>
  <c r="C573" i="5"/>
  <c r="D573" i="5"/>
  <c r="C574" i="5"/>
  <c r="D574" i="5"/>
  <c r="C575" i="5"/>
  <c r="D575" i="5"/>
  <c r="C576" i="5"/>
  <c r="D576" i="5"/>
  <c r="C577" i="5"/>
  <c r="D577" i="5"/>
  <c r="C578" i="5"/>
  <c r="D578" i="5"/>
  <c r="C579" i="5"/>
  <c r="D579" i="5"/>
  <c r="C580" i="5"/>
  <c r="D580" i="5"/>
  <c r="C581" i="5"/>
  <c r="D581" i="5"/>
  <c r="C582" i="5"/>
  <c r="D582" i="5"/>
  <c r="C583" i="5"/>
  <c r="D583" i="5"/>
  <c r="C584" i="5"/>
  <c r="D584" i="5"/>
  <c r="C585" i="5"/>
  <c r="D585" i="5"/>
  <c r="C586" i="5"/>
  <c r="D586" i="5"/>
  <c r="C587" i="5"/>
  <c r="D587" i="5"/>
  <c r="C588" i="5"/>
  <c r="D588" i="5"/>
  <c r="C589" i="5"/>
  <c r="D589" i="5"/>
  <c r="C590" i="5"/>
  <c r="D590" i="5"/>
  <c r="C591" i="5"/>
  <c r="D591" i="5"/>
  <c r="C592" i="5"/>
  <c r="D592" i="5"/>
  <c r="C593" i="5"/>
  <c r="D593" i="5"/>
  <c r="C594" i="5"/>
  <c r="D594" i="5"/>
  <c r="C595" i="5"/>
  <c r="D595" i="5"/>
  <c r="C596" i="5"/>
  <c r="D596" i="5"/>
  <c r="C597" i="5"/>
  <c r="D597" i="5"/>
  <c r="C598" i="5"/>
  <c r="D598" i="5"/>
  <c r="C599" i="5"/>
  <c r="D599" i="5"/>
  <c r="C600" i="5"/>
  <c r="D600" i="5"/>
  <c r="C601" i="5"/>
  <c r="D601" i="5"/>
  <c r="C602" i="5"/>
  <c r="D602" i="5"/>
  <c r="C603" i="5"/>
  <c r="D603" i="5"/>
  <c r="C604" i="5"/>
  <c r="D604" i="5"/>
  <c r="C605" i="5"/>
  <c r="D605" i="5"/>
  <c r="C606" i="5"/>
  <c r="D606" i="5"/>
  <c r="C607" i="5"/>
  <c r="D607" i="5"/>
  <c r="C608" i="5"/>
  <c r="D608" i="5"/>
  <c r="C609" i="5"/>
  <c r="D609" i="5"/>
  <c r="C610" i="5"/>
  <c r="D610" i="5"/>
  <c r="C611" i="5"/>
  <c r="D611" i="5"/>
  <c r="C612" i="5"/>
  <c r="D612" i="5"/>
  <c r="C613" i="5"/>
  <c r="D613" i="5"/>
  <c r="C614" i="5"/>
  <c r="D614" i="5"/>
  <c r="C615" i="5"/>
  <c r="D615" i="5"/>
  <c r="C616" i="5"/>
  <c r="D616" i="5"/>
  <c r="C617" i="5"/>
  <c r="D617" i="5"/>
  <c r="C618" i="5"/>
  <c r="D618" i="5"/>
  <c r="C619" i="5"/>
  <c r="D619" i="5"/>
  <c r="C620" i="5"/>
  <c r="D620" i="5"/>
  <c r="C621" i="5"/>
  <c r="D621" i="5"/>
  <c r="C622" i="5"/>
  <c r="D622" i="5"/>
  <c r="C623" i="5"/>
  <c r="D623" i="5"/>
  <c r="C624" i="5"/>
  <c r="D624" i="5"/>
  <c r="C625" i="5"/>
  <c r="D625" i="5"/>
  <c r="C626" i="5"/>
  <c r="D626" i="5"/>
  <c r="C627" i="5"/>
  <c r="D627" i="5"/>
  <c r="C628" i="5"/>
  <c r="D628" i="5"/>
  <c r="C629" i="5"/>
  <c r="D629" i="5"/>
  <c r="C630" i="5"/>
  <c r="D630" i="5"/>
  <c r="C631" i="5"/>
  <c r="D631" i="5"/>
  <c r="C632" i="5"/>
  <c r="D632" i="5"/>
  <c r="C633" i="5"/>
  <c r="D633" i="5"/>
  <c r="C634" i="5"/>
  <c r="D634" i="5"/>
  <c r="C635" i="5"/>
  <c r="D635" i="5"/>
  <c r="C636" i="5"/>
  <c r="D636" i="5"/>
  <c r="C637" i="5"/>
  <c r="D637" i="5"/>
  <c r="C638" i="5"/>
  <c r="D638" i="5"/>
  <c r="C639" i="5"/>
  <c r="D639" i="5"/>
  <c r="C640" i="5"/>
  <c r="D640" i="5"/>
  <c r="C641" i="5"/>
  <c r="D641" i="5"/>
  <c r="C642" i="5"/>
  <c r="D642" i="5"/>
  <c r="C643" i="5"/>
  <c r="D643" i="5"/>
  <c r="C644" i="5"/>
  <c r="D644" i="5"/>
  <c r="C645" i="5"/>
  <c r="D645" i="5"/>
  <c r="C646" i="5"/>
  <c r="D646" i="5"/>
  <c r="C647" i="5"/>
  <c r="D647" i="5"/>
  <c r="C648" i="5"/>
  <c r="D648" i="5"/>
  <c r="C649" i="5"/>
  <c r="D649" i="5"/>
  <c r="C650" i="5"/>
  <c r="D650" i="5"/>
  <c r="C651" i="5"/>
  <c r="D651" i="5"/>
  <c r="C652" i="5"/>
  <c r="D652" i="5"/>
  <c r="C653" i="5"/>
  <c r="D653" i="5"/>
  <c r="C654" i="5"/>
  <c r="D654" i="5"/>
  <c r="C655" i="5"/>
  <c r="D655" i="5"/>
  <c r="C656" i="5"/>
  <c r="D656" i="5"/>
  <c r="C657" i="5"/>
  <c r="D657" i="5"/>
  <c r="C658" i="5"/>
  <c r="D658" i="5"/>
  <c r="C659" i="5"/>
  <c r="D659" i="5"/>
  <c r="C660" i="5"/>
  <c r="D660" i="5"/>
  <c r="C661" i="5"/>
  <c r="D661" i="5"/>
  <c r="C662" i="5"/>
  <c r="D662" i="5"/>
  <c r="C663" i="5"/>
  <c r="D663" i="5"/>
  <c r="C664" i="5"/>
  <c r="D664" i="5"/>
  <c r="C665" i="5"/>
  <c r="D665" i="5"/>
  <c r="C666" i="5"/>
  <c r="D666" i="5"/>
  <c r="C667" i="5"/>
  <c r="D667" i="5"/>
  <c r="C668" i="5"/>
  <c r="D668" i="5"/>
  <c r="C669" i="5"/>
  <c r="D669" i="5"/>
  <c r="C670" i="5"/>
  <c r="D670" i="5"/>
  <c r="C671" i="5"/>
  <c r="D671" i="5"/>
  <c r="C672" i="5"/>
  <c r="D672" i="5"/>
  <c r="C673" i="5"/>
  <c r="D673" i="5"/>
  <c r="C674" i="5"/>
  <c r="D674" i="5"/>
  <c r="C675" i="5"/>
  <c r="D675" i="5"/>
  <c r="C676" i="5"/>
  <c r="D676" i="5"/>
  <c r="C677" i="5"/>
  <c r="D677" i="5"/>
  <c r="C678" i="5"/>
  <c r="D678" i="5"/>
  <c r="C679" i="5"/>
  <c r="D679" i="5"/>
  <c r="C680" i="5"/>
  <c r="D680" i="5"/>
  <c r="C681" i="5"/>
  <c r="D681" i="5"/>
  <c r="C682" i="5"/>
  <c r="D682" i="5"/>
  <c r="C683" i="5"/>
  <c r="D683" i="5"/>
  <c r="C684" i="5"/>
  <c r="D684" i="5"/>
  <c r="C685" i="5"/>
  <c r="D685" i="5"/>
  <c r="C686" i="5"/>
  <c r="D686" i="5"/>
  <c r="C687" i="5"/>
  <c r="D687" i="5"/>
  <c r="C688" i="5"/>
  <c r="D688" i="5"/>
  <c r="C689" i="5"/>
  <c r="D689" i="5"/>
  <c r="C690" i="5"/>
  <c r="D690" i="5"/>
  <c r="C691" i="5"/>
  <c r="D691" i="5"/>
  <c r="C692" i="5"/>
  <c r="D692" i="5"/>
  <c r="C693" i="5"/>
  <c r="D693" i="5"/>
  <c r="C694" i="5"/>
  <c r="D694" i="5"/>
  <c r="C695" i="5"/>
  <c r="D695" i="5"/>
  <c r="C696" i="5"/>
  <c r="D696" i="5"/>
  <c r="C523" i="5"/>
  <c r="D523" i="5"/>
  <c r="C524" i="5"/>
  <c r="D524" i="5"/>
  <c r="C525" i="5"/>
  <c r="D525" i="5"/>
  <c r="C526" i="5"/>
  <c r="D526" i="5"/>
  <c r="C527" i="5"/>
  <c r="D527" i="5"/>
  <c r="C528" i="5"/>
  <c r="D528" i="5"/>
  <c r="C529" i="5"/>
  <c r="D529" i="5"/>
  <c r="C530" i="5"/>
  <c r="D530" i="5"/>
  <c r="C531" i="5"/>
  <c r="D531" i="5"/>
  <c r="C532" i="5"/>
  <c r="D532" i="5"/>
  <c r="C533" i="5"/>
  <c r="D533" i="5"/>
  <c r="C534" i="5"/>
  <c r="D534" i="5"/>
  <c r="C535" i="5"/>
  <c r="D535" i="5"/>
  <c r="E27" i="5"/>
  <c r="E28" i="5"/>
  <c r="F27" i="5"/>
  <c r="F28" i="5"/>
  <c r="F505" i="5"/>
  <c r="C502" i="5"/>
  <c r="F3" i="5"/>
  <c r="F4" i="5"/>
  <c r="F5" i="5"/>
  <c r="F6" i="5"/>
  <c r="F7" i="5"/>
  <c r="F8" i="5"/>
  <c r="F9" i="5"/>
  <c r="F10" i="5"/>
  <c r="F11" i="5"/>
  <c r="F12" i="5"/>
  <c r="F13" i="5"/>
  <c r="F14" i="5"/>
  <c r="F15" i="5"/>
  <c r="F16" i="5"/>
  <c r="F17" i="5"/>
  <c r="F18" i="5"/>
  <c r="F20" i="5"/>
  <c r="F21" i="5"/>
  <c r="F22" i="5"/>
  <c r="F23" i="5"/>
  <c r="F24" i="5"/>
  <c r="F25" i="5"/>
  <c r="F26" i="5"/>
  <c r="F29" i="5"/>
  <c r="F30" i="5"/>
  <c r="F31" i="5"/>
  <c r="F32" i="5"/>
  <c r="F33" i="5"/>
  <c r="F34" i="5"/>
  <c r="F35" i="5"/>
  <c r="F36" i="5"/>
  <c r="F37" i="5"/>
  <c r="F38" i="5"/>
  <c r="F39" i="5"/>
  <c r="F40"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9" i="5"/>
  <c r="F190" i="5"/>
  <c r="F191" i="5"/>
  <c r="F192" i="5"/>
  <c r="F193" i="5"/>
  <c r="F194" i="5"/>
  <c r="F195" i="5"/>
  <c r="F196" i="5"/>
  <c r="F197" i="5"/>
  <c r="F198" i="5"/>
  <c r="F199" i="5"/>
  <c r="F200"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6" i="5"/>
  <c r="F507" i="5"/>
  <c r="F508" i="5"/>
  <c r="F509" i="5"/>
  <c r="F510" i="5"/>
  <c r="F511" i="5"/>
  <c r="F512" i="5"/>
  <c r="F513" i="5"/>
  <c r="F514" i="5"/>
  <c r="F515" i="5"/>
  <c r="F516" i="5"/>
  <c r="F517" i="5"/>
  <c r="F518" i="5"/>
  <c r="F519" i="5"/>
  <c r="F520" i="5"/>
  <c r="F521" i="5"/>
  <c r="E3" i="5"/>
  <c r="E4" i="5"/>
  <c r="E5" i="5"/>
  <c r="E6" i="5"/>
  <c r="E7" i="5"/>
  <c r="E8" i="5"/>
  <c r="E9" i="5"/>
  <c r="E10" i="5"/>
  <c r="E11" i="5"/>
  <c r="E12" i="5"/>
  <c r="E13" i="5"/>
  <c r="E14" i="5"/>
  <c r="E15" i="5"/>
  <c r="E16" i="5"/>
  <c r="E17" i="5"/>
  <c r="E18" i="5"/>
  <c r="E19" i="5"/>
  <c r="E20" i="5"/>
  <c r="E21" i="5"/>
  <c r="E22" i="5"/>
  <c r="E23" i="5"/>
  <c r="E24" i="5"/>
  <c r="E25" i="5"/>
  <c r="E26" i="5"/>
  <c r="E29" i="5"/>
  <c r="E30" i="5"/>
  <c r="E31" i="5"/>
  <c r="E32" i="5"/>
  <c r="E33" i="5"/>
  <c r="E34" i="5"/>
  <c r="E35" i="5"/>
  <c r="E36" i="5"/>
  <c r="E37" i="5"/>
  <c r="E38" i="5"/>
  <c r="E39" i="5"/>
  <c r="E40" i="5"/>
  <c r="E41" i="5"/>
  <c r="E42" i="5"/>
  <c r="E43" i="5"/>
  <c r="E44" i="5"/>
  <c r="E45"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9" i="5"/>
  <c r="E500" i="5"/>
  <c r="E501" i="5"/>
  <c r="E502" i="5"/>
  <c r="E503" i="5"/>
  <c r="E504" i="5"/>
  <c r="E505" i="5"/>
  <c r="E506" i="5"/>
  <c r="E507" i="5"/>
  <c r="E508" i="5"/>
  <c r="E509" i="5"/>
  <c r="E510" i="5"/>
  <c r="E511" i="5"/>
  <c r="E512" i="5"/>
  <c r="E513" i="5"/>
  <c r="E514" i="5"/>
  <c r="E515" i="5"/>
  <c r="E516" i="5"/>
  <c r="E517" i="5"/>
  <c r="E518" i="5"/>
  <c r="E519" i="5"/>
  <c r="E520" i="5"/>
  <c r="E521" i="5"/>
  <c r="E522" i="5"/>
  <c r="D154" i="13"/>
  <c r="D148" i="13"/>
  <c r="D151" i="13"/>
  <c r="D124" i="13"/>
  <c r="I100" i="13"/>
  <c r="I97" i="13"/>
  <c r="I88" i="13"/>
  <c r="I85" i="13"/>
  <c r="F28" i="13"/>
  <c r="I28" i="13"/>
  <c r="F40" i="13"/>
  <c r="I40" i="13"/>
  <c r="I46" i="13"/>
  <c r="F46" i="13"/>
  <c r="I43" i="13"/>
  <c r="D43" i="13"/>
  <c r="D76" i="13"/>
  <c r="F76" i="13"/>
  <c r="F109" i="13"/>
  <c r="D106" i="13"/>
  <c r="F97" i="13"/>
  <c r="F91" i="13"/>
  <c r="F88" i="13"/>
  <c r="F85" i="13"/>
  <c r="F79" i="13"/>
  <c r="F82" i="13"/>
  <c r="F127" i="13"/>
  <c r="D130" i="13"/>
  <c r="D190" i="13"/>
  <c r="D187" i="13"/>
  <c r="D184" i="13"/>
  <c r="D181" i="13"/>
  <c r="D178" i="13"/>
  <c r="F175" i="13"/>
  <c r="D175" i="13"/>
  <c r="D169" i="13"/>
  <c r="D166" i="13"/>
  <c r="F166" i="13"/>
  <c r="F163" i="13"/>
  <c r="D163" i="13"/>
  <c r="D145" i="13"/>
  <c r="D142" i="13"/>
  <c r="D139" i="13"/>
  <c r="E185" i="13"/>
  <c r="E188" i="13"/>
  <c r="C185" i="13"/>
  <c r="E182" i="13"/>
  <c r="C182" i="13"/>
  <c r="C179" i="13"/>
  <c r="E179" i="13"/>
  <c r="C176" i="13"/>
  <c r="G173" i="13"/>
  <c r="E173" i="13"/>
  <c r="E176" i="13"/>
  <c r="C170" i="13"/>
  <c r="C173" i="13"/>
  <c r="E167" i="13"/>
  <c r="C167" i="13"/>
  <c r="G164" i="13"/>
  <c r="E164" i="13"/>
  <c r="C164" i="13"/>
  <c r="G161" i="13"/>
  <c r="C161" i="13"/>
  <c r="E161" i="13"/>
  <c r="D136" i="13"/>
  <c r="D133" i="13"/>
  <c r="E152" i="13"/>
  <c r="E149" i="13"/>
  <c r="E146" i="13"/>
  <c r="C146" i="13"/>
  <c r="E143" i="13"/>
  <c r="C143" i="13"/>
  <c r="E140" i="13"/>
  <c r="C140" i="13"/>
  <c r="E137" i="13"/>
  <c r="C137" i="13"/>
  <c r="E134" i="13"/>
  <c r="C134" i="13"/>
  <c r="E131" i="13"/>
  <c r="C131" i="13"/>
  <c r="E128" i="13"/>
  <c r="C128" i="13"/>
  <c r="D127" i="13"/>
  <c r="D121" i="13"/>
  <c r="D118" i="13"/>
  <c r="G125" i="13"/>
  <c r="E125" i="13"/>
  <c r="E122" i="13"/>
  <c r="C125" i="13"/>
  <c r="C122" i="13"/>
  <c r="E119" i="13"/>
  <c r="C119" i="13"/>
  <c r="E116" i="13"/>
  <c r="C116" i="13"/>
  <c r="D115" i="13"/>
  <c r="E113" i="13"/>
  <c r="C113" i="13"/>
  <c r="E110" i="13"/>
  <c r="D112" i="13"/>
  <c r="C110" i="13"/>
  <c r="D109" i="13"/>
  <c r="G107" i="13"/>
  <c r="E107" i="13"/>
  <c r="C107" i="13"/>
  <c r="D103" i="13"/>
  <c r="E104" i="13"/>
  <c r="E101" i="13"/>
  <c r="C101" i="13"/>
  <c r="D100" i="13"/>
  <c r="E98" i="13"/>
  <c r="C98" i="13"/>
  <c r="D97" i="13"/>
  <c r="G95" i="13"/>
  <c r="E95" i="13"/>
  <c r="C95" i="13"/>
  <c r="D94" i="13"/>
  <c r="E92" i="13"/>
  <c r="C92" i="13"/>
  <c r="D91" i="13"/>
  <c r="G89" i="13"/>
  <c r="E89" i="13"/>
  <c r="C89" i="13"/>
  <c r="G86" i="13"/>
  <c r="E86" i="13"/>
  <c r="D88" i="13"/>
  <c r="C86" i="13"/>
  <c r="D81" i="13"/>
  <c r="G83" i="13"/>
  <c r="E83" i="13"/>
  <c r="D85" i="13"/>
  <c r="C83" i="13" l="1"/>
  <c r="G80" i="13"/>
  <c r="E77" i="13"/>
  <c r="G77" i="13"/>
  <c r="C77" i="13"/>
  <c r="G26" i="13"/>
  <c r="E74" i="13"/>
  <c r="C74" i="13"/>
  <c r="F73" i="13"/>
  <c r="D73" i="13"/>
  <c r="G71" i="13"/>
  <c r="E71" i="13"/>
  <c r="C71" i="13"/>
  <c r="F55" i="13"/>
  <c r="F52" i="13"/>
  <c r="F34" i="13"/>
  <c r="F37" i="13"/>
  <c r="F49" i="13"/>
  <c r="D70" i="13"/>
  <c r="D67" i="13"/>
  <c r="D64" i="13"/>
  <c r="D61" i="13"/>
  <c r="D58" i="13"/>
  <c r="D54" i="13"/>
  <c r="D49" i="13"/>
  <c r="D46" i="13"/>
  <c r="D40" i="13"/>
  <c r="D37" i="13"/>
  <c r="D34" i="13"/>
  <c r="E32" i="13"/>
  <c r="C59" i="13"/>
  <c r="C62" i="13"/>
  <c r="E44" i="13"/>
  <c r="E47" i="13"/>
  <c r="G53" i="13"/>
  <c r="G47" i="13"/>
  <c r="G50" i="13"/>
  <c r="G35" i="13"/>
  <c r="G38" i="13"/>
  <c r="E41" i="13"/>
  <c r="E35" i="13"/>
  <c r="E38" i="13"/>
  <c r="C47" i="13"/>
  <c r="C50" i="13"/>
  <c r="C35" i="13"/>
  <c r="C38" i="13"/>
  <c r="C32" i="13"/>
  <c r="C41" i="13"/>
  <c r="D25" i="13"/>
  <c r="F253" i="13"/>
  <c r="F256" i="13"/>
  <c r="F262" i="13"/>
  <c r="F259" i="13"/>
  <c r="F250" i="13"/>
  <c r="D256" i="13"/>
  <c r="G260" i="13"/>
  <c r="G257" i="13"/>
  <c r="G254" i="13"/>
  <c r="G251" i="13"/>
  <c r="G248" i="13"/>
  <c r="E248" i="13"/>
  <c r="C248" i="13"/>
  <c r="G17" i="13"/>
  <c r="D243" i="5"/>
  <c r="C243" i="5"/>
  <c r="G243" i="3"/>
  <c r="F19" i="13"/>
  <c r="F16" i="13"/>
  <c r="F13" i="13"/>
  <c r="F10" i="13"/>
  <c r="F2" i="5"/>
  <c r="D5" i="5"/>
  <c r="D3" i="5"/>
  <c r="D4"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3" i="5"/>
  <c r="C504" i="5"/>
  <c r="C505" i="5"/>
  <c r="C506" i="5"/>
  <c r="C507" i="5"/>
  <c r="C508" i="5"/>
  <c r="C509" i="5"/>
  <c r="C510" i="5"/>
  <c r="C511" i="5"/>
  <c r="C512" i="5"/>
  <c r="C513" i="5"/>
  <c r="C514" i="5"/>
  <c r="C515" i="5"/>
  <c r="C516" i="5"/>
  <c r="C517" i="5"/>
  <c r="C518" i="5"/>
  <c r="C519" i="5"/>
  <c r="C520" i="5"/>
  <c r="C521" i="5"/>
  <c r="C522" i="5"/>
  <c r="D31" i="13"/>
  <c r="D28" i="13"/>
  <c r="D22" i="13"/>
  <c r="D19" i="13"/>
  <c r="D16" i="13"/>
  <c r="D13" i="13"/>
  <c r="D10" i="13"/>
  <c r="D7" i="13"/>
  <c r="F7" i="13"/>
  <c r="G32" i="13"/>
  <c r="C44" i="13"/>
  <c r="G44" i="13"/>
  <c r="E50" i="13"/>
  <c r="C56" i="13"/>
  <c r="E56" i="13"/>
  <c r="E59" i="13"/>
  <c r="E62" i="13"/>
  <c r="C65" i="13"/>
  <c r="E65" i="13"/>
  <c r="C68" i="13"/>
  <c r="E68" i="13"/>
  <c r="C8" i="13"/>
  <c r="E8" i="13"/>
  <c r="G8" i="13"/>
  <c r="C11" i="13"/>
  <c r="E11" i="13"/>
  <c r="G11" i="13"/>
  <c r="C14" i="13"/>
  <c r="E14" i="13"/>
  <c r="G14" i="13"/>
  <c r="C17" i="13"/>
  <c r="E17" i="13"/>
  <c r="C20" i="13"/>
  <c r="E20" i="13"/>
  <c r="C23" i="13"/>
  <c r="E23" i="13"/>
  <c r="C26" i="13"/>
  <c r="E26" i="13"/>
  <c r="C29" i="13"/>
  <c r="E29" i="13"/>
  <c r="C5" i="13"/>
  <c r="E5" i="13"/>
  <c r="G5" i="13"/>
  <c r="F4" i="13"/>
  <c r="D4" i="13"/>
  <c r="G2" i="13"/>
  <c r="E2" i="13"/>
  <c r="C2" i="13"/>
  <c r="G299" i="3"/>
  <c r="G263" i="3"/>
  <c r="G249" i="3"/>
  <c r="G92" i="3"/>
  <c r="G514" i="3"/>
  <c r="G515" i="3"/>
  <c r="G506" i="3"/>
  <c r="G507" i="3"/>
  <c r="G505" i="3"/>
  <c r="G274" i="3"/>
  <c r="G256" i="3"/>
  <c r="G239" i="3"/>
  <c r="G144" i="3"/>
  <c r="G62" i="3"/>
  <c r="G513" i="3"/>
  <c r="G520" i="3"/>
  <c r="G519" i="3"/>
  <c r="G518" i="3"/>
  <c r="G517" i="3"/>
  <c r="G516" i="3"/>
  <c r="G522" i="3"/>
  <c r="G521" i="3"/>
  <c r="G512" i="3"/>
  <c r="G511" i="3"/>
  <c r="G510" i="3"/>
  <c r="G509" i="3"/>
  <c r="G508"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397"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236" i="3"/>
  <c r="G399" i="3"/>
  <c r="G398"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8" i="3"/>
  <c r="G297" i="3"/>
  <c r="G296" i="3"/>
  <c r="G295" i="3"/>
  <c r="G294" i="3"/>
  <c r="G293" i="3"/>
  <c r="G292" i="3"/>
  <c r="G291" i="3"/>
  <c r="G290" i="3"/>
  <c r="G289" i="3"/>
  <c r="G288" i="3"/>
  <c r="G287" i="3"/>
  <c r="G286" i="3"/>
  <c r="G285" i="3"/>
  <c r="G284" i="3"/>
  <c r="G283" i="3"/>
  <c r="G282" i="3"/>
  <c r="G281" i="3"/>
  <c r="G280" i="3"/>
  <c r="G279" i="3"/>
  <c r="G278" i="3"/>
  <c r="G277" i="3"/>
  <c r="G276" i="3"/>
  <c r="G275" i="3"/>
  <c r="G273" i="3"/>
  <c r="G272" i="3"/>
  <c r="G271" i="3"/>
  <c r="G270" i="3"/>
  <c r="G269" i="3"/>
  <c r="G182" i="3"/>
  <c r="G268" i="3"/>
  <c r="G267" i="3"/>
  <c r="G266" i="3"/>
  <c r="G265" i="3"/>
  <c r="G264" i="3"/>
  <c r="G262" i="3"/>
  <c r="G261" i="3"/>
  <c r="G260" i="3"/>
  <c r="G259" i="3"/>
  <c r="G258" i="3"/>
  <c r="G257" i="3"/>
  <c r="G255" i="3"/>
  <c r="G254" i="3"/>
  <c r="G253" i="3"/>
  <c r="G252" i="3"/>
  <c r="G251" i="3"/>
  <c r="G250" i="3"/>
  <c r="G248" i="3"/>
  <c r="G247" i="3"/>
  <c r="G246" i="3"/>
  <c r="G242" i="3"/>
  <c r="G241" i="3"/>
  <c r="G240" i="3"/>
  <c r="G238" i="3"/>
  <c r="G237"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0" i="3"/>
  <c r="G179" i="3"/>
  <c r="G178" i="3"/>
  <c r="G175" i="3"/>
  <c r="G174" i="3"/>
  <c r="G181"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177" i="3"/>
  <c r="G176" i="3"/>
  <c r="G21" i="3"/>
  <c r="G20" i="3"/>
  <c r="G19" i="3"/>
  <c r="G18" i="3"/>
  <c r="G17" i="3"/>
  <c r="G16" i="3"/>
  <c r="G15" i="3"/>
  <c r="G14" i="3"/>
  <c r="G13" i="3"/>
  <c r="G12" i="3"/>
  <c r="G11" i="3"/>
  <c r="G10" i="3"/>
  <c r="G9" i="3"/>
  <c r="G8" i="3"/>
  <c r="G7" i="3"/>
  <c r="G6" i="3"/>
  <c r="G5" i="3"/>
  <c r="G4" i="3"/>
  <c r="G3" i="3"/>
  <c r="G2" i="3"/>
  <c r="E2" i="5"/>
  <c r="D2" i="5"/>
  <c r="C2" i="5"/>
  <c r="F1" i="5"/>
  <c r="E1" i="5"/>
  <c r="D1" i="5"/>
  <c r="C1" i="5"/>
  <c r="H2" i="5" a="1"/>
  <c r="H2" i="5" s="1"/>
  <c r="M31" i="5" a="1"/>
  <c r="M31" i="5" s="1"/>
  <c r="M63" i="5" a="1"/>
  <c r="M63" i="5" s="1"/>
  <c r="M95" i="5" a="1"/>
  <c r="M95" i="5" s="1"/>
  <c r="M159" i="5" a="1"/>
  <c r="M159" i="5" s="1"/>
  <c r="I251" i="5" a="1"/>
  <c r="I251" i="5" s="1"/>
  <c r="L294" i="5" a="1"/>
  <c r="L294" i="5" s="1"/>
  <c r="L390" i="5" a="1"/>
  <c r="L390" i="5" s="1"/>
  <c r="L422" i="5" a="1"/>
  <c r="L422" i="5" s="1"/>
  <c r="N457" i="5"/>
  <c r="G457" i="5" a="1"/>
  <c r="G457" i="5" s="1"/>
  <c r="L486" i="5" a="1"/>
  <c r="L486" i="5" s="1"/>
  <c r="L518" i="5" a="1"/>
  <c r="L518" i="5" s="1"/>
  <c r="K4" i="5" a="1"/>
  <c r="K4" i="5" s="1"/>
  <c r="M38" i="5" a="1"/>
  <c r="M38" i="5" s="1"/>
  <c r="I130" i="5" a="1"/>
  <c r="I130" i="5" s="1"/>
  <c r="J155" i="5" a="1"/>
  <c r="J155" i="5" s="1"/>
  <c r="I194" i="5" a="1"/>
  <c r="I194" i="5" s="1"/>
  <c r="K228" i="5" a="1"/>
  <c r="K228" i="5" s="1"/>
  <c r="K260" i="5" a="1"/>
  <c r="K260" i="5" s="1"/>
  <c r="N288" i="5"/>
  <c r="G288" i="5" a="1"/>
  <c r="G288" i="5" s="1"/>
  <c r="I338" i="5" a="1"/>
  <c r="I338" i="5" s="1"/>
  <c r="K404" i="5" a="1"/>
  <c r="K404" i="5" s="1"/>
  <c r="N432" i="5"/>
  <c r="G432" i="5" a="1"/>
  <c r="G432" i="5" s="1"/>
  <c r="G2" i="5" a="1"/>
  <c r="G2" i="5" s="1"/>
  <c r="N2" i="5"/>
  <c r="I4" i="5" a="1"/>
  <c r="I4" i="5" s="1"/>
  <c r="K6" i="5" a="1"/>
  <c r="K6" i="5" s="1"/>
  <c r="M8" i="5" a="1"/>
  <c r="M8" i="5" s="1"/>
  <c r="J13" i="5" a="1"/>
  <c r="J13" i="5" s="1"/>
  <c r="L15" i="5" a="1"/>
  <c r="L15" i="5" s="1"/>
  <c r="G18" i="5" a="1"/>
  <c r="G18" i="5" s="1"/>
  <c r="N18" i="5"/>
  <c r="I20" i="5" a="1"/>
  <c r="I20" i="5" s="1"/>
  <c r="K22" i="5" a="1"/>
  <c r="K22" i="5" s="1"/>
  <c r="M24" i="5" a="1"/>
  <c r="M24" i="5" s="1"/>
  <c r="J29" i="5" a="1"/>
  <c r="J29" i="5" s="1"/>
  <c r="L31" i="5" a="1"/>
  <c r="L31" i="5" s="1"/>
  <c r="N34" i="5"/>
  <c r="G34" i="5" a="1"/>
  <c r="G34" i="5" s="1"/>
  <c r="I36" i="5" a="1"/>
  <c r="I36" i="5" s="1"/>
  <c r="K38" i="5" a="1"/>
  <c r="K38" i="5" s="1"/>
  <c r="M40" i="5" a="1"/>
  <c r="M40" i="5" s="1"/>
  <c r="J45" i="5" a="1"/>
  <c r="J45" i="5" s="1"/>
  <c r="L47" i="5" a="1"/>
  <c r="L47" i="5" s="1"/>
  <c r="G50" i="5" a="1"/>
  <c r="G50" i="5" s="1"/>
  <c r="N50" i="5"/>
  <c r="I52" i="5" a="1"/>
  <c r="I52" i="5" s="1"/>
  <c r="K54" i="5" a="1"/>
  <c r="K54" i="5" s="1"/>
  <c r="M56" i="5" a="1"/>
  <c r="M56" i="5" s="1"/>
  <c r="H59" i="5" a="1"/>
  <c r="H59" i="5" s="1"/>
  <c r="J61" i="5" a="1"/>
  <c r="J61" i="5" s="1"/>
  <c r="L63" i="5" a="1"/>
  <c r="L63" i="5" s="1"/>
  <c r="G66" i="5" a="1"/>
  <c r="G66" i="5" s="1"/>
  <c r="N66" i="5"/>
  <c r="I68" i="5" a="1"/>
  <c r="I68" i="5" s="1"/>
  <c r="K70" i="5" a="1"/>
  <c r="K70" i="5" s="1"/>
  <c r="M72" i="5" a="1"/>
  <c r="M72" i="5" s="1"/>
  <c r="J77" i="5" a="1"/>
  <c r="J77" i="5" s="1"/>
  <c r="L79" i="5" a="1"/>
  <c r="L79" i="5" s="1"/>
  <c r="N82" i="5"/>
  <c r="G82" i="5" a="1"/>
  <c r="G82" i="5" s="1"/>
  <c r="I84" i="5" a="1"/>
  <c r="I84" i="5" s="1"/>
  <c r="K86" i="5" a="1"/>
  <c r="K86" i="5" s="1"/>
  <c r="M88" i="5" a="1"/>
  <c r="M88" i="5" s="1"/>
  <c r="J93" i="5" a="1"/>
  <c r="J93" i="5" s="1"/>
  <c r="L95" i="5" a="1"/>
  <c r="L95" i="5" s="1"/>
  <c r="G98" i="5" a="1"/>
  <c r="G98" i="5" s="1"/>
  <c r="N98" i="5"/>
  <c r="I100" i="5" a="1"/>
  <c r="I100" i="5" s="1"/>
  <c r="K102" i="5" a="1"/>
  <c r="K102" i="5" s="1"/>
  <c r="M104" i="5" a="1"/>
  <c r="M104" i="5" s="1"/>
  <c r="J109" i="5" a="1"/>
  <c r="J109" i="5" s="1"/>
  <c r="L111" i="5" a="1"/>
  <c r="L111" i="5" s="1"/>
  <c r="G114" i="5" a="1"/>
  <c r="G114" i="5" s="1"/>
  <c r="N114" i="5"/>
  <c r="I116" i="5" a="1"/>
  <c r="I116" i="5" s="1"/>
  <c r="K118" i="5" a="1"/>
  <c r="K118" i="5" s="1"/>
  <c r="M120" i="5" a="1"/>
  <c r="M120" i="5" s="1"/>
  <c r="J125" i="5" a="1"/>
  <c r="J125" i="5" s="1"/>
  <c r="L127" i="5" a="1"/>
  <c r="L127" i="5" s="1"/>
  <c r="G130" i="5" a="1"/>
  <c r="G130" i="5" s="1"/>
  <c r="N130" i="5"/>
  <c r="I132" i="5" a="1"/>
  <c r="I132" i="5" s="1"/>
  <c r="K134" i="5" a="1"/>
  <c r="K134" i="5" s="1"/>
  <c r="M136" i="5" a="1"/>
  <c r="M136" i="5" s="1"/>
  <c r="J141" i="5" a="1"/>
  <c r="J141" i="5" s="1"/>
  <c r="L143" i="5" a="1"/>
  <c r="L143" i="5" s="1"/>
  <c r="G146" i="5" a="1"/>
  <c r="G146" i="5" s="1"/>
  <c r="N146" i="5"/>
  <c r="I148" i="5" a="1"/>
  <c r="I148" i="5" s="1"/>
  <c r="K150" i="5" a="1"/>
  <c r="K150" i="5" s="1"/>
  <c r="M152" i="5" a="1"/>
  <c r="M152" i="5" s="1"/>
  <c r="J157" i="5" a="1"/>
  <c r="J157" i="5" s="1"/>
  <c r="L159" i="5" a="1"/>
  <c r="L159" i="5" s="1"/>
  <c r="N162" i="5"/>
  <c r="G162" i="5" a="1"/>
  <c r="G162" i="5" s="1"/>
  <c r="I164" i="5" a="1"/>
  <c r="I164" i="5" s="1"/>
  <c r="K166" i="5" a="1"/>
  <c r="K166" i="5" s="1"/>
  <c r="M168" i="5" a="1"/>
  <c r="M168" i="5" s="1"/>
  <c r="J173" i="5" a="1"/>
  <c r="J173" i="5" s="1"/>
  <c r="L175" i="5" a="1"/>
  <c r="L175" i="5" s="1"/>
  <c r="G178" i="5" a="1"/>
  <c r="G178" i="5" s="1"/>
  <c r="N178" i="5"/>
  <c r="I180" i="5" a="1"/>
  <c r="I180" i="5" s="1"/>
  <c r="K182" i="5" a="1"/>
  <c r="K182" i="5" s="1"/>
  <c r="M184" i="5" a="1"/>
  <c r="M184" i="5" s="1"/>
  <c r="J189" i="5" a="1"/>
  <c r="J189" i="5" s="1"/>
  <c r="L191" i="5" a="1"/>
  <c r="L191" i="5" s="1"/>
  <c r="N194" i="5"/>
  <c r="G194" i="5" a="1"/>
  <c r="G194" i="5" s="1"/>
  <c r="I196" i="5" a="1"/>
  <c r="I196" i="5" s="1"/>
  <c r="K198" i="5" a="1"/>
  <c r="K198" i="5" s="1"/>
  <c r="M200" i="5" a="1"/>
  <c r="M200" i="5" s="1"/>
  <c r="J205" i="5" a="1"/>
  <c r="J205" i="5" s="1"/>
  <c r="L207" i="5" a="1"/>
  <c r="L207" i="5" s="1"/>
  <c r="N210" i="5"/>
  <c r="G210" i="5" a="1"/>
  <c r="G210" i="5" s="1"/>
  <c r="I212" i="5" a="1"/>
  <c r="I212" i="5" s="1"/>
  <c r="K214" i="5" a="1"/>
  <c r="K214" i="5" s="1"/>
  <c r="M216" i="5" a="1"/>
  <c r="M216" i="5" s="1"/>
  <c r="J221" i="5" a="1"/>
  <c r="J221" i="5" s="1"/>
  <c r="L223" i="5" a="1"/>
  <c r="L223" i="5" s="1"/>
  <c r="N226" i="5"/>
  <c r="G226" i="5" a="1"/>
  <c r="G226" i="5" s="1"/>
  <c r="I228" i="5" a="1"/>
  <c r="I228" i="5" s="1"/>
  <c r="K230" i="5" a="1"/>
  <c r="K230" i="5" s="1"/>
  <c r="M232" i="5" a="1"/>
  <c r="M232" i="5" s="1"/>
  <c r="J237" i="5" a="1"/>
  <c r="J237" i="5" s="1"/>
  <c r="L239" i="5" a="1"/>
  <c r="L239" i="5" s="1"/>
  <c r="N242" i="5"/>
  <c r="G242" i="5" a="1"/>
  <c r="G242" i="5" s="1"/>
  <c r="I244" i="5" a="1"/>
  <c r="I244" i="5" s="1"/>
  <c r="K246" i="5" a="1"/>
  <c r="K246" i="5" s="1"/>
  <c r="M248" i="5" a="1"/>
  <c r="M248" i="5" s="1"/>
  <c r="J253" i="5" a="1"/>
  <c r="J253" i="5" s="1"/>
  <c r="L255" i="5" a="1"/>
  <c r="L255" i="5" s="1"/>
  <c r="G258" i="5" a="1"/>
  <c r="G258" i="5" s="1"/>
  <c r="N258" i="5"/>
  <c r="I260" i="5" a="1"/>
  <c r="I260" i="5" s="1"/>
  <c r="K262" i="5" a="1"/>
  <c r="K262" i="5" s="1"/>
  <c r="M264" i="5" a="1"/>
  <c r="M264" i="5" s="1"/>
  <c r="J269" i="5" a="1"/>
  <c r="J269" i="5" s="1"/>
  <c r="L271" i="5" a="1"/>
  <c r="L271" i="5" s="1"/>
  <c r="G274" i="5" a="1"/>
  <c r="G274" i="5" s="1"/>
  <c r="N274" i="5"/>
  <c r="I276" i="5" a="1"/>
  <c r="I276" i="5" s="1"/>
  <c r="K278" i="5" a="1"/>
  <c r="K278" i="5" s="1"/>
  <c r="M280" i="5" a="1"/>
  <c r="M280" i="5" s="1"/>
  <c r="J285" i="5" a="1"/>
  <c r="J285" i="5" s="1"/>
  <c r="L287" i="5" a="1"/>
  <c r="L287" i="5" s="1"/>
  <c r="N290" i="5"/>
  <c r="G290" i="5" a="1"/>
  <c r="G290" i="5" s="1"/>
  <c r="I292" i="5" a="1"/>
  <c r="I292" i="5" s="1"/>
  <c r="K294" i="5" a="1"/>
  <c r="K294" i="5" s="1"/>
  <c r="M296" i="5" a="1"/>
  <c r="M296" i="5" s="1"/>
  <c r="H299" i="5" a="1"/>
  <c r="H299" i="5" s="1"/>
  <c r="J301" i="5" a="1"/>
  <c r="J301" i="5" s="1"/>
  <c r="L303" i="5" a="1"/>
  <c r="L303" i="5" s="1"/>
  <c r="N306" i="5"/>
  <c r="G306" i="5" a="1"/>
  <c r="G306" i="5" s="1"/>
  <c r="I308" i="5" a="1"/>
  <c r="I308" i="5" s="1"/>
  <c r="K310" i="5" a="1"/>
  <c r="K310" i="5" s="1"/>
  <c r="M312" i="5" a="1"/>
  <c r="M312" i="5" s="1"/>
  <c r="J317" i="5" a="1"/>
  <c r="J317" i="5" s="1"/>
  <c r="L319" i="5" a="1"/>
  <c r="L319" i="5" s="1"/>
  <c r="N322" i="5"/>
  <c r="G322" i="5" a="1"/>
  <c r="G322" i="5" s="1"/>
  <c r="I324" i="5" a="1"/>
  <c r="I324" i="5" s="1"/>
  <c r="K326" i="5" a="1"/>
  <c r="K326" i="5" s="1"/>
  <c r="M328" i="5" a="1"/>
  <c r="M328" i="5" s="1"/>
  <c r="J333" i="5" a="1"/>
  <c r="J333" i="5" s="1"/>
  <c r="L335" i="5" a="1"/>
  <c r="L335" i="5" s="1"/>
  <c r="G338" i="5" a="1"/>
  <c r="G338" i="5" s="1"/>
  <c r="N338" i="5"/>
  <c r="I340" i="5" a="1"/>
  <c r="I340" i="5" s="1"/>
  <c r="K342" i="5" a="1"/>
  <c r="K342" i="5" s="1"/>
  <c r="M344" i="5" a="1"/>
  <c r="M344" i="5" s="1"/>
  <c r="J349" i="5" a="1"/>
  <c r="J349" i="5" s="1"/>
  <c r="L351" i="5" a="1"/>
  <c r="L351" i="5" s="1"/>
  <c r="N354" i="5"/>
  <c r="G354" i="5" a="1"/>
  <c r="G354" i="5" s="1"/>
  <c r="I356" i="5" a="1"/>
  <c r="I356" i="5" s="1"/>
  <c r="K358" i="5" a="1"/>
  <c r="K358" i="5" s="1"/>
  <c r="M360" i="5" a="1"/>
  <c r="M360" i="5" s="1"/>
  <c r="J365" i="5" a="1"/>
  <c r="J365" i="5" s="1"/>
  <c r="L367" i="5" a="1"/>
  <c r="L367" i="5" s="1"/>
  <c r="G370" i="5" a="1"/>
  <c r="G370" i="5" s="1"/>
  <c r="N370" i="5"/>
  <c r="I372" i="5" a="1"/>
  <c r="I372" i="5" s="1"/>
  <c r="K374" i="5" a="1"/>
  <c r="K374" i="5" s="1"/>
  <c r="M376" i="5" a="1"/>
  <c r="M376" i="5" s="1"/>
  <c r="J381" i="5" a="1"/>
  <c r="J381" i="5" s="1"/>
  <c r="L383" i="5" a="1"/>
  <c r="L383" i="5" s="1"/>
  <c r="G386" i="5" a="1"/>
  <c r="G386" i="5" s="1"/>
  <c r="N386" i="5"/>
  <c r="I388" i="5" a="1"/>
  <c r="I388" i="5" s="1"/>
  <c r="K390" i="5" a="1"/>
  <c r="K390" i="5" s="1"/>
  <c r="M392" i="5" a="1"/>
  <c r="M392" i="5" s="1"/>
  <c r="J397" i="5" a="1"/>
  <c r="J397" i="5" s="1"/>
  <c r="L399" i="5" a="1"/>
  <c r="L399" i="5" s="1"/>
  <c r="N402" i="5"/>
  <c r="G402" i="5" a="1"/>
  <c r="G402" i="5" s="1"/>
  <c r="K406" i="5" a="1"/>
  <c r="K406" i="5" s="1"/>
  <c r="M408" i="5" a="1"/>
  <c r="M408" i="5" s="1"/>
  <c r="J413" i="5" a="1"/>
  <c r="J413" i="5" s="1"/>
  <c r="L415" i="5" a="1"/>
  <c r="L415" i="5" s="1"/>
  <c r="G418" i="5" a="1"/>
  <c r="G418" i="5" s="1"/>
  <c r="N418" i="5"/>
  <c r="K422" i="5" a="1"/>
  <c r="K422" i="5" s="1"/>
  <c r="M424" i="5" a="1"/>
  <c r="M424" i="5" s="1"/>
  <c r="J429" i="5" a="1"/>
  <c r="J429" i="5" s="1"/>
  <c r="L431" i="5" a="1"/>
  <c r="L431" i="5" s="1"/>
  <c r="G434" i="5" a="1"/>
  <c r="G434" i="5" s="1"/>
  <c r="N434" i="5"/>
  <c r="K438" i="5" a="1"/>
  <c r="K438" i="5" s="1"/>
  <c r="M440" i="5" a="1"/>
  <c r="M440" i="5" s="1"/>
  <c r="J445" i="5" a="1"/>
  <c r="J445" i="5" s="1"/>
  <c r="L447" i="5" a="1"/>
  <c r="L447" i="5" s="1"/>
  <c r="G450" i="5" a="1"/>
  <c r="G450" i="5" s="1"/>
  <c r="N450" i="5"/>
  <c r="K454" i="5" a="1"/>
  <c r="K454" i="5" s="1"/>
  <c r="M456" i="5" a="1"/>
  <c r="M456" i="5" s="1"/>
  <c r="J461" i="5" a="1"/>
  <c r="J461" i="5" s="1"/>
  <c r="L463" i="5" a="1"/>
  <c r="L463" i="5" s="1"/>
  <c r="N466" i="5"/>
  <c r="G466" i="5" a="1"/>
  <c r="G466" i="5" s="1"/>
  <c r="K470" i="5" a="1"/>
  <c r="K470" i="5" s="1"/>
  <c r="M472" i="5" a="1"/>
  <c r="M472" i="5" s="1"/>
  <c r="J477" i="5" a="1"/>
  <c r="J477" i="5" s="1"/>
  <c r="L479" i="5" a="1"/>
  <c r="L479" i="5" s="1"/>
  <c r="N482" i="5"/>
  <c r="G482" i="5" a="1"/>
  <c r="G482" i="5" s="1"/>
  <c r="K486" i="5" a="1"/>
  <c r="K486" i="5" s="1"/>
  <c r="M488" i="5" a="1"/>
  <c r="M488" i="5" s="1"/>
  <c r="J493" i="5" a="1"/>
  <c r="J493" i="5" s="1"/>
  <c r="L495" i="5" a="1"/>
  <c r="L495" i="5" s="1"/>
  <c r="G498" i="5" a="1"/>
  <c r="G498" i="5" s="1"/>
  <c r="N498" i="5"/>
  <c r="K502" i="5" a="1"/>
  <c r="K502" i="5" s="1"/>
  <c r="M504" i="5" a="1"/>
  <c r="M504" i="5" s="1"/>
  <c r="J509" i="5" a="1"/>
  <c r="J509" i="5" s="1"/>
  <c r="L511" i="5" a="1"/>
  <c r="L511" i="5" s="1"/>
  <c r="N514" i="5"/>
  <c r="G514" i="5" a="1"/>
  <c r="G514" i="5" s="1"/>
  <c r="K518" i="5" a="1"/>
  <c r="K518" i="5" s="1"/>
  <c r="M520" i="5" a="1"/>
  <c r="M520" i="5" s="1"/>
  <c r="L527" i="5" a="1"/>
  <c r="L527" i="5" s="1"/>
  <c r="G530" i="5" a="1"/>
  <c r="G530" i="5" s="1"/>
  <c r="N530" i="5"/>
  <c r="K534" i="5" a="1"/>
  <c r="K534" i="5" s="1"/>
  <c r="M536" i="5" a="1"/>
  <c r="M536" i="5" s="1"/>
  <c r="L543" i="5" a="1"/>
  <c r="L543" i="5" s="1"/>
  <c r="G546" i="5" a="1"/>
  <c r="G546" i="5" s="1"/>
  <c r="N546" i="5"/>
  <c r="K550" i="5" a="1"/>
  <c r="K550" i="5" s="1"/>
  <c r="M552" i="5" a="1"/>
  <c r="M552" i="5" s="1"/>
  <c r="L559" i="5" a="1"/>
  <c r="L559" i="5" s="1"/>
  <c r="G562" i="5" a="1"/>
  <c r="G562" i="5" s="1"/>
  <c r="N562" i="5"/>
  <c r="L54" i="5" a="1"/>
  <c r="L54" i="5" s="1"/>
  <c r="N89" i="5"/>
  <c r="G89" i="5" a="1"/>
  <c r="G89" i="5" s="1"/>
  <c r="L118" i="5" a="1"/>
  <c r="L118" i="5" s="1"/>
  <c r="L182" i="5" a="1"/>
  <c r="L182" i="5" s="1"/>
  <c r="L214" i="5" a="1"/>
  <c r="L214" i="5" s="1"/>
  <c r="L246" i="5" a="1"/>
  <c r="L246" i="5" s="1"/>
  <c r="J324" i="5" a="1"/>
  <c r="J324" i="5" s="1"/>
  <c r="K365" i="5" a="1"/>
  <c r="K365" i="5" s="1"/>
  <c r="K397" i="5" a="1"/>
  <c r="K397" i="5" s="1"/>
  <c r="K461" i="5" a="1"/>
  <c r="K461" i="5" s="1"/>
  <c r="K493" i="5" a="1"/>
  <c r="K493" i="5" s="1"/>
  <c r="M527" i="5" a="1"/>
  <c r="M527" i="5" s="1"/>
  <c r="K557" i="5" a="1"/>
  <c r="K557" i="5" s="1"/>
  <c r="H395" i="5" a="1"/>
  <c r="H395" i="5" s="1"/>
  <c r="H75" i="5" a="1"/>
  <c r="H75" i="5" s="1"/>
  <c r="K36" i="5" a="1"/>
  <c r="K36" i="5" s="1"/>
  <c r="K68" i="5" a="1"/>
  <c r="K68" i="5" s="1"/>
  <c r="M102" i="5" a="1"/>
  <c r="M102" i="5" s="1"/>
  <c r="M198" i="5" a="1"/>
  <c r="M198" i="5" s="1"/>
  <c r="J299" i="5" a="1"/>
  <c r="J299" i="5" s="1"/>
  <c r="M326" i="5" a="1"/>
  <c r="M326" i="5" s="1"/>
  <c r="K356" i="5" a="1"/>
  <c r="K356" i="5" s="1"/>
  <c r="M390" i="5" a="1"/>
  <c r="M390" i="5" s="1"/>
  <c r="J459" i="5" a="1"/>
  <c r="J459" i="5" s="1"/>
  <c r="L493" i="5" a="1"/>
  <c r="L493" i="5" s="1"/>
  <c r="L525" i="5" a="1"/>
  <c r="L525" i="5" s="1"/>
  <c r="G560" i="5" a="1"/>
  <c r="G560" i="5" s="1"/>
  <c r="N560" i="5"/>
  <c r="J2" i="5" a="1"/>
  <c r="J2" i="5" s="1"/>
  <c r="L4" i="5" a="1"/>
  <c r="L4" i="5" s="1"/>
  <c r="G7" i="5" a="1"/>
  <c r="G7" i="5" s="1"/>
  <c r="N7" i="5"/>
  <c r="I9" i="5" a="1"/>
  <c r="I9" i="5" s="1"/>
  <c r="K11" i="5" a="1"/>
  <c r="K11" i="5" s="1"/>
  <c r="M13" i="5" a="1"/>
  <c r="M13" i="5" s="1"/>
  <c r="J18" i="5" a="1"/>
  <c r="J18" i="5" s="1"/>
  <c r="L20" i="5" a="1"/>
  <c r="L20" i="5" s="1"/>
  <c r="N23" i="5"/>
  <c r="G23" i="5" a="1"/>
  <c r="G23" i="5" s="1"/>
  <c r="I25" i="5" a="1"/>
  <c r="I25" i="5" s="1"/>
  <c r="K27" i="5" a="1"/>
  <c r="K27" i="5" s="1"/>
  <c r="M29" i="5" a="1"/>
  <c r="M29" i="5" s="1"/>
  <c r="J34" i="5" a="1"/>
  <c r="J34" i="5" s="1"/>
  <c r="L36" i="5" a="1"/>
  <c r="L36" i="5" s="1"/>
  <c r="G39" i="5" a="1"/>
  <c r="G39" i="5" s="1"/>
  <c r="N39" i="5"/>
  <c r="I41" i="5" a="1"/>
  <c r="I41" i="5" s="1"/>
  <c r="K43" i="5" a="1"/>
  <c r="K43" i="5" s="1"/>
  <c r="M45" i="5" a="1"/>
  <c r="M45" i="5" s="1"/>
  <c r="J50" i="5" a="1"/>
  <c r="J50" i="5" s="1"/>
  <c r="L52" i="5" a="1"/>
  <c r="L52" i="5" s="1"/>
  <c r="N55" i="5"/>
  <c r="G55" i="5" a="1"/>
  <c r="G55" i="5" s="1"/>
  <c r="I57" i="5" a="1"/>
  <c r="I57" i="5" s="1"/>
  <c r="K59" i="5" a="1"/>
  <c r="K59" i="5" s="1"/>
  <c r="M61" i="5" a="1"/>
  <c r="M61" i="5" s="1"/>
  <c r="J66" i="5" a="1"/>
  <c r="J66" i="5" s="1"/>
  <c r="L68" i="5" a="1"/>
  <c r="L68" i="5" s="1"/>
  <c r="G71" i="5" a="1"/>
  <c r="G71" i="5" s="1"/>
  <c r="N71" i="5"/>
  <c r="I73" i="5" a="1"/>
  <c r="I73" i="5" s="1"/>
  <c r="K75" i="5" a="1"/>
  <c r="K75" i="5" s="1"/>
  <c r="M77" i="5" a="1"/>
  <c r="M77" i="5" s="1"/>
  <c r="J82" i="5" a="1"/>
  <c r="J82" i="5" s="1"/>
  <c r="L84" i="5" a="1"/>
  <c r="L84" i="5" s="1"/>
  <c r="N87" i="5"/>
  <c r="G87" i="5" a="1"/>
  <c r="G87" i="5" s="1"/>
  <c r="I89" i="5" a="1"/>
  <c r="I89" i="5" s="1"/>
  <c r="K91" i="5" a="1"/>
  <c r="K91" i="5" s="1"/>
  <c r="M93" i="5" a="1"/>
  <c r="M93" i="5" s="1"/>
  <c r="J98" i="5" a="1"/>
  <c r="J98" i="5" s="1"/>
  <c r="L100" i="5" a="1"/>
  <c r="L100" i="5" s="1"/>
  <c r="G103" i="5" a="1"/>
  <c r="G103" i="5" s="1"/>
  <c r="N103" i="5"/>
  <c r="I105" i="5" a="1"/>
  <c r="I105" i="5" s="1"/>
  <c r="K107" i="5" a="1"/>
  <c r="K107" i="5" s="1"/>
  <c r="M109" i="5" a="1"/>
  <c r="M109" i="5" s="1"/>
  <c r="J114" i="5" a="1"/>
  <c r="J114" i="5" s="1"/>
  <c r="L116" i="5" a="1"/>
  <c r="L116" i="5" s="1"/>
  <c r="G119" i="5" a="1"/>
  <c r="G119" i="5" s="1"/>
  <c r="N119" i="5"/>
  <c r="I121" i="5" a="1"/>
  <c r="I121" i="5" s="1"/>
  <c r="K123" i="5" a="1"/>
  <c r="K123" i="5" s="1"/>
  <c r="M125" i="5" a="1"/>
  <c r="M125" i="5" s="1"/>
  <c r="J130" i="5" a="1"/>
  <c r="J130" i="5" s="1"/>
  <c r="L132" i="5" a="1"/>
  <c r="L132" i="5" s="1"/>
  <c r="N135" i="5"/>
  <c r="G135" i="5" a="1"/>
  <c r="G135" i="5" s="1"/>
  <c r="I137" i="5" a="1"/>
  <c r="I137" i="5" s="1"/>
  <c r="K139" i="5" a="1"/>
  <c r="K139" i="5" s="1"/>
  <c r="M141" i="5" a="1"/>
  <c r="M141" i="5" s="1"/>
  <c r="J146" i="5" a="1"/>
  <c r="J146" i="5" s="1"/>
  <c r="L148" i="5" a="1"/>
  <c r="L148" i="5" s="1"/>
  <c r="N151" i="5"/>
  <c r="G151" i="5" a="1"/>
  <c r="G151" i="5" s="1"/>
  <c r="I153" i="5" a="1"/>
  <c r="I153" i="5" s="1"/>
  <c r="K155" i="5" a="1"/>
  <c r="K155" i="5" s="1"/>
  <c r="M157" i="5" a="1"/>
  <c r="M157" i="5" s="1"/>
  <c r="J162" i="5" a="1"/>
  <c r="J162" i="5" s="1"/>
  <c r="L164" i="5" a="1"/>
  <c r="L164" i="5" s="1"/>
  <c r="N167" i="5"/>
  <c r="G167" i="5" a="1"/>
  <c r="G167" i="5" s="1"/>
  <c r="I169" i="5" a="1"/>
  <c r="I169" i="5" s="1"/>
  <c r="K171" i="5" a="1"/>
  <c r="K171" i="5" s="1"/>
  <c r="M173" i="5" a="1"/>
  <c r="M173" i="5" s="1"/>
  <c r="J178" i="5" a="1"/>
  <c r="J178" i="5" s="1"/>
  <c r="L180" i="5" a="1"/>
  <c r="L180" i="5" s="1"/>
  <c r="N183" i="5"/>
  <c r="G183" i="5" a="1"/>
  <c r="G183" i="5" s="1"/>
  <c r="I185" i="5" a="1"/>
  <c r="I185" i="5" s="1"/>
  <c r="K187" i="5" a="1"/>
  <c r="K187" i="5" s="1"/>
  <c r="M189" i="5" a="1"/>
  <c r="M189" i="5" s="1"/>
  <c r="J194" i="5" a="1"/>
  <c r="J194" i="5" s="1"/>
  <c r="L196" i="5" a="1"/>
  <c r="L196" i="5" s="1"/>
  <c r="G199" i="5" a="1"/>
  <c r="G199" i="5" s="1"/>
  <c r="N199" i="5"/>
  <c r="I201" i="5" a="1"/>
  <c r="I201" i="5" s="1"/>
  <c r="K203" i="5" a="1"/>
  <c r="K203" i="5" s="1"/>
  <c r="M205" i="5" a="1"/>
  <c r="M205" i="5" s="1"/>
  <c r="J210" i="5" a="1"/>
  <c r="J210" i="5" s="1"/>
  <c r="L212" i="5" a="1"/>
  <c r="L212" i="5" s="1"/>
  <c r="N215" i="5"/>
  <c r="G215" i="5" a="1"/>
  <c r="G215" i="5" s="1"/>
  <c r="I217" i="5" a="1"/>
  <c r="I217" i="5" s="1"/>
  <c r="K219" i="5" a="1"/>
  <c r="K219" i="5" s="1"/>
  <c r="M221" i="5" a="1"/>
  <c r="M221" i="5" s="1"/>
  <c r="J226" i="5" a="1"/>
  <c r="J226" i="5" s="1"/>
  <c r="L228" i="5" a="1"/>
  <c r="L228" i="5" s="1"/>
  <c r="G231" i="5" a="1"/>
  <c r="G231" i="5" s="1"/>
  <c r="N231" i="5"/>
  <c r="I233" i="5" a="1"/>
  <c r="I233" i="5" s="1"/>
  <c r="K235" i="5" a="1"/>
  <c r="K235" i="5" s="1"/>
  <c r="M237" i="5" a="1"/>
  <c r="M237" i="5" s="1"/>
  <c r="J242" i="5" a="1"/>
  <c r="J242" i="5" s="1"/>
  <c r="L244" i="5" a="1"/>
  <c r="L244" i="5" s="1"/>
  <c r="N247" i="5"/>
  <c r="G247" i="5" a="1"/>
  <c r="G247" i="5" s="1"/>
  <c r="I249" i="5" a="1"/>
  <c r="I249" i="5" s="1"/>
  <c r="K251" i="5" a="1"/>
  <c r="K251" i="5" s="1"/>
  <c r="M253" i="5" a="1"/>
  <c r="M253" i="5" s="1"/>
  <c r="J258" i="5" a="1"/>
  <c r="J258" i="5" s="1"/>
  <c r="L260" i="5" a="1"/>
  <c r="L260" i="5" s="1"/>
  <c r="N263" i="5"/>
  <c r="G263" i="5" a="1"/>
  <c r="G263" i="5" s="1"/>
  <c r="I265" i="5" a="1"/>
  <c r="I265" i="5" s="1"/>
  <c r="K267" i="5" a="1"/>
  <c r="K267" i="5" s="1"/>
  <c r="M269" i="5" a="1"/>
  <c r="M269" i="5" s="1"/>
  <c r="J274" i="5" a="1"/>
  <c r="J274" i="5" s="1"/>
  <c r="L276" i="5" a="1"/>
  <c r="L276" i="5" s="1"/>
  <c r="G279" i="5" a="1"/>
  <c r="G279" i="5" s="1"/>
  <c r="N279" i="5"/>
  <c r="I281" i="5" a="1"/>
  <c r="I281" i="5" s="1"/>
  <c r="K283" i="5" a="1"/>
  <c r="K283" i="5" s="1"/>
  <c r="M285" i="5" a="1"/>
  <c r="M285" i="5" s="1"/>
  <c r="J290" i="5" a="1"/>
  <c r="J290" i="5" s="1"/>
  <c r="L292" i="5" a="1"/>
  <c r="L292" i="5" s="1"/>
  <c r="N295" i="5"/>
  <c r="G295" i="5" a="1"/>
  <c r="G295" i="5" s="1"/>
  <c r="I297" i="5" a="1"/>
  <c r="I297" i="5" s="1"/>
  <c r="K299" i="5" a="1"/>
  <c r="K299" i="5" s="1"/>
  <c r="M301" i="5" a="1"/>
  <c r="M301" i="5" s="1"/>
  <c r="J306" i="5" a="1"/>
  <c r="J306" i="5" s="1"/>
  <c r="L308" i="5" a="1"/>
  <c r="L308" i="5" s="1"/>
  <c r="N311" i="5"/>
  <c r="G311" i="5" a="1"/>
  <c r="G311" i="5" s="1"/>
  <c r="I313" i="5" a="1"/>
  <c r="I313" i="5" s="1"/>
  <c r="K315" i="5" a="1"/>
  <c r="K315" i="5" s="1"/>
  <c r="M317" i="5" a="1"/>
  <c r="M317" i="5" s="1"/>
  <c r="J322" i="5" a="1"/>
  <c r="J322" i="5" s="1"/>
  <c r="L324" i="5" a="1"/>
  <c r="L324" i="5" s="1"/>
  <c r="G327" i="5" a="1"/>
  <c r="G327" i="5" s="1"/>
  <c r="N327" i="5"/>
  <c r="I329" i="5" a="1"/>
  <c r="I329" i="5" s="1"/>
  <c r="K331" i="5" a="1"/>
  <c r="K331" i="5" s="1"/>
  <c r="M333" i="5" a="1"/>
  <c r="M333" i="5" s="1"/>
  <c r="J338" i="5" a="1"/>
  <c r="J338" i="5" s="1"/>
  <c r="L340" i="5" a="1"/>
  <c r="L340" i="5" s="1"/>
  <c r="G343" i="5" a="1"/>
  <c r="G343" i="5" s="1"/>
  <c r="N343" i="5"/>
  <c r="I345" i="5" a="1"/>
  <c r="I345" i="5" s="1"/>
  <c r="K347" i="5" a="1"/>
  <c r="K347" i="5" s="1"/>
  <c r="M349" i="5" a="1"/>
  <c r="M349" i="5" s="1"/>
  <c r="J354" i="5" a="1"/>
  <c r="J354" i="5" s="1"/>
  <c r="L356" i="5" a="1"/>
  <c r="L356" i="5" s="1"/>
  <c r="N359" i="5"/>
  <c r="G359" i="5" a="1"/>
  <c r="G359" i="5" s="1"/>
  <c r="I361" i="5" a="1"/>
  <c r="I361" i="5" s="1"/>
  <c r="K363" i="5" a="1"/>
  <c r="K363" i="5" s="1"/>
  <c r="M365" i="5" a="1"/>
  <c r="M365" i="5" s="1"/>
  <c r="J370" i="5" a="1"/>
  <c r="J370" i="5" s="1"/>
  <c r="L372" i="5" a="1"/>
  <c r="L372" i="5" s="1"/>
  <c r="G375" i="5" a="1"/>
  <c r="G375" i="5" s="1"/>
  <c r="N375" i="5"/>
  <c r="I377" i="5" a="1"/>
  <c r="I377" i="5" s="1"/>
  <c r="K379" i="5" a="1"/>
  <c r="K379" i="5" s="1"/>
  <c r="M381" i="5" a="1"/>
  <c r="M381" i="5" s="1"/>
  <c r="J386" i="5" a="1"/>
  <c r="J386" i="5" s="1"/>
  <c r="L388" i="5" a="1"/>
  <c r="L388" i="5" s="1"/>
  <c r="N391" i="5"/>
  <c r="G391" i="5" a="1"/>
  <c r="G391" i="5" s="1"/>
  <c r="I393" i="5" a="1"/>
  <c r="I393" i="5" s="1"/>
  <c r="K395" i="5" a="1"/>
  <c r="K395" i="5" s="1"/>
  <c r="M397" i="5" a="1"/>
  <c r="M397" i="5" s="1"/>
  <c r="J402" i="5" a="1"/>
  <c r="J402" i="5" s="1"/>
  <c r="L404" i="5" a="1"/>
  <c r="L404" i="5" s="1"/>
  <c r="G407" i="5" a="1"/>
  <c r="G407" i="5" s="1"/>
  <c r="N407" i="5"/>
  <c r="K411" i="5" a="1"/>
  <c r="K411" i="5" s="1"/>
  <c r="M413" i="5" a="1"/>
  <c r="M413" i="5" s="1"/>
  <c r="J418" i="5" a="1"/>
  <c r="J418" i="5" s="1"/>
  <c r="L420" i="5" a="1"/>
  <c r="L420" i="5" s="1"/>
  <c r="N423" i="5"/>
  <c r="G423" i="5" a="1"/>
  <c r="G423" i="5" s="1"/>
  <c r="K427" i="5" a="1"/>
  <c r="K427" i="5" s="1"/>
  <c r="M429" i="5" a="1"/>
  <c r="M429" i="5" s="1"/>
  <c r="J434" i="5" a="1"/>
  <c r="J434" i="5" s="1"/>
  <c r="L436" i="5" a="1"/>
  <c r="L436" i="5" s="1"/>
  <c r="G439" i="5" a="1"/>
  <c r="G439" i="5" s="1"/>
  <c r="N439" i="5"/>
  <c r="K443" i="5" a="1"/>
  <c r="K443" i="5" s="1"/>
  <c r="M445" i="5" a="1"/>
  <c r="M445" i="5" s="1"/>
  <c r="J450" i="5" a="1"/>
  <c r="J450" i="5" s="1"/>
  <c r="L452" i="5" a="1"/>
  <c r="L452" i="5" s="1"/>
  <c r="G455" i="5" a="1"/>
  <c r="G455" i="5" s="1"/>
  <c r="N455" i="5"/>
  <c r="K459" i="5" a="1"/>
  <c r="K459" i="5" s="1"/>
  <c r="M461" i="5" a="1"/>
  <c r="M461" i="5" s="1"/>
  <c r="J466" i="5" a="1"/>
  <c r="J466" i="5" s="1"/>
  <c r="L468" i="5" a="1"/>
  <c r="L468" i="5" s="1"/>
  <c r="G471" i="5" a="1"/>
  <c r="G471" i="5" s="1"/>
  <c r="N471" i="5"/>
  <c r="K475" i="5" a="1"/>
  <c r="K475" i="5" s="1"/>
  <c r="M477" i="5" a="1"/>
  <c r="M477" i="5" s="1"/>
  <c r="J482" i="5" a="1"/>
  <c r="J482" i="5" s="1"/>
  <c r="L484" i="5" a="1"/>
  <c r="L484" i="5" s="1"/>
  <c r="G487" i="5" a="1"/>
  <c r="G487" i="5" s="1"/>
  <c r="N487" i="5"/>
  <c r="K491" i="5" a="1"/>
  <c r="K491" i="5" s="1"/>
  <c r="M493" i="5" a="1"/>
  <c r="M493" i="5" s="1"/>
  <c r="J498" i="5" a="1"/>
  <c r="J498" i="5" s="1"/>
  <c r="L500" i="5" a="1"/>
  <c r="L500" i="5" s="1"/>
  <c r="G503" i="5" a="1"/>
  <c r="G503" i="5" s="1"/>
  <c r="N503" i="5"/>
  <c r="K507" i="5" a="1"/>
  <c r="K507" i="5" s="1"/>
  <c r="M509" i="5" a="1"/>
  <c r="M509" i="5" s="1"/>
  <c r="J514" i="5" a="1"/>
  <c r="J514" i="5" s="1"/>
  <c r="L516" i="5" a="1"/>
  <c r="L516" i="5" s="1"/>
  <c r="G519" i="5" a="1"/>
  <c r="G519" i="5" s="1"/>
  <c r="N519" i="5"/>
  <c r="K523" i="5" a="1"/>
  <c r="K523" i="5" s="1"/>
  <c r="M525" i="5" a="1"/>
  <c r="M525" i="5" s="1"/>
  <c r="J530" i="5" a="1"/>
  <c r="J530" i="5" s="1"/>
  <c r="L532" i="5" a="1"/>
  <c r="L532" i="5" s="1"/>
  <c r="N535" i="5"/>
  <c r="G535" i="5" a="1"/>
  <c r="G535" i="5" s="1"/>
  <c r="K539" i="5" a="1"/>
  <c r="K539" i="5" s="1"/>
  <c r="M541" i="5" a="1"/>
  <c r="M541" i="5" s="1"/>
  <c r="J546" i="5" a="1"/>
  <c r="J546" i="5" s="1"/>
  <c r="L548" i="5" a="1"/>
  <c r="L548" i="5" s="1"/>
  <c r="G551" i="5" a="1"/>
  <c r="G551" i="5" s="1"/>
  <c r="N551" i="5"/>
  <c r="K555" i="5" a="1"/>
  <c r="K555" i="5" s="1"/>
  <c r="M557" i="5" a="1"/>
  <c r="M557" i="5" s="1"/>
  <c r="J562" i="5" a="1"/>
  <c r="J562" i="5" s="1"/>
  <c r="N567" i="5"/>
  <c r="G567" i="5" a="1"/>
  <c r="G567" i="5" s="1"/>
  <c r="L564" i="5" a="1"/>
  <c r="L564" i="5" s="1"/>
  <c r="J20" i="5" a="1"/>
  <c r="J20" i="5" s="1"/>
  <c r="K61" i="5" a="1"/>
  <c r="K61" i="5" s="1"/>
  <c r="L102" i="5" a="1"/>
  <c r="L102" i="5" s="1"/>
  <c r="N137" i="5"/>
  <c r="G137" i="5" a="1"/>
  <c r="G137" i="5" s="1"/>
  <c r="K173" i="5" a="1"/>
  <c r="K173" i="5" s="1"/>
  <c r="M207" i="5" a="1"/>
  <c r="M207" i="5" s="1"/>
  <c r="L278" i="5" a="1"/>
  <c r="L278" i="5" s="1"/>
  <c r="J308" i="5" a="1"/>
  <c r="J308" i="5" s="1"/>
  <c r="I331" i="5" a="1"/>
  <c r="I331" i="5" s="1"/>
  <c r="J356" i="5" a="1"/>
  <c r="J356" i="5" s="1"/>
  <c r="J388" i="5" a="1"/>
  <c r="J388" i="5" s="1"/>
  <c r="J420" i="5" a="1"/>
  <c r="J420" i="5" s="1"/>
  <c r="L454" i="5" a="1"/>
  <c r="L454" i="5" s="1"/>
  <c r="G489" i="5" a="1"/>
  <c r="G489" i="5" s="1"/>
  <c r="N489" i="5"/>
  <c r="K525" i="5" a="1"/>
  <c r="K525" i="5" s="1"/>
  <c r="M559" i="5" a="1"/>
  <c r="M559" i="5" s="1"/>
  <c r="H427" i="5" a="1"/>
  <c r="H427" i="5" s="1"/>
  <c r="H139" i="5" a="1"/>
  <c r="H139" i="5" s="1"/>
  <c r="J27" i="5" a="1"/>
  <c r="J27" i="5" s="1"/>
  <c r="L61" i="5" a="1"/>
  <c r="L61" i="5" s="1"/>
  <c r="K100" i="5" a="1"/>
  <c r="K100" i="5" s="1"/>
  <c r="J139" i="5" a="1"/>
  <c r="J139" i="5" s="1"/>
  <c r="L173" i="5" a="1"/>
  <c r="L173" i="5" s="1"/>
  <c r="N208" i="5"/>
  <c r="G208" i="5" a="1"/>
  <c r="G208" i="5" s="1"/>
  <c r="I242" i="5" a="1"/>
  <c r="I242" i="5" s="1"/>
  <c r="L269" i="5" a="1"/>
  <c r="L269" i="5" s="1"/>
  <c r="L301" i="5" a="1"/>
  <c r="L301" i="5" s="1"/>
  <c r="M358" i="5" a="1"/>
  <c r="M358" i="5" s="1"/>
  <c r="K388" i="5" a="1"/>
  <c r="K388" i="5" s="1"/>
  <c r="M422" i="5" a="1"/>
  <c r="M422" i="5" s="1"/>
  <c r="M454" i="5" a="1"/>
  <c r="M454" i="5" s="1"/>
  <c r="N480" i="5"/>
  <c r="G480" i="5" a="1"/>
  <c r="G480" i="5" s="1"/>
  <c r="M550" i="5" a="1"/>
  <c r="M550" i="5" s="1"/>
  <c r="H537" i="5" a="1"/>
  <c r="H537" i="5" s="1"/>
  <c r="H425" i="5" a="1"/>
  <c r="H425" i="5" s="1"/>
  <c r="H377" i="5" a="1"/>
  <c r="H377" i="5" s="1"/>
  <c r="H361" i="5" a="1"/>
  <c r="H361" i="5" s="1"/>
  <c r="H329" i="5" a="1"/>
  <c r="H329" i="5" s="1"/>
  <c r="H313" i="5" a="1"/>
  <c r="H313" i="5" s="1"/>
  <c r="H265" i="5" a="1"/>
  <c r="H265" i="5" s="1"/>
  <c r="H233" i="5" a="1"/>
  <c r="H233" i="5" s="1"/>
  <c r="H169" i="5" a="1"/>
  <c r="H169" i="5" s="1"/>
  <c r="H137" i="5" a="1"/>
  <c r="H137" i="5" s="1"/>
  <c r="H105" i="5" a="1"/>
  <c r="H105" i="5" s="1"/>
  <c r="H73" i="5" a="1"/>
  <c r="H73" i="5" s="1"/>
  <c r="H9" i="5" a="1"/>
  <c r="H9" i="5" s="1"/>
  <c r="I514" i="5" a="1"/>
  <c r="I514" i="5" s="1"/>
  <c r="I498" i="5" a="1"/>
  <c r="I498" i="5" s="1"/>
  <c r="I466" i="5" a="1"/>
  <c r="I466" i="5" s="1"/>
  <c r="K2" i="5" a="1"/>
  <c r="K2" i="5" s="1"/>
  <c r="M4" i="5" a="1"/>
  <c r="M4" i="5" s="1"/>
  <c r="H7" i="5" a="1"/>
  <c r="H7" i="5" s="1"/>
  <c r="J9" i="5" a="1"/>
  <c r="J9" i="5" s="1"/>
  <c r="L11" i="5" a="1"/>
  <c r="L11" i="5" s="1"/>
  <c r="N14" i="5"/>
  <c r="G14" i="5" a="1"/>
  <c r="G14" i="5" s="1"/>
  <c r="I16" i="5" a="1"/>
  <c r="I16" i="5" s="1"/>
  <c r="K18" i="5" a="1"/>
  <c r="K18" i="5" s="1"/>
  <c r="M20" i="5" a="1"/>
  <c r="M20" i="5" s="1"/>
  <c r="J25" i="5" a="1"/>
  <c r="J25" i="5" s="1"/>
  <c r="L27" i="5" a="1"/>
  <c r="L27" i="5" s="1"/>
  <c r="G30" i="5" a="1"/>
  <c r="G30" i="5" s="1"/>
  <c r="N30" i="5"/>
  <c r="I32" i="5" a="1"/>
  <c r="I32" i="5" s="1"/>
  <c r="K34" i="5" a="1"/>
  <c r="K34" i="5" s="1"/>
  <c r="M36" i="5" a="1"/>
  <c r="M36" i="5" s="1"/>
  <c r="J41" i="5" a="1"/>
  <c r="J41" i="5" s="1"/>
  <c r="L43" i="5" a="1"/>
  <c r="L43" i="5" s="1"/>
  <c r="G46" i="5" a="1"/>
  <c r="G46" i="5" s="1"/>
  <c r="N46" i="5"/>
  <c r="I48" i="5" a="1"/>
  <c r="I48" i="5" s="1"/>
  <c r="K50" i="5" a="1"/>
  <c r="K50" i="5" s="1"/>
  <c r="M52" i="5" a="1"/>
  <c r="M52" i="5" s="1"/>
  <c r="J57" i="5" a="1"/>
  <c r="J57" i="5" s="1"/>
  <c r="L59" i="5" a="1"/>
  <c r="L59" i="5" s="1"/>
  <c r="N62" i="5"/>
  <c r="G62" i="5" a="1"/>
  <c r="G62" i="5" s="1"/>
  <c r="I64" i="5" a="1"/>
  <c r="I64" i="5" s="1"/>
  <c r="K66" i="5" a="1"/>
  <c r="K66" i="5" s="1"/>
  <c r="M68" i="5" a="1"/>
  <c r="M68" i="5" s="1"/>
  <c r="J73" i="5" a="1"/>
  <c r="J73" i="5" s="1"/>
  <c r="L75" i="5" a="1"/>
  <c r="L75" i="5" s="1"/>
  <c r="N78" i="5"/>
  <c r="G78" i="5" a="1"/>
  <c r="G78" i="5" s="1"/>
  <c r="I80" i="5" a="1"/>
  <c r="I80" i="5" s="1"/>
  <c r="K82" i="5" a="1"/>
  <c r="K82" i="5" s="1"/>
  <c r="M84" i="5" a="1"/>
  <c r="M84" i="5" s="1"/>
  <c r="J89" i="5" a="1"/>
  <c r="J89" i="5" s="1"/>
  <c r="L91" i="5" a="1"/>
  <c r="L91" i="5" s="1"/>
  <c r="N94" i="5"/>
  <c r="G94" i="5" a="1"/>
  <c r="G94" i="5" s="1"/>
  <c r="I96" i="5" a="1"/>
  <c r="I96" i="5" s="1"/>
  <c r="K98" i="5" a="1"/>
  <c r="K98" i="5" s="1"/>
  <c r="M100" i="5" a="1"/>
  <c r="M100" i="5" s="1"/>
  <c r="L107" i="5" a="1"/>
  <c r="L107" i="5" s="1"/>
  <c r="G110" i="5" a="1"/>
  <c r="G110" i="5" s="1"/>
  <c r="N110" i="5"/>
  <c r="I112" i="5" a="1"/>
  <c r="I112" i="5" s="1"/>
  <c r="K114" i="5" a="1"/>
  <c r="K114" i="5" s="1"/>
  <c r="M116" i="5" a="1"/>
  <c r="M116" i="5" s="1"/>
  <c r="J121" i="5" a="1"/>
  <c r="J121" i="5" s="1"/>
  <c r="L123" i="5" a="1"/>
  <c r="L123" i="5" s="1"/>
  <c r="N126" i="5"/>
  <c r="G126" i="5" a="1"/>
  <c r="G126" i="5" s="1"/>
  <c r="I128" i="5" a="1"/>
  <c r="I128" i="5" s="1"/>
  <c r="K130" i="5" a="1"/>
  <c r="K130" i="5" s="1"/>
  <c r="M132" i="5" a="1"/>
  <c r="M132" i="5" s="1"/>
  <c r="J137" i="5" a="1"/>
  <c r="J137" i="5" s="1"/>
  <c r="L139" i="5" a="1"/>
  <c r="L139" i="5" s="1"/>
  <c r="G142" i="5" a="1"/>
  <c r="G142" i="5" s="1"/>
  <c r="N142" i="5"/>
  <c r="I144" i="5" a="1"/>
  <c r="I144" i="5" s="1"/>
  <c r="K146" i="5" a="1"/>
  <c r="K146" i="5" s="1"/>
  <c r="M148" i="5" a="1"/>
  <c r="M148" i="5" s="1"/>
  <c r="J153" i="5" a="1"/>
  <c r="J153" i="5" s="1"/>
  <c r="L155" i="5" a="1"/>
  <c r="L155" i="5" s="1"/>
  <c r="G158" i="5" a="1"/>
  <c r="G158" i="5" s="1"/>
  <c r="N158" i="5"/>
  <c r="I160" i="5" a="1"/>
  <c r="I160" i="5" s="1"/>
  <c r="K162" i="5" a="1"/>
  <c r="K162" i="5" s="1"/>
  <c r="M164" i="5" a="1"/>
  <c r="M164" i="5" s="1"/>
  <c r="J169" i="5" a="1"/>
  <c r="J169" i="5" s="1"/>
  <c r="L171" i="5" a="1"/>
  <c r="L171" i="5" s="1"/>
  <c r="G174" i="5" a="1"/>
  <c r="G174" i="5" s="1"/>
  <c r="N174" i="5"/>
  <c r="I176" i="5" a="1"/>
  <c r="I176" i="5" s="1"/>
  <c r="K178" i="5" a="1"/>
  <c r="K178" i="5" s="1"/>
  <c r="M180" i="5" a="1"/>
  <c r="M180" i="5" s="1"/>
  <c r="J185" i="5" a="1"/>
  <c r="J185" i="5" s="1"/>
  <c r="L187" i="5" a="1"/>
  <c r="L187" i="5" s="1"/>
  <c r="G190" i="5" a="1"/>
  <c r="G190" i="5" s="1"/>
  <c r="N190" i="5"/>
  <c r="I192" i="5" a="1"/>
  <c r="I192" i="5" s="1"/>
  <c r="K194" i="5" a="1"/>
  <c r="K194" i="5" s="1"/>
  <c r="M196" i="5" a="1"/>
  <c r="M196" i="5" s="1"/>
  <c r="J201" i="5" a="1"/>
  <c r="J201" i="5" s="1"/>
  <c r="L203" i="5" a="1"/>
  <c r="L203" i="5" s="1"/>
  <c r="N206" i="5"/>
  <c r="G206" i="5" a="1"/>
  <c r="G206" i="5" s="1"/>
  <c r="I208" i="5" a="1"/>
  <c r="I208" i="5" s="1"/>
  <c r="K210" i="5" a="1"/>
  <c r="K210" i="5" s="1"/>
  <c r="M212" i="5" a="1"/>
  <c r="M212" i="5" s="1"/>
  <c r="J217" i="5" a="1"/>
  <c r="J217" i="5" s="1"/>
  <c r="L219" i="5" a="1"/>
  <c r="L219" i="5" s="1"/>
  <c r="N222" i="5"/>
  <c r="G222" i="5" a="1"/>
  <c r="G222" i="5" s="1"/>
  <c r="I224" i="5" a="1"/>
  <c r="I224" i="5" s="1"/>
  <c r="K226" i="5" a="1"/>
  <c r="K226" i="5" s="1"/>
  <c r="M228" i="5" a="1"/>
  <c r="M228" i="5" s="1"/>
  <c r="J233" i="5" a="1"/>
  <c r="J233" i="5" s="1"/>
  <c r="L235" i="5" a="1"/>
  <c r="L235" i="5" s="1"/>
  <c r="N238" i="5"/>
  <c r="G238" i="5" a="1"/>
  <c r="G238" i="5" s="1"/>
  <c r="I240" i="5" a="1"/>
  <c r="I240" i="5" s="1"/>
  <c r="K242" i="5" a="1"/>
  <c r="K242" i="5" s="1"/>
  <c r="M244" i="5" a="1"/>
  <c r="M244" i="5" s="1"/>
  <c r="J249" i="5" a="1"/>
  <c r="J249" i="5" s="1"/>
  <c r="L251" i="5" a="1"/>
  <c r="L251" i="5" s="1"/>
  <c r="N254" i="5"/>
  <c r="G254" i="5" a="1"/>
  <c r="G254" i="5" s="1"/>
  <c r="I256" i="5" a="1"/>
  <c r="I256" i="5" s="1"/>
  <c r="K258" i="5" a="1"/>
  <c r="K258" i="5" s="1"/>
  <c r="M260" i="5" a="1"/>
  <c r="M260" i="5" s="1"/>
  <c r="J265" i="5" a="1"/>
  <c r="J265" i="5" s="1"/>
  <c r="L267" i="5" a="1"/>
  <c r="L267" i="5" s="1"/>
  <c r="N270" i="5"/>
  <c r="G270" i="5" a="1"/>
  <c r="G270" i="5" s="1"/>
  <c r="I272" i="5" a="1"/>
  <c r="I272" i="5" s="1"/>
  <c r="K274" i="5" a="1"/>
  <c r="K274" i="5" s="1"/>
  <c r="M276" i="5" a="1"/>
  <c r="M276" i="5" s="1"/>
  <c r="J281" i="5" a="1"/>
  <c r="J281" i="5" s="1"/>
  <c r="L283" i="5" a="1"/>
  <c r="L283" i="5" s="1"/>
  <c r="G286" i="5" a="1"/>
  <c r="G286" i="5" s="1"/>
  <c r="N286" i="5"/>
  <c r="I288" i="5" a="1"/>
  <c r="I288" i="5" s="1"/>
  <c r="K290" i="5" a="1"/>
  <c r="K290" i="5" s="1"/>
  <c r="M292" i="5" a="1"/>
  <c r="M292" i="5" s="1"/>
  <c r="J297" i="5" a="1"/>
  <c r="J297" i="5" s="1"/>
  <c r="L299" i="5" a="1"/>
  <c r="L299" i="5" s="1"/>
  <c r="G302" i="5" a="1"/>
  <c r="G302" i="5" s="1"/>
  <c r="N302" i="5"/>
  <c r="I304" i="5" a="1"/>
  <c r="I304" i="5" s="1"/>
  <c r="K306" i="5" a="1"/>
  <c r="K306" i="5" s="1"/>
  <c r="M308" i="5" a="1"/>
  <c r="M308" i="5" s="1"/>
  <c r="J313" i="5" a="1"/>
  <c r="J313" i="5" s="1"/>
  <c r="L315" i="5" a="1"/>
  <c r="L315" i="5" s="1"/>
  <c r="G318" i="5" a="1"/>
  <c r="G318" i="5" s="1"/>
  <c r="N318" i="5"/>
  <c r="I320" i="5" a="1"/>
  <c r="I320" i="5" s="1"/>
  <c r="K322" i="5" a="1"/>
  <c r="K322" i="5" s="1"/>
  <c r="M324" i="5" a="1"/>
  <c r="M324" i="5" s="1"/>
  <c r="J329" i="5" a="1"/>
  <c r="J329" i="5" s="1"/>
  <c r="L331" i="5" a="1"/>
  <c r="L331" i="5" s="1"/>
  <c r="N334" i="5"/>
  <c r="G334" i="5" a="1"/>
  <c r="G334" i="5" s="1"/>
  <c r="I336" i="5" a="1"/>
  <c r="I336" i="5" s="1"/>
  <c r="K338" i="5" a="1"/>
  <c r="K338" i="5" s="1"/>
  <c r="M340" i="5" a="1"/>
  <c r="M340" i="5" s="1"/>
  <c r="J345" i="5" a="1"/>
  <c r="J345" i="5" s="1"/>
  <c r="L347" i="5" a="1"/>
  <c r="L347" i="5" s="1"/>
  <c r="N350" i="5"/>
  <c r="G350" i="5" a="1"/>
  <c r="G350" i="5" s="1"/>
  <c r="I352" i="5" a="1"/>
  <c r="I352" i="5" s="1"/>
  <c r="K354" i="5" a="1"/>
  <c r="K354" i="5" s="1"/>
  <c r="M356" i="5" a="1"/>
  <c r="M356" i="5" s="1"/>
  <c r="J361" i="5" a="1"/>
  <c r="J361" i="5" s="1"/>
  <c r="L363" i="5" a="1"/>
  <c r="L363" i="5" s="1"/>
  <c r="G366" i="5" a="1"/>
  <c r="G366" i="5" s="1"/>
  <c r="N366" i="5"/>
  <c r="I368" i="5" a="1"/>
  <c r="I368" i="5" s="1"/>
  <c r="K370" i="5" a="1"/>
  <c r="K370" i="5" s="1"/>
  <c r="M372" i="5" a="1"/>
  <c r="M372" i="5" s="1"/>
  <c r="J377" i="5" a="1"/>
  <c r="J377" i="5" s="1"/>
  <c r="L379" i="5" a="1"/>
  <c r="L379" i="5" s="1"/>
  <c r="G382" i="5" a="1"/>
  <c r="G382" i="5" s="1"/>
  <c r="N382" i="5"/>
  <c r="I384" i="5" a="1"/>
  <c r="I384" i="5" s="1"/>
  <c r="K386" i="5" a="1"/>
  <c r="K386" i="5" s="1"/>
  <c r="M388" i="5" a="1"/>
  <c r="M388" i="5" s="1"/>
  <c r="J393" i="5" a="1"/>
  <c r="J393" i="5" s="1"/>
  <c r="L395" i="5" a="1"/>
  <c r="L395" i="5" s="1"/>
  <c r="N398" i="5"/>
  <c r="G398" i="5" a="1"/>
  <c r="G398" i="5" s="1"/>
  <c r="I400" i="5" a="1"/>
  <c r="I400" i="5" s="1"/>
  <c r="K402" i="5" a="1"/>
  <c r="K402" i="5" s="1"/>
  <c r="M404" i="5" a="1"/>
  <c r="M404" i="5" s="1"/>
  <c r="J409" i="5" a="1"/>
  <c r="J409" i="5" s="1"/>
  <c r="L411" i="5" a="1"/>
  <c r="L411" i="5" s="1"/>
  <c r="G414" i="5" a="1"/>
  <c r="G414" i="5" s="1"/>
  <c r="N414" i="5"/>
  <c r="K418" i="5" a="1"/>
  <c r="K418" i="5" s="1"/>
  <c r="M420" i="5" a="1"/>
  <c r="M420" i="5" s="1"/>
  <c r="J425" i="5" a="1"/>
  <c r="J425" i="5" s="1"/>
  <c r="L427" i="5" a="1"/>
  <c r="L427" i="5" s="1"/>
  <c r="G430" i="5" a="1"/>
  <c r="G430" i="5" s="1"/>
  <c r="N430" i="5"/>
  <c r="K434" i="5" a="1"/>
  <c r="K434" i="5" s="1"/>
  <c r="M436" i="5" a="1"/>
  <c r="M436" i="5" s="1"/>
  <c r="J441" i="5" a="1"/>
  <c r="J441" i="5" s="1"/>
  <c r="L443" i="5" a="1"/>
  <c r="L443" i="5" s="1"/>
  <c r="N446" i="5"/>
  <c r="G446" i="5" a="1"/>
  <c r="G446" i="5" s="1"/>
  <c r="K450" i="5" a="1"/>
  <c r="K450" i="5" s="1"/>
  <c r="M452" i="5" a="1"/>
  <c r="M452" i="5" s="1"/>
  <c r="J457" i="5" a="1"/>
  <c r="J457" i="5" s="1"/>
  <c r="L459" i="5" a="1"/>
  <c r="L459" i="5" s="1"/>
  <c r="G462" i="5" a="1"/>
  <c r="G462" i="5" s="1"/>
  <c r="N462" i="5"/>
  <c r="K466" i="5" a="1"/>
  <c r="K466" i="5" s="1"/>
  <c r="M468" i="5" a="1"/>
  <c r="M468" i="5" s="1"/>
  <c r="J473" i="5" a="1"/>
  <c r="J473" i="5" s="1"/>
  <c r="L475" i="5" a="1"/>
  <c r="L475" i="5" s="1"/>
  <c r="N478" i="5"/>
  <c r="G478" i="5" a="1"/>
  <c r="G478" i="5" s="1"/>
  <c r="K482" i="5" a="1"/>
  <c r="K482" i="5" s="1"/>
  <c r="M484" i="5" a="1"/>
  <c r="M484" i="5" s="1"/>
  <c r="J489" i="5" a="1"/>
  <c r="J489" i="5" s="1"/>
  <c r="L491" i="5" a="1"/>
  <c r="L491" i="5" s="1"/>
  <c r="G494" i="5" a="1"/>
  <c r="G494" i="5" s="1"/>
  <c r="N494" i="5"/>
  <c r="K498" i="5" a="1"/>
  <c r="K498" i="5" s="1"/>
  <c r="M500" i="5" a="1"/>
  <c r="M500" i="5" s="1"/>
  <c r="J505" i="5" a="1"/>
  <c r="J505" i="5" s="1"/>
  <c r="L507" i="5" a="1"/>
  <c r="L507" i="5" s="1"/>
  <c r="G510" i="5" a="1"/>
  <c r="G510" i="5" s="1"/>
  <c r="N510" i="5"/>
  <c r="K514" i="5" a="1"/>
  <c r="K514" i="5" s="1"/>
  <c r="M516" i="5" a="1"/>
  <c r="M516" i="5" s="1"/>
  <c r="L523" i="5" a="1"/>
  <c r="L523" i="5" s="1"/>
  <c r="N526" i="5"/>
  <c r="G526" i="5" a="1"/>
  <c r="G526" i="5" s="1"/>
  <c r="K530" i="5" a="1"/>
  <c r="K530" i="5" s="1"/>
  <c r="M532" i="5" a="1"/>
  <c r="M532" i="5" s="1"/>
  <c r="L539" i="5" a="1"/>
  <c r="L539" i="5" s="1"/>
  <c r="G542" i="5" a="1"/>
  <c r="G542" i="5" s="1"/>
  <c r="N542" i="5"/>
  <c r="K546" i="5" a="1"/>
  <c r="K546" i="5" s="1"/>
  <c r="M548" i="5" a="1"/>
  <c r="M548" i="5" s="1"/>
  <c r="L555" i="5" a="1"/>
  <c r="L555" i="5" s="1"/>
  <c r="G558" i="5" a="1"/>
  <c r="G558" i="5" s="1"/>
  <c r="N558" i="5"/>
  <c r="M564" i="5" a="1"/>
  <c r="M564" i="5" s="1"/>
  <c r="N574" i="5"/>
  <c r="G574" i="5" a="1"/>
  <c r="G574" i="5" s="1"/>
  <c r="N599" i="5"/>
  <c r="K93" i="5" a="1"/>
  <c r="K93" i="5" s="1"/>
  <c r="K125" i="5" a="1"/>
  <c r="K125" i="5" s="1"/>
  <c r="I155" i="5" a="1"/>
  <c r="I155" i="5" s="1"/>
  <c r="K189" i="5" a="1"/>
  <c r="K189" i="5" s="1"/>
  <c r="K221" i="5" a="1"/>
  <c r="K221" i="5" s="1"/>
  <c r="J292" i="5" a="1"/>
  <c r="J292" i="5" s="1"/>
  <c r="L326" i="5" a="1"/>
  <c r="L326" i="5" s="1"/>
  <c r="M367" i="5" a="1"/>
  <c r="M367" i="5" s="1"/>
  <c r="J436" i="5" a="1"/>
  <c r="J436" i="5" s="1"/>
  <c r="L470" i="5" a="1"/>
  <c r="L470" i="5" s="1"/>
  <c r="N505" i="5"/>
  <c r="G505" i="5" a="1"/>
  <c r="G505" i="5" s="1"/>
  <c r="K541" i="5" a="1"/>
  <c r="K541" i="5" s="1"/>
  <c r="H539" i="5" a="1"/>
  <c r="H539" i="5" s="1"/>
  <c r="H363" i="5" a="1"/>
  <c r="H363" i="5" s="1"/>
  <c r="H171" i="5" a="1"/>
  <c r="H171" i="5" s="1"/>
  <c r="J11" i="5" a="1"/>
  <c r="J11" i="5" s="1"/>
  <c r="J43" i="5" a="1"/>
  <c r="J43" i="5" s="1"/>
  <c r="J75" i="5" a="1"/>
  <c r="J75" i="5" s="1"/>
  <c r="J107" i="5" a="1"/>
  <c r="J107" i="5" s="1"/>
  <c r="K132" i="5" a="1"/>
  <c r="K132" i="5" s="1"/>
  <c r="M166" i="5" a="1"/>
  <c r="M166" i="5" s="1"/>
  <c r="H201" i="5" a="1"/>
  <c r="H201" i="5" s="1"/>
  <c r="J235" i="5" a="1"/>
  <c r="J235" i="5" s="1"/>
  <c r="M262" i="5" a="1"/>
  <c r="M262" i="5" s="1"/>
  <c r="L285" i="5" a="1"/>
  <c r="L285" i="5" s="1"/>
  <c r="L317" i="5" a="1"/>
  <c r="L317" i="5" s="1"/>
  <c r="J347" i="5" a="1"/>
  <c r="J347" i="5" s="1"/>
  <c r="J379" i="5" a="1"/>
  <c r="J379" i="5" s="1"/>
  <c r="J411" i="5" a="1"/>
  <c r="J411" i="5" s="1"/>
  <c r="H441" i="5" a="1"/>
  <c r="H441" i="5" s="1"/>
  <c r="J475" i="5" a="1"/>
  <c r="J475" i="5" s="1"/>
  <c r="J507" i="5" a="1"/>
  <c r="J507" i="5" s="1"/>
  <c r="K532" i="5" a="1"/>
  <c r="K532" i="5" s="1"/>
  <c r="M566" i="5" a="1"/>
  <c r="M566" i="5" s="1"/>
  <c r="L2" i="5" a="1"/>
  <c r="L2" i="5" s="1"/>
  <c r="G5" i="5" a="1"/>
  <c r="G5" i="5" s="1"/>
  <c r="N5" i="5"/>
  <c r="I7" i="5" a="1"/>
  <c r="I7" i="5" s="1"/>
  <c r="K9" i="5" a="1"/>
  <c r="K9" i="5" s="1"/>
  <c r="M11" i="5" a="1"/>
  <c r="M11" i="5" s="1"/>
  <c r="J16" i="5" a="1"/>
  <c r="J16" i="5" s="1"/>
  <c r="L18" i="5" a="1"/>
  <c r="L18" i="5" s="1"/>
  <c r="N21" i="5"/>
  <c r="G21" i="5" a="1"/>
  <c r="G21" i="5" s="1"/>
  <c r="I23" i="5" a="1"/>
  <c r="I23" i="5" s="1"/>
  <c r="K25" i="5" a="1"/>
  <c r="K25" i="5" s="1"/>
  <c r="M27" i="5" a="1"/>
  <c r="M27" i="5" s="1"/>
  <c r="J32" i="5" a="1"/>
  <c r="J32" i="5" s="1"/>
  <c r="L34" i="5" a="1"/>
  <c r="L34" i="5" s="1"/>
  <c r="N37" i="5"/>
  <c r="G37" i="5" a="1"/>
  <c r="G37" i="5" s="1"/>
  <c r="I39" i="5" a="1"/>
  <c r="I39" i="5" s="1"/>
  <c r="K41" i="5" a="1"/>
  <c r="K41" i="5" s="1"/>
  <c r="M43" i="5" a="1"/>
  <c r="M43" i="5" s="1"/>
  <c r="J48" i="5" a="1"/>
  <c r="J48" i="5" s="1"/>
  <c r="L50" i="5" a="1"/>
  <c r="L50" i="5" s="1"/>
  <c r="G53" i="5" a="1"/>
  <c r="G53" i="5" s="1"/>
  <c r="N53" i="5"/>
  <c r="I55" i="5" a="1"/>
  <c r="I55" i="5" s="1"/>
  <c r="K57" i="5" a="1"/>
  <c r="K57" i="5" s="1"/>
  <c r="M59" i="5" a="1"/>
  <c r="M59" i="5" s="1"/>
  <c r="J64" i="5" a="1"/>
  <c r="J64" i="5" s="1"/>
  <c r="L66" i="5" a="1"/>
  <c r="L66" i="5" s="1"/>
  <c r="N69" i="5"/>
  <c r="G69" i="5" a="1"/>
  <c r="G69" i="5" s="1"/>
  <c r="I71" i="5" a="1"/>
  <c r="I71" i="5" s="1"/>
  <c r="K73" i="5" a="1"/>
  <c r="K73" i="5" s="1"/>
  <c r="M75" i="5" a="1"/>
  <c r="M75" i="5" s="1"/>
  <c r="J80" i="5" a="1"/>
  <c r="J80" i="5" s="1"/>
  <c r="L82" i="5" a="1"/>
  <c r="L82" i="5" s="1"/>
  <c r="G85" i="5" a="1"/>
  <c r="G85" i="5" s="1"/>
  <c r="N85" i="5"/>
  <c r="I87" i="5" a="1"/>
  <c r="I87" i="5" s="1"/>
  <c r="K89" i="5" a="1"/>
  <c r="K89" i="5" s="1"/>
  <c r="M91" i="5" a="1"/>
  <c r="M91" i="5" s="1"/>
  <c r="J96" i="5" a="1"/>
  <c r="J96" i="5" s="1"/>
  <c r="L98" i="5" a="1"/>
  <c r="L98" i="5" s="1"/>
  <c r="G101" i="5" a="1"/>
  <c r="G101" i="5" s="1"/>
  <c r="N101" i="5"/>
  <c r="I103" i="5" a="1"/>
  <c r="I103" i="5" s="1"/>
  <c r="K105" i="5" a="1"/>
  <c r="K105" i="5" s="1"/>
  <c r="M107" i="5" a="1"/>
  <c r="M107" i="5" s="1"/>
  <c r="J112" i="5" a="1"/>
  <c r="J112" i="5" s="1"/>
  <c r="L114" i="5" a="1"/>
  <c r="L114" i="5" s="1"/>
  <c r="N117" i="5"/>
  <c r="G117" i="5" a="1"/>
  <c r="G117" i="5" s="1"/>
  <c r="I119" i="5" a="1"/>
  <c r="I119" i="5" s="1"/>
  <c r="K121" i="5" a="1"/>
  <c r="K121" i="5" s="1"/>
  <c r="M123" i="5" a="1"/>
  <c r="M123" i="5" s="1"/>
  <c r="J128" i="5" a="1"/>
  <c r="J128" i="5" s="1"/>
  <c r="L130" i="5" a="1"/>
  <c r="L130" i="5" s="1"/>
  <c r="G133" i="5" a="1"/>
  <c r="G133" i="5" s="1"/>
  <c r="N133" i="5"/>
  <c r="I135" i="5" a="1"/>
  <c r="I135" i="5" s="1"/>
  <c r="K137" i="5" a="1"/>
  <c r="K137" i="5" s="1"/>
  <c r="M139" i="5" a="1"/>
  <c r="M139" i="5" s="1"/>
  <c r="J144" i="5" a="1"/>
  <c r="J144" i="5" s="1"/>
  <c r="L146" i="5" a="1"/>
  <c r="L146" i="5" s="1"/>
  <c r="G149" i="5" a="1"/>
  <c r="G149" i="5" s="1"/>
  <c r="N149" i="5"/>
  <c r="I151" i="5" a="1"/>
  <c r="I151" i="5" s="1"/>
  <c r="K153" i="5" a="1"/>
  <c r="K153" i="5" s="1"/>
  <c r="M155" i="5" a="1"/>
  <c r="M155" i="5" s="1"/>
  <c r="J160" i="5" a="1"/>
  <c r="J160" i="5" s="1"/>
  <c r="L162" i="5" a="1"/>
  <c r="L162" i="5" s="1"/>
  <c r="G165" i="5" a="1"/>
  <c r="G165" i="5" s="1"/>
  <c r="N165" i="5"/>
  <c r="I167" i="5" a="1"/>
  <c r="I167" i="5" s="1"/>
  <c r="M171" i="5" a="1"/>
  <c r="M171" i="5" s="1"/>
  <c r="J176" i="5" a="1"/>
  <c r="J176" i="5" s="1"/>
  <c r="L178" i="5" a="1"/>
  <c r="L178" i="5" s="1"/>
  <c r="G181" i="5" a="1"/>
  <c r="G181" i="5" s="1"/>
  <c r="N181" i="5"/>
  <c r="I183" i="5" a="1"/>
  <c r="I183" i="5" s="1"/>
  <c r="K185" i="5" a="1"/>
  <c r="K185" i="5" s="1"/>
  <c r="M187" i="5" a="1"/>
  <c r="M187" i="5" s="1"/>
  <c r="J192" i="5" a="1"/>
  <c r="J192" i="5" s="1"/>
  <c r="L194" i="5" a="1"/>
  <c r="L194" i="5" s="1"/>
  <c r="N197" i="5"/>
  <c r="G197" i="5" a="1"/>
  <c r="G197" i="5" s="1"/>
  <c r="I199" i="5" a="1"/>
  <c r="I199" i="5" s="1"/>
  <c r="K201" i="5" a="1"/>
  <c r="K201" i="5" s="1"/>
  <c r="M203" i="5" a="1"/>
  <c r="M203" i="5" s="1"/>
  <c r="J208" i="5" a="1"/>
  <c r="J208" i="5" s="1"/>
  <c r="L210" i="5" a="1"/>
  <c r="L210" i="5" s="1"/>
  <c r="N213" i="5"/>
  <c r="G213" i="5" a="1"/>
  <c r="G213" i="5" s="1"/>
  <c r="I215" i="5" a="1"/>
  <c r="I215" i="5" s="1"/>
  <c r="K217" i="5" a="1"/>
  <c r="K217" i="5" s="1"/>
  <c r="M219" i="5" a="1"/>
  <c r="M219" i="5" s="1"/>
  <c r="J224" i="5" a="1"/>
  <c r="J224" i="5" s="1"/>
  <c r="L226" i="5" a="1"/>
  <c r="L226" i="5" s="1"/>
  <c r="N229" i="5"/>
  <c r="G229" i="5" a="1"/>
  <c r="G229" i="5" s="1"/>
  <c r="I231" i="5" a="1"/>
  <c r="I231" i="5" s="1"/>
  <c r="K233" i="5" a="1"/>
  <c r="K233" i="5" s="1"/>
  <c r="M235" i="5" a="1"/>
  <c r="M235" i="5" s="1"/>
  <c r="J240" i="5" a="1"/>
  <c r="J240" i="5" s="1"/>
  <c r="L242" i="5" a="1"/>
  <c r="L242" i="5" s="1"/>
  <c r="N245" i="5"/>
  <c r="G245" i="5" a="1"/>
  <c r="G245" i="5" s="1"/>
  <c r="I247" i="5" a="1"/>
  <c r="I247" i="5" s="1"/>
  <c r="K249" i="5" a="1"/>
  <c r="K249" i="5" s="1"/>
  <c r="M251" i="5" a="1"/>
  <c r="M251" i="5" s="1"/>
  <c r="J256" i="5" a="1"/>
  <c r="J256" i="5" s="1"/>
  <c r="L258" i="5" a="1"/>
  <c r="L258" i="5" s="1"/>
  <c r="G261" i="5" a="1"/>
  <c r="G261" i="5" s="1"/>
  <c r="N261" i="5"/>
  <c r="I263" i="5" a="1"/>
  <c r="I263" i="5" s="1"/>
  <c r="K265" i="5" a="1"/>
  <c r="K265" i="5" s="1"/>
  <c r="M267" i="5" a="1"/>
  <c r="M267" i="5" s="1"/>
  <c r="J272" i="5" a="1"/>
  <c r="J272" i="5" s="1"/>
  <c r="L274" i="5" a="1"/>
  <c r="L274" i="5" s="1"/>
  <c r="N277" i="5"/>
  <c r="G277" i="5" a="1"/>
  <c r="G277" i="5" s="1"/>
  <c r="I279" i="5" a="1"/>
  <c r="I279" i="5" s="1"/>
  <c r="K281" i="5" a="1"/>
  <c r="K281" i="5" s="1"/>
  <c r="M283" i="5" a="1"/>
  <c r="M283" i="5" s="1"/>
  <c r="J288" i="5" a="1"/>
  <c r="J288" i="5" s="1"/>
  <c r="L290" i="5" a="1"/>
  <c r="L290" i="5" s="1"/>
  <c r="G293" i="5" a="1"/>
  <c r="G293" i="5" s="1"/>
  <c r="N293" i="5"/>
  <c r="I295" i="5" a="1"/>
  <c r="I295" i="5" s="1"/>
  <c r="K297" i="5" a="1"/>
  <c r="K297" i="5" s="1"/>
  <c r="M299" i="5" a="1"/>
  <c r="M299" i="5" s="1"/>
  <c r="J304" i="5" a="1"/>
  <c r="J304" i="5" s="1"/>
  <c r="L306" i="5" a="1"/>
  <c r="L306" i="5" s="1"/>
  <c r="G309" i="5" a="1"/>
  <c r="G309" i="5" s="1"/>
  <c r="N309" i="5"/>
  <c r="I311" i="5" a="1"/>
  <c r="I311" i="5" s="1"/>
  <c r="K313" i="5" a="1"/>
  <c r="K313" i="5" s="1"/>
  <c r="M315" i="5" a="1"/>
  <c r="M315" i="5" s="1"/>
  <c r="J320" i="5" a="1"/>
  <c r="J320" i="5" s="1"/>
  <c r="L322" i="5" a="1"/>
  <c r="L322" i="5" s="1"/>
  <c r="N325" i="5"/>
  <c r="G325" i="5" a="1"/>
  <c r="G325" i="5" s="1"/>
  <c r="I327" i="5" a="1"/>
  <c r="I327" i="5" s="1"/>
  <c r="K329" i="5" a="1"/>
  <c r="K329" i="5" s="1"/>
  <c r="M331" i="5" a="1"/>
  <c r="M331" i="5" s="1"/>
  <c r="J336" i="5" a="1"/>
  <c r="J336" i="5" s="1"/>
  <c r="L338" i="5" a="1"/>
  <c r="L338" i="5" s="1"/>
  <c r="G341" i="5" a="1"/>
  <c r="G341" i="5" s="1"/>
  <c r="N341" i="5"/>
  <c r="I343" i="5" a="1"/>
  <c r="I343" i="5" s="1"/>
  <c r="K345" i="5" a="1"/>
  <c r="K345" i="5" s="1"/>
  <c r="M347" i="5" a="1"/>
  <c r="M347" i="5" s="1"/>
  <c r="J352" i="5" a="1"/>
  <c r="J352" i="5" s="1"/>
  <c r="L354" i="5" a="1"/>
  <c r="L354" i="5" s="1"/>
  <c r="N357" i="5"/>
  <c r="G357" i="5" a="1"/>
  <c r="G357" i="5" s="1"/>
  <c r="I359" i="5" a="1"/>
  <c r="I359" i="5" s="1"/>
  <c r="K361" i="5" a="1"/>
  <c r="K361" i="5" s="1"/>
  <c r="M363" i="5" a="1"/>
  <c r="M363" i="5" s="1"/>
  <c r="J368" i="5" a="1"/>
  <c r="J368" i="5" s="1"/>
  <c r="L370" i="5" a="1"/>
  <c r="L370" i="5" s="1"/>
  <c r="N373" i="5"/>
  <c r="G373" i="5" a="1"/>
  <c r="G373" i="5" s="1"/>
  <c r="I375" i="5" a="1"/>
  <c r="I375" i="5" s="1"/>
  <c r="K377" i="5" a="1"/>
  <c r="K377" i="5" s="1"/>
  <c r="M379" i="5" a="1"/>
  <c r="M379" i="5" s="1"/>
  <c r="J384" i="5" a="1"/>
  <c r="J384" i="5" s="1"/>
  <c r="L386" i="5" a="1"/>
  <c r="L386" i="5" s="1"/>
  <c r="G389" i="5" a="1"/>
  <c r="G389" i="5" s="1"/>
  <c r="I391" i="5" a="1"/>
  <c r="I391" i="5" s="1"/>
  <c r="K393" i="5" a="1"/>
  <c r="K393" i="5" s="1"/>
  <c r="M395" i="5" a="1"/>
  <c r="M395" i="5" s="1"/>
  <c r="J400" i="5" a="1"/>
  <c r="J400" i="5" s="1"/>
  <c r="L402" i="5" a="1"/>
  <c r="L402" i="5" s="1"/>
  <c r="N405" i="5"/>
  <c r="G405" i="5" a="1"/>
  <c r="G405" i="5" s="1"/>
  <c r="K409" i="5" a="1"/>
  <c r="K409" i="5" s="1"/>
  <c r="M411" i="5" a="1"/>
  <c r="M411" i="5" s="1"/>
  <c r="J416" i="5" a="1"/>
  <c r="J416" i="5" s="1"/>
  <c r="L418" i="5" a="1"/>
  <c r="L418" i="5" s="1"/>
  <c r="G421" i="5" a="1"/>
  <c r="G421" i="5" s="1"/>
  <c r="N421" i="5"/>
  <c r="K425" i="5" a="1"/>
  <c r="K425" i="5" s="1"/>
  <c r="M427" i="5" a="1"/>
  <c r="M427" i="5" s="1"/>
  <c r="J432" i="5" a="1"/>
  <c r="J432" i="5" s="1"/>
  <c r="L434" i="5" a="1"/>
  <c r="L434" i="5" s="1"/>
  <c r="G437" i="5" a="1"/>
  <c r="G437" i="5" s="1"/>
  <c r="N437" i="5"/>
  <c r="K441" i="5" a="1"/>
  <c r="K441" i="5" s="1"/>
  <c r="M443" i="5" a="1"/>
  <c r="M443" i="5" s="1"/>
  <c r="J448" i="5" a="1"/>
  <c r="J448" i="5" s="1"/>
  <c r="L450" i="5" a="1"/>
  <c r="L450" i="5" s="1"/>
  <c r="N453" i="5"/>
  <c r="G453" i="5" a="1"/>
  <c r="G453" i="5" s="1"/>
  <c r="K457" i="5" a="1"/>
  <c r="K457" i="5" s="1"/>
  <c r="M459" i="5" a="1"/>
  <c r="M459" i="5" s="1"/>
  <c r="J464" i="5" a="1"/>
  <c r="J464" i="5" s="1"/>
  <c r="L466" i="5" a="1"/>
  <c r="L466" i="5" s="1"/>
  <c r="N469" i="5"/>
  <c r="G469" i="5" a="1"/>
  <c r="G469" i="5" s="1"/>
  <c r="K473" i="5" a="1"/>
  <c r="K473" i="5" s="1"/>
  <c r="M475" i="5" a="1"/>
  <c r="M475" i="5" s="1"/>
  <c r="J480" i="5" a="1"/>
  <c r="J480" i="5" s="1"/>
  <c r="L482" i="5" a="1"/>
  <c r="L482" i="5" s="1"/>
  <c r="G485" i="5" a="1"/>
  <c r="G485" i="5" s="1"/>
  <c r="N485" i="5"/>
  <c r="K489" i="5" a="1"/>
  <c r="K489" i="5" s="1"/>
  <c r="M491" i="5" a="1"/>
  <c r="M491" i="5" s="1"/>
  <c r="J496" i="5" a="1"/>
  <c r="J496" i="5" s="1"/>
  <c r="L498" i="5" a="1"/>
  <c r="L498" i="5" s="1"/>
  <c r="N501" i="5"/>
  <c r="G501" i="5" a="1"/>
  <c r="G501" i="5" s="1"/>
  <c r="K505" i="5" a="1"/>
  <c r="K505" i="5" s="1"/>
  <c r="M507" i="5" a="1"/>
  <c r="M507" i="5" s="1"/>
  <c r="J512" i="5" a="1"/>
  <c r="J512" i="5" s="1"/>
  <c r="L514" i="5" a="1"/>
  <c r="L514" i="5" s="1"/>
  <c r="G517" i="5" a="1"/>
  <c r="G517" i="5" s="1"/>
  <c r="N517" i="5"/>
  <c r="K521" i="5" a="1"/>
  <c r="K521" i="5" s="1"/>
  <c r="M523" i="5" a="1"/>
  <c r="M523" i="5" s="1"/>
  <c r="J528" i="5" a="1"/>
  <c r="J528" i="5" s="1"/>
  <c r="L530" i="5" a="1"/>
  <c r="L530" i="5" s="1"/>
  <c r="N533" i="5"/>
  <c r="G533" i="5" a="1"/>
  <c r="G533" i="5" s="1"/>
  <c r="K537" i="5" a="1"/>
  <c r="K537" i="5" s="1"/>
  <c r="M539" i="5" a="1"/>
  <c r="M539" i="5" s="1"/>
  <c r="J544" i="5" a="1"/>
  <c r="J544" i="5" s="1"/>
  <c r="L546" i="5" a="1"/>
  <c r="L546" i="5" s="1"/>
  <c r="N549" i="5"/>
  <c r="G549" i="5" a="1"/>
  <c r="G549" i="5" s="1"/>
  <c r="K553" i="5" a="1"/>
  <c r="K553" i="5" s="1"/>
  <c r="M555" i="5" a="1"/>
  <c r="M555" i="5" s="1"/>
  <c r="J560" i="5" a="1"/>
  <c r="J560" i="5" s="1"/>
  <c r="L562" i="5" a="1"/>
  <c r="L562" i="5" s="1"/>
  <c r="N565" i="5"/>
  <c r="G565" i="5" a="1"/>
  <c r="G565" i="5" s="1"/>
  <c r="J576" i="5" a="1"/>
  <c r="J576" i="5" s="1"/>
  <c r="N581" i="5"/>
  <c r="N597" i="5"/>
  <c r="N613" i="5"/>
  <c r="N629" i="5"/>
  <c r="N645" i="5"/>
  <c r="N647" i="5"/>
  <c r="K29" i="5" a="1"/>
  <c r="K29" i="5" s="1"/>
  <c r="N57" i="5"/>
  <c r="G57" i="5" a="1"/>
  <c r="G57" i="5" s="1"/>
  <c r="L86" i="5" a="1"/>
  <c r="L86" i="5" s="1"/>
  <c r="J116" i="5" a="1"/>
  <c r="J116" i="5" s="1"/>
  <c r="N153" i="5"/>
  <c r="G153" i="5" a="1"/>
  <c r="G153" i="5" s="1"/>
  <c r="J180" i="5" a="1"/>
  <c r="J180" i="5" s="1"/>
  <c r="K205" i="5" a="1"/>
  <c r="K205" i="5" s="1"/>
  <c r="L230" i="5" a="1"/>
  <c r="L230" i="5" s="1"/>
  <c r="J260" i="5" a="1"/>
  <c r="J260" i="5" s="1"/>
  <c r="G281" i="5" a="1"/>
  <c r="G281" i="5" s="1"/>
  <c r="N281" i="5"/>
  <c r="G313" i="5" a="1"/>
  <c r="G313" i="5" s="1"/>
  <c r="N313" i="5"/>
  <c r="K349" i="5" a="1"/>
  <c r="K349" i="5" s="1"/>
  <c r="G377" i="5" a="1"/>
  <c r="G377" i="5" s="1"/>
  <c r="N377" i="5"/>
  <c r="J404" i="5" a="1"/>
  <c r="J404" i="5" s="1"/>
  <c r="J500" i="5" a="1"/>
  <c r="J500" i="5" s="1"/>
  <c r="H315" i="5" a="1"/>
  <c r="H315" i="5" s="1"/>
  <c r="H11" i="5" a="1"/>
  <c r="H11" i="5" s="1"/>
  <c r="N16" i="5"/>
  <c r="G16" i="5" a="1"/>
  <c r="G16" i="5" s="1"/>
  <c r="M54" i="5" a="1"/>
  <c r="M54" i="5" s="1"/>
  <c r="G96" i="5" a="1"/>
  <c r="G96" i="5" s="1"/>
  <c r="N96" i="5"/>
  <c r="L141" i="5" a="1"/>
  <c r="L141" i="5" s="1"/>
  <c r="K180" i="5" a="1"/>
  <c r="K180" i="5" s="1"/>
  <c r="G224" i="5" a="1"/>
  <c r="G224" i="5" s="1"/>
  <c r="N224" i="5"/>
  <c r="I290" i="5" a="1"/>
  <c r="I290" i="5" s="1"/>
  <c r="H393" i="5" a="1"/>
  <c r="H393" i="5" s="1"/>
  <c r="K420" i="5" a="1"/>
  <c r="K420" i="5" s="1"/>
  <c r="K452" i="5" a="1"/>
  <c r="K452" i="5" s="1"/>
  <c r="H489" i="5" a="1"/>
  <c r="H489" i="5" s="1"/>
  <c r="H521" i="5" a="1"/>
  <c r="H521" i="5" s="1"/>
  <c r="L557" i="5" a="1"/>
  <c r="L557" i="5" s="1"/>
  <c r="H567" i="5" a="1"/>
  <c r="H567" i="5" s="1"/>
  <c r="H551" i="5" a="1"/>
  <c r="H551" i="5" s="1"/>
  <c r="H535" i="5" a="1"/>
  <c r="H535" i="5" s="1"/>
  <c r="H519" i="5" a="1"/>
  <c r="H519" i="5" s="1"/>
  <c r="H503" i="5" a="1"/>
  <c r="H503" i="5" s="1"/>
  <c r="H487" i="5" a="1"/>
  <c r="H487" i="5" s="1"/>
  <c r="H471" i="5" a="1"/>
  <c r="H471" i="5" s="1"/>
  <c r="H455" i="5" a="1"/>
  <c r="H455" i="5" s="1"/>
  <c r="H439" i="5" a="1"/>
  <c r="H439" i="5" s="1"/>
  <c r="H423" i="5" a="1"/>
  <c r="H423" i="5" s="1"/>
  <c r="H407" i="5" a="1"/>
  <c r="H407" i="5" s="1"/>
  <c r="H391" i="5" a="1"/>
  <c r="H391" i="5" s="1"/>
  <c r="H375" i="5" a="1"/>
  <c r="H375" i="5" s="1"/>
  <c r="H359" i="5" a="1"/>
  <c r="H359" i="5" s="1"/>
  <c r="H343" i="5" a="1"/>
  <c r="H343" i="5" s="1"/>
  <c r="H327" i="5" a="1"/>
  <c r="H327" i="5" s="1"/>
  <c r="H311" i="5" a="1"/>
  <c r="H311" i="5" s="1"/>
  <c r="H295" i="5" a="1"/>
  <c r="H295" i="5" s="1"/>
  <c r="H279" i="5" a="1"/>
  <c r="H279" i="5" s="1"/>
  <c r="H263" i="5" a="1"/>
  <c r="H263" i="5" s="1"/>
  <c r="H247" i="5" a="1"/>
  <c r="H247" i="5" s="1"/>
  <c r="H231" i="5" a="1"/>
  <c r="H231" i="5" s="1"/>
  <c r="H215" i="5" a="1"/>
  <c r="H215" i="5" s="1"/>
  <c r="H199" i="5" a="1"/>
  <c r="H199" i="5" s="1"/>
  <c r="H183" i="5" a="1"/>
  <c r="H183" i="5" s="1"/>
  <c r="H167" i="5" a="1"/>
  <c r="H167" i="5" s="1"/>
  <c r="H151" i="5" a="1"/>
  <c r="H151" i="5" s="1"/>
  <c r="H135" i="5" a="1"/>
  <c r="H135" i="5" s="1"/>
  <c r="H119" i="5" a="1"/>
  <c r="H119" i="5" s="1"/>
  <c r="H103" i="5" a="1"/>
  <c r="H103" i="5" s="1"/>
  <c r="H87" i="5" a="1"/>
  <c r="H87" i="5" s="1"/>
  <c r="H71" i="5" a="1"/>
  <c r="H71" i="5" s="1"/>
  <c r="H55" i="5" a="1"/>
  <c r="H55" i="5" s="1"/>
  <c r="H39" i="5" a="1"/>
  <c r="H39" i="5" s="1"/>
  <c r="H23" i="5" a="1"/>
  <c r="H23" i="5" s="1"/>
  <c r="I576" i="5" a="1"/>
  <c r="I576" i="5" s="1"/>
  <c r="I560" i="5" a="1"/>
  <c r="I560" i="5" s="1"/>
  <c r="I544" i="5" a="1"/>
  <c r="I544" i="5" s="1"/>
  <c r="I528" i="5" a="1"/>
  <c r="I528" i="5" s="1"/>
  <c r="I512" i="5" a="1"/>
  <c r="I512" i="5" s="1"/>
  <c r="I496" i="5" a="1"/>
  <c r="I496" i="5" s="1"/>
  <c r="I480" i="5" a="1"/>
  <c r="I480" i="5" s="1"/>
  <c r="I464" i="5" a="1"/>
  <c r="I464" i="5" s="1"/>
  <c r="I448" i="5" a="1"/>
  <c r="I448" i="5" s="1"/>
  <c r="I432" i="5" a="1"/>
  <c r="I432" i="5" s="1"/>
  <c r="I416" i="5" a="1"/>
  <c r="I416" i="5" s="1"/>
  <c r="L575" i="5" a="1"/>
  <c r="L575" i="5" s="1"/>
  <c r="N642" i="5"/>
  <c r="N626" i="5"/>
  <c r="N610" i="5"/>
  <c r="N594" i="5"/>
  <c r="N578" i="5"/>
  <c r="M2" i="5" a="1"/>
  <c r="M2" i="5" s="1"/>
  <c r="H5" i="5" a="1"/>
  <c r="H5" i="5" s="1"/>
  <c r="J7" i="5" a="1"/>
  <c r="J7" i="5" s="1"/>
  <c r="L9" i="5" a="1"/>
  <c r="L9" i="5" s="1"/>
  <c r="N12" i="5"/>
  <c r="G12" i="5" a="1"/>
  <c r="G12" i="5" s="1"/>
  <c r="I14" i="5" a="1"/>
  <c r="I14" i="5" s="1"/>
  <c r="K16" i="5" a="1"/>
  <c r="K16" i="5" s="1"/>
  <c r="M18" i="5" a="1"/>
  <c r="M18" i="5" s="1"/>
  <c r="J23" i="5" a="1"/>
  <c r="J23" i="5" s="1"/>
  <c r="L25" i="5" a="1"/>
  <c r="L25" i="5" s="1"/>
  <c r="N28" i="5"/>
  <c r="G28" i="5" a="1"/>
  <c r="G28" i="5" s="1"/>
  <c r="I30" i="5" a="1"/>
  <c r="I30" i="5" s="1"/>
  <c r="K32" i="5" a="1"/>
  <c r="K32" i="5" s="1"/>
  <c r="M34" i="5" a="1"/>
  <c r="M34" i="5" s="1"/>
  <c r="J39" i="5" a="1"/>
  <c r="J39" i="5" s="1"/>
  <c r="L41" i="5" a="1"/>
  <c r="L41" i="5" s="1"/>
  <c r="N44" i="5"/>
  <c r="G44" i="5" a="1"/>
  <c r="G44" i="5" s="1"/>
  <c r="I46" i="5" a="1"/>
  <c r="I46" i="5" s="1"/>
  <c r="K48" i="5" a="1"/>
  <c r="K48" i="5" s="1"/>
  <c r="M50" i="5" a="1"/>
  <c r="M50" i="5" s="1"/>
  <c r="J55" i="5" a="1"/>
  <c r="J55" i="5" s="1"/>
  <c r="L57" i="5" a="1"/>
  <c r="L57" i="5" s="1"/>
  <c r="G60" i="5" a="1"/>
  <c r="G60" i="5" s="1"/>
  <c r="N60" i="5"/>
  <c r="I62" i="5" a="1"/>
  <c r="I62" i="5" s="1"/>
  <c r="K64" i="5" a="1"/>
  <c r="K64" i="5" s="1"/>
  <c r="M66" i="5" a="1"/>
  <c r="M66" i="5" s="1"/>
  <c r="J71" i="5" a="1"/>
  <c r="J71" i="5" s="1"/>
  <c r="L73" i="5" a="1"/>
  <c r="L73" i="5" s="1"/>
  <c r="G76" i="5" a="1"/>
  <c r="G76" i="5" s="1"/>
  <c r="N76" i="5"/>
  <c r="I78" i="5" a="1"/>
  <c r="I78" i="5" s="1"/>
  <c r="K80" i="5" a="1"/>
  <c r="K80" i="5" s="1"/>
  <c r="M82" i="5" a="1"/>
  <c r="M82" i="5" s="1"/>
  <c r="J87" i="5" a="1"/>
  <c r="J87" i="5" s="1"/>
  <c r="L89" i="5" a="1"/>
  <c r="L89" i="5" s="1"/>
  <c r="N92" i="5"/>
  <c r="G92" i="5" a="1"/>
  <c r="G92" i="5" s="1"/>
  <c r="I94" i="5" a="1"/>
  <c r="I94" i="5" s="1"/>
  <c r="K96" i="5" a="1"/>
  <c r="K96" i="5" s="1"/>
  <c r="M98" i="5" a="1"/>
  <c r="M98" i="5" s="1"/>
  <c r="J103" i="5" a="1"/>
  <c r="J103" i="5" s="1"/>
  <c r="L105" i="5" a="1"/>
  <c r="L105" i="5" s="1"/>
  <c r="N108" i="5"/>
  <c r="G108" i="5" a="1"/>
  <c r="G108" i="5" s="1"/>
  <c r="I110" i="5" a="1"/>
  <c r="I110" i="5" s="1"/>
  <c r="K112" i="5" a="1"/>
  <c r="K112" i="5" s="1"/>
  <c r="M114" i="5" a="1"/>
  <c r="M114" i="5" s="1"/>
  <c r="J119" i="5" a="1"/>
  <c r="J119" i="5" s="1"/>
  <c r="L121" i="5" a="1"/>
  <c r="L121" i="5" s="1"/>
  <c r="N124" i="5"/>
  <c r="G124" i="5" a="1"/>
  <c r="G124" i="5" s="1"/>
  <c r="I126" i="5" a="1"/>
  <c r="I126" i="5" s="1"/>
  <c r="K128" i="5" a="1"/>
  <c r="K128" i="5" s="1"/>
  <c r="M130" i="5" a="1"/>
  <c r="M130" i="5" s="1"/>
  <c r="J135" i="5" a="1"/>
  <c r="J135" i="5" s="1"/>
  <c r="L137" i="5" a="1"/>
  <c r="L137" i="5" s="1"/>
  <c r="N140" i="5"/>
  <c r="G140" i="5" a="1"/>
  <c r="G140" i="5" s="1"/>
  <c r="I142" i="5" a="1"/>
  <c r="I142" i="5" s="1"/>
  <c r="K144" i="5" a="1"/>
  <c r="K144" i="5" s="1"/>
  <c r="M146" i="5" a="1"/>
  <c r="M146" i="5" s="1"/>
  <c r="J151" i="5" a="1"/>
  <c r="J151" i="5" s="1"/>
  <c r="L153" i="5" a="1"/>
  <c r="L153" i="5" s="1"/>
  <c r="G156" i="5" a="1"/>
  <c r="G156" i="5" s="1"/>
  <c r="N156" i="5"/>
  <c r="I158" i="5" a="1"/>
  <c r="I158" i="5" s="1"/>
  <c r="K160" i="5" a="1"/>
  <c r="K160" i="5" s="1"/>
  <c r="M162" i="5" a="1"/>
  <c r="M162" i="5" s="1"/>
  <c r="J167" i="5" a="1"/>
  <c r="J167" i="5" s="1"/>
  <c r="L169" i="5" a="1"/>
  <c r="L169" i="5" s="1"/>
  <c r="N172" i="5"/>
  <c r="G172" i="5" a="1"/>
  <c r="G172" i="5" s="1"/>
  <c r="I174" i="5" a="1"/>
  <c r="I174" i="5" s="1"/>
  <c r="K176" i="5" a="1"/>
  <c r="K176" i="5" s="1"/>
  <c r="M178" i="5" a="1"/>
  <c r="M178" i="5" s="1"/>
  <c r="J183" i="5" a="1"/>
  <c r="J183" i="5" s="1"/>
  <c r="L185" i="5" a="1"/>
  <c r="L185" i="5" s="1"/>
  <c r="N188" i="5"/>
  <c r="G188" i="5" a="1"/>
  <c r="G188" i="5" s="1"/>
  <c r="I190" i="5" a="1"/>
  <c r="I190" i="5" s="1"/>
  <c r="K192" i="5" a="1"/>
  <c r="K192" i="5" s="1"/>
  <c r="M194" i="5" a="1"/>
  <c r="M194" i="5" s="1"/>
  <c r="J199" i="5" a="1"/>
  <c r="J199" i="5" s="1"/>
  <c r="L201" i="5" a="1"/>
  <c r="L201" i="5" s="1"/>
  <c r="N204" i="5"/>
  <c r="G204" i="5" a="1"/>
  <c r="G204" i="5" s="1"/>
  <c r="I206" i="5" a="1"/>
  <c r="I206" i="5" s="1"/>
  <c r="K208" i="5" a="1"/>
  <c r="K208" i="5" s="1"/>
  <c r="M210" i="5" a="1"/>
  <c r="M210" i="5" s="1"/>
  <c r="J215" i="5" a="1"/>
  <c r="J215" i="5" s="1"/>
  <c r="L217" i="5" a="1"/>
  <c r="L217" i="5" s="1"/>
  <c r="N220" i="5"/>
  <c r="G220" i="5" a="1"/>
  <c r="G220" i="5" s="1"/>
  <c r="I222" i="5" a="1"/>
  <c r="I222" i="5" s="1"/>
  <c r="K224" i="5" a="1"/>
  <c r="K224" i="5" s="1"/>
  <c r="M226" i="5" a="1"/>
  <c r="M226" i="5" s="1"/>
  <c r="J231" i="5" a="1"/>
  <c r="J231" i="5" s="1"/>
  <c r="L233" i="5" a="1"/>
  <c r="L233" i="5" s="1"/>
  <c r="G236" i="5" a="1"/>
  <c r="G236" i="5" s="1"/>
  <c r="N236" i="5"/>
  <c r="I238" i="5" a="1"/>
  <c r="I238" i="5" s="1"/>
  <c r="K240" i="5" a="1"/>
  <c r="K240" i="5" s="1"/>
  <c r="M242" i="5" a="1"/>
  <c r="M242" i="5" s="1"/>
  <c r="J247" i="5" a="1"/>
  <c r="J247" i="5" s="1"/>
  <c r="L249" i="5" a="1"/>
  <c r="L249" i="5" s="1"/>
  <c r="N252" i="5"/>
  <c r="G252" i="5" a="1"/>
  <c r="G252" i="5" s="1"/>
  <c r="I254" i="5" a="1"/>
  <c r="I254" i="5" s="1"/>
  <c r="K256" i="5" a="1"/>
  <c r="K256" i="5" s="1"/>
  <c r="M258" i="5" a="1"/>
  <c r="M258" i="5" s="1"/>
  <c r="J263" i="5" a="1"/>
  <c r="J263" i="5" s="1"/>
  <c r="L265" i="5" a="1"/>
  <c r="L265" i="5" s="1"/>
  <c r="N268" i="5"/>
  <c r="G268" i="5" a="1"/>
  <c r="G268" i="5" s="1"/>
  <c r="I270" i="5" a="1"/>
  <c r="I270" i="5" s="1"/>
  <c r="K272" i="5" a="1"/>
  <c r="K272" i="5" s="1"/>
  <c r="M274" i="5" a="1"/>
  <c r="M274" i="5" s="1"/>
  <c r="J279" i="5" a="1"/>
  <c r="J279" i="5" s="1"/>
  <c r="L281" i="5" a="1"/>
  <c r="L281" i="5" s="1"/>
  <c r="G284" i="5" a="1"/>
  <c r="G284" i="5" s="1"/>
  <c r="N284" i="5"/>
  <c r="I286" i="5" a="1"/>
  <c r="I286" i="5" s="1"/>
  <c r="K288" i="5" a="1"/>
  <c r="K288" i="5" s="1"/>
  <c r="M290" i="5" a="1"/>
  <c r="M290" i="5" s="1"/>
  <c r="J295" i="5" a="1"/>
  <c r="J295" i="5" s="1"/>
  <c r="L297" i="5" a="1"/>
  <c r="L297" i="5" s="1"/>
  <c r="G300" i="5" a="1"/>
  <c r="G300" i="5" s="1"/>
  <c r="N300" i="5"/>
  <c r="I302" i="5" a="1"/>
  <c r="I302" i="5" s="1"/>
  <c r="K304" i="5" a="1"/>
  <c r="K304" i="5" s="1"/>
  <c r="M306" i="5" a="1"/>
  <c r="M306" i="5" s="1"/>
  <c r="J311" i="5" a="1"/>
  <c r="J311" i="5" s="1"/>
  <c r="L313" i="5" a="1"/>
  <c r="L313" i="5" s="1"/>
  <c r="N316" i="5"/>
  <c r="G316" i="5" a="1"/>
  <c r="G316" i="5" s="1"/>
  <c r="I318" i="5" a="1"/>
  <c r="I318" i="5" s="1"/>
  <c r="K320" i="5" a="1"/>
  <c r="K320" i="5" s="1"/>
  <c r="M322" i="5" a="1"/>
  <c r="M322" i="5" s="1"/>
  <c r="J327" i="5" a="1"/>
  <c r="J327" i="5" s="1"/>
  <c r="L329" i="5" a="1"/>
  <c r="L329" i="5" s="1"/>
  <c r="G332" i="5" a="1"/>
  <c r="G332" i="5" s="1"/>
  <c r="N332" i="5"/>
  <c r="I334" i="5" a="1"/>
  <c r="I334" i="5" s="1"/>
  <c r="K336" i="5" a="1"/>
  <c r="K336" i="5" s="1"/>
  <c r="M338" i="5" a="1"/>
  <c r="M338" i="5" s="1"/>
  <c r="J343" i="5" a="1"/>
  <c r="J343" i="5" s="1"/>
  <c r="L345" i="5" a="1"/>
  <c r="L345" i="5" s="1"/>
  <c r="N348" i="5"/>
  <c r="G348" i="5" a="1"/>
  <c r="G348" i="5" s="1"/>
  <c r="I350" i="5" a="1"/>
  <c r="I350" i="5" s="1"/>
  <c r="K352" i="5" a="1"/>
  <c r="K352" i="5" s="1"/>
  <c r="M354" i="5" a="1"/>
  <c r="M354" i="5" s="1"/>
  <c r="J359" i="5" a="1"/>
  <c r="J359" i="5" s="1"/>
  <c r="L361" i="5" a="1"/>
  <c r="L361" i="5" s="1"/>
  <c r="N364" i="5"/>
  <c r="G364" i="5" a="1"/>
  <c r="G364" i="5" s="1"/>
  <c r="I366" i="5" a="1"/>
  <c r="I366" i="5" s="1"/>
  <c r="K368" i="5" a="1"/>
  <c r="K368" i="5" s="1"/>
  <c r="M370" i="5" a="1"/>
  <c r="M370" i="5" s="1"/>
  <c r="J375" i="5" a="1"/>
  <c r="J375" i="5" s="1"/>
  <c r="L377" i="5" a="1"/>
  <c r="L377" i="5" s="1"/>
  <c r="N380" i="5"/>
  <c r="G380" i="5" a="1"/>
  <c r="G380" i="5" s="1"/>
  <c r="I382" i="5" a="1"/>
  <c r="I382" i="5" s="1"/>
  <c r="K384" i="5" a="1"/>
  <c r="K384" i="5" s="1"/>
  <c r="M386" i="5" a="1"/>
  <c r="M386" i="5" s="1"/>
  <c r="J391" i="5" a="1"/>
  <c r="J391" i="5" s="1"/>
  <c r="L393" i="5" a="1"/>
  <c r="L393" i="5" s="1"/>
  <c r="G396" i="5" a="1"/>
  <c r="G396" i="5" s="1"/>
  <c r="N396" i="5"/>
  <c r="I398" i="5" a="1"/>
  <c r="I398" i="5" s="1"/>
  <c r="K400" i="5" a="1"/>
  <c r="K400" i="5" s="1"/>
  <c r="M402" i="5" a="1"/>
  <c r="M402" i="5" s="1"/>
  <c r="J407" i="5" a="1"/>
  <c r="J407" i="5" s="1"/>
  <c r="L409" i="5" a="1"/>
  <c r="L409" i="5" s="1"/>
  <c r="G412" i="5" a="1"/>
  <c r="G412" i="5" s="1"/>
  <c r="N412" i="5"/>
  <c r="K416" i="5" a="1"/>
  <c r="K416" i="5" s="1"/>
  <c r="M418" i="5" a="1"/>
  <c r="M418" i="5" s="1"/>
  <c r="J423" i="5" a="1"/>
  <c r="J423" i="5" s="1"/>
  <c r="L425" i="5" a="1"/>
  <c r="L425" i="5" s="1"/>
  <c r="N428" i="5"/>
  <c r="G428" i="5" a="1"/>
  <c r="G428" i="5" s="1"/>
  <c r="K432" i="5" a="1"/>
  <c r="K432" i="5" s="1"/>
  <c r="M434" i="5" a="1"/>
  <c r="M434" i="5" s="1"/>
  <c r="J439" i="5" a="1"/>
  <c r="J439" i="5" s="1"/>
  <c r="L441" i="5" a="1"/>
  <c r="L441" i="5" s="1"/>
  <c r="N444" i="5"/>
  <c r="G444" i="5" a="1"/>
  <c r="G444" i="5" s="1"/>
  <c r="K448" i="5" a="1"/>
  <c r="K448" i="5" s="1"/>
  <c r="M450" i="5" a="1"/>
  <c r="M450" i="5" s="1"/>
  <c r="J455" i="5" a="1"/>
  <c r="J455" i="5" s="1"/>
  <c r="L457" i="5" a="1"/>
  <c r="L457" i="5" s="1"/>
  <c r="N460" i="5"/>
  <c r="G460" i="5" a="1"/>
  <c r="G460" i="5" s="1"/>
  <c r="K464" i="5" a="1"/>
  <c r="K464" i="5" s="1"/>
  <c r="M466" i="5" a="1"/>
  <c r="M466" i="5" s="1"/>
  <c r="J471" i="5" a="1"/>
  <c r="J471" i="5" s="1"/>
  <c r="L473" i="5" a="1"/>
  <c r="L473" i="5" s="1"/>
  <c r="N476" i="5"/>
  <c r="G476" i="5" a="1"/>
  <c r="G476" i="5" s="1"/>
  <c r="K480" i="5" a="1"/>
  <c r="K480" i="5" s="1"/>
  <c r="M482" i="5" a="1"/>
  <c r="M482" i="5" s="1"/>
  <c r="J487" i="5" a="1"/>
  <c r="J487" i="5" s="1"/>
  <c r="L489" i="5" a="1"/>
  <c r="L489" i="5" s="1"/>
  <c r="G492" i="5" a="1"/>
  <c r="G492" i="5" s="1"/>
  <c r="N492" i="5"/>
  <c r="K496" i="5" a="1"/>
  <c r="K496" i="5" s="1"/>
  <c r="M498" i="5" a="1"/>
  <c r="M498" i="5" s="1"/>
  <c r="J503" i="5" a="1"/>
  <c r="J503" i="5" s="1"/>
  <c r="L505" i="5" a="1"/>
  <c r="L505" i="5" s="1"/>
  <c r="G508" i="5" a="1"/>
  <c r="G508" i="5" s="1"/>
  <c r="N508" i="5"/>
  <c r="K512" i="5" a="1"/>
  <c r="K512" i="5" s="1"/>
  <c r="M514" i="5" a="1"/>
  <c r="M514" i="5" s="1"/>
  <c r="L521" i="5" a="1"/>
  <c r="L521" i="5" s="1"/>
  <c r="N524" i="5"/>
  <c r="G524" i="5" a="1"/>
  <c r="G524" i="5" s="1"/>
  <c r="K528" i="5" a="1"/>
  <c r="K528" i="5" s="1"/>
  <c r="M530" i="5" a="1"/>
  <c r="M530" i="5" s="1"/>
  <c r="L537" i="5" a="1"/>
  <c r="L537" i="5" s="1"/>
  <c r="N540" i="5"/>
  <c r="G540" i="5" a="1"/>
  <c r="G540" i="5" s="1"/>
  <c r="K544" i="5" a="1"/>
  <c r="K544" i="5" s="1"/>
  <c r="M546" i="5" a="1"/>
  <c r="M546" i="5" s="1"/>
  <c r="L553" i="5" a="1"/>
  <c r="L553" i="5" s="1"/>
  <c r="N556" i="5"/>
  <c r="G556" i="5" a="1"/>
  <c r="G556" i="5" s="1"/>
  <c r="K560" i="5" a="1"/>
  <c r="K560" i="5" s="1"/>
  <c r="M562" i="5" a="1"/>
  <c r="M562" i="5" s="1"/>
  <c r="N572" i="5"/>
  <c r="G572" i="5" a="1"/>
  <c r="G572" i="5" s="1"/>
  <c r="K576" i="5" a="1"/>
  <c r="K576" i="5" s="1"/>
  <c r="I11" i="5" a="1"/>
  <c r="I11" i="5" s="1"/>
  <c r="I43" i="5" a="1"/>
  <c r="I43" i="5" s="1"/>
  <c r="K77" i="5" a="1"/>
  <c r="K77" i="5" s="1"/>
  <c r="K109" i="5" a="1"/>
  <c r="K109" i="5" s="1"/>
  <c r="K157" i="5" a="1"/>
  <c r="K157" i="5" s="1"/>
  <c r="I187" i="5" a="1"/>
  <c r="I187" i="5" s="1"/>
  <c r="I219" i="5" a="1"/>
  <c r="I219" i="5" s="1"/>
  <c r="G249" i="5" a="1"/>
  <c r="G249" i="5" s="1"/>
  <c r="N249" i="5"/>
  <c r="K285" i="5" a="1"/>
  <c r="K285" i="5" s="1"/>
  <c r="M319" i="5" a="1"/>
  <c r="M319" i="5" s="1"/>
  <c r="I347" i="5" a="1"/>
  <c r="I347" i="5" s="1"/>
  <c r="I379" i="5" a="1"/>
  <c r="I379" i="5" s="1"/>
  <c r="K445" i="5" a="1"/>
  <c r="K445" i="5" s="1"/>
  <c r="J516" i="5" a="1"/>
  <c r="J516" i="5" s="1"/>
  <c r="H523" i="5" a="1"/>
  <c r="H523" i="5" s="1"/>
  <c r="H267" i="5" a="1"/>
  <c r="H267" i="5" s="1"/>
  <c r="H27" i="5" a="1"/>
  <c r="H27" i="5" s="1"/>
  <c r="I420" i="5" a="1"/>
  <c r="I420" i="5" s="1"/>
  <c r="M6" i="5" a="1"/>
  <c r="M6" i="5" s="1"/>
  <c r="H41" i="5" a="1"/>
  <c r="H41" i="5" s="1"/>
  <c r="L77" i="5" a="1"/>
  <c r="L77" i="5" s="1"/>
  <c r="K116" i="5" a="1"/>
  <c r="K116" i="5" s="1"/>
  <c r="H153" i="5" a="1"/>
  <c r="H153" i="5" s="1"/>
  <c r="J187" i="5" a="1"/>
  <c r="J187" i="5" s="1"/>
  <c r="M214" i="5" a="1"/>
  <c r="M214" i="5" s="1"/>
  <c r="K244" i="5" a="1"/>
  <c r="K244" i="5" s="1"/>
  <c r="K276" i="5" a="1"/>
  <c r="K276" i="5" s="1"/>
  <c r="M310" i="5" a="1"/>
  <c r="M310" i="5" s="1"/>
  <c r="H345" i="5" a="1"/>
  <c r="H345" i="5" s="1"/>
  <c r="K372" i="5" a="1"/>
  <c r="K372" i="5" s="1"/>
  <c r="M406" i="5" a="1"/>
  <c r="M406" i="5" s="1"/>
  <c r="J443" i="5" a="1"/>
  <c r="J443" i="5" s="1"/>
  <c r="M470" i="5" a="1"/>
  <c r="M470" i="5" s="1"/>
  <c r="H505" i="5" a="1"/>
  <c r="H505" i="5" s="1"/>
  <c r="N576" i="5"/>
  <c r="G576" i="5" a="1"/>
  <c r="G576" i="5" s="1"/>
  <c r="N3" i="5"/>
  <c r="G3" i="5" a="1"/>
  <c r="G3" i="5" s="1"/>
  <c r="I5" i="5" a="1"/>
  <c r="I5" i="5" s="1"/>
  <c r="K7" i="5" a="1"/>
  <c r="K7" i="5" s="1"/>
  <c r="M9" i="5" a="1"/>
  <c r="M9" i="5" s="1"/>
  <c r="J14" i="5" a="1"/>
  <c r="J14" i="5" s="1"/>
  <c r="L16" i="5" a="1"/>
  <c r="L16" i="5" s="1"/>
  <c r="N19" i="5"/>
  <c r="G19" i="5" a="1"/>
  <c r="G19" i="5" s="1"/>
  <c r="I21" i="5" a="1"/>
  <c r="I21" i="5" s="1"/>
  <c r="K23" i="5" a="1"/>
  <c r="K23" i="5" s="1"/>
  <c r="M25" i="5" a="1"/>
  <c r="M25" i="5" s="1"/>
  <c r="J30" i="5" a="1"/>
  <c r="J30" i="5" s="1"/>
  <c r="L32" i="5" a="1"/>
  <c r="L32" i="5" s="1"/>
  <c r="N35" i="5"/>
  <c r="G35" i="5" a="1"/>
  <c r="G35" i="5" s="1"/>
  <c r="I37" i="5" a="1"/>
  <c r="I37" i="5" s="1"/>
  <c r="K39" i="5" a="1"/>
  <c r="K39" i="5" s="1"/>
  <c r="M41" i="5" a="1"/>
  <c r="M41" i="5" s="1"/>
  <c r="J46" i="5" a="1"/>
  <c r="J46" i="5" s="1"/>
  <c r="L48" i="5" a="1"/>
  <c r="L48" i="5" s="1"/>
  <c r="G51" i="5" a="1"/>
  <c r="G51" i="5" s="1"/>
  <c r="N51" i="5"/>
  <c r="I53" i="5" a="1"/>
  <c r="I53" i="5" s="1"/>
  <c r="K55" i="5" a="1"/>
  <c r="K55" i="5" s="1"/>
  <c r="M57" i="5" a="1"/>
  <c r="M57" i="5" s="1"/>
  <c r="J62" i="5" a="1"/>
  <c r="J62" i="5" s="1"/>
  <c r="L64" i="5" a="1"/>
  <c r="L64" i="5" s="1"/>
  <c r="G67" i="5" a="1"/>
  <c r="G67" i="5" s="1"/>
  <c r="N67" i="5"/>
  <c r="I69" i="5" a="1"/>
  <c r="I69" i="5" s="1"/>
  <c r="K71" i="5" a="1"/>
  <c r="K71" i="5" s="1"/>
  <c r="M73" i="5" a="1"/>
  <c r="M73" i="5" s="1"/>
  <c r="H76" i="5" a="1"/>
  <c r="H76" i="5" s="1"/>
  <c r="J78" i="5" a="1"/>
  <c r="J78" i="5" s="1"/>
  <c r="L80" i="5" a="1"/>
  <c r="L80" i="5" s="1"/>
  <c r="N83" i="5"/>
  <c r="G83" i="5" a="1"/>
  <c r="G83" i="5" s="1"/>
  <c r="I85" i="5" a="1"/>
  <c r="I85" i="5" s="1"/>
  <c r="K87" i="5" a="1"/>
  <c r="K87" i="5" s="1"/>
  <c r="M89" i="5" a="1"/>
  <c r="M89" i="5" s="1"/>
  <c r="H92" i="5" a="1"/>
  <c r="H92" i="5" s="1"/>
  <c r="J94" i="5" a="1"/>
  <c r="J94" i="5" s="1"/>
  <c r="L96" i="5" a="1"/>
  <c r="L96" i="5" s="1"/>
  <c r="G99" i="5" a="1"/>
  <c r="G99" i="5" s="1"/>
  <c r="N99" i="5"/>
  <c r="I101" i="5" a="1"/>
  <c r="I101" i="5" s="1"/>
  <c r="K103" i="5" a="1"/>
  <c r="K103" i="5" s="1"/>
  <c r="M105" i="5" a="1"/>
  <c r="M105" i="5" s="1"/>
  <c r="H108" i="5" a="1"/>
  <c r="H108" i="5" s="1"/>
  <c r="J110" i="5" a="1"/>
  <c r="J110" i="5" s="1"/>
  <c r="L112" i="5" a="1"/>
  <c r="L112" i="5" s="1"/>
  <c r="N115" i="5"/>
  <c r="G115" i="5" a="1"/>
  <c r="G115" i="5" s="1"/>
  <c r="I117" i="5" a="1"/>
  <c r="I117" i="5" s="1"/>
  <c r="K119" i="5" a="1"/>
  <c r="K119" i="5" s="1"/>
  <c r="M121" i="5" a="1"/>
  <c r="M121" i="5" s="1"/>
  <c r="H124" i="5" a="1"/>
  <c r="H124" i="5" s="1"/>
  <c r="J126" i="5" a="1"/>
  <c r="J126" i="5" s="1"/>
  <c r="L128" i="5" a="1"/>
  <c r="L128" i="5" s="1"/>
  <c r="G131" i="5" a="1"/>
  <c r="G131" i="5" s="1"/>
  <c r="N131" i="5"/>
  <c r="I133" i="5" a="1"/>
  <c r="I133" i="5" s="1"/>
  <c r="K135" i="5" a="1"/>
  <c r="K135" i="5" s="1"/>
  <c r="M137" i="5" a="1"/>
  <c r="M137" i="5" s="1"/>
  <c r="J142" i="5" a="1"/>
  <c r="J142" i="5" s="1"/>
  <c r="L144" i="5" a="1"/>
  <c r="L144" i="5" s="1"/>
  <c r="N147" i="5"/>
  <c r="G147" i="5" a="1"/>
  <c r="G147" i="5" s="1"/>
  <c r="I149" i="5" a="1"/>
  <c r="I149" i="5" s="1"/>
  <c r="K151" i="5" a="1"/>
  <c r="K151" i="5" s="1"/>
  <c r="M153" i="5" a="1"/>
  <c r="M153" i="5" s="1"/>
  <c r="H156" i="5" a="1"/>
  <c r="H156" i="5" s="1"/>
  <c r="J158" i="5" a="1"/>
  <c r="J158" i="5" s="1"/>
  <c r="L160" i="5" a="1"/>
  <c r="L160" i="5" s="1"/>
  <c r="N163" i="5"/>
  <c r="G163" i="5" a="1"/>
  <c r="G163" i="5" s="1"/>
  <c r="I165" i="5" a="1"/>
  <c r="I165" i="5" s="1"/>
  <c r="K167" i="5" a="1"/>
  <c r="K167" i="5" s="1"/>
  <c r="M169" i="5" a="1"/>
  <c r="M169" i="5" s="1"/>
  <c r="J174" i="5" a="1"/>
  <c r="J174" i="5" s="1"/>
  <c r="L176" i="5" a="1"/>
  <c r="L176" i="5" s="1"/>
  <c r="G179" i="5" a="1"/>
  <c r="G179" i="5" s="1"/>
  <c r="N179" i="5"/>
  <c r="I181" i="5" a="1"/>
  <c r="I181" i="5" s="1"/>
  <c r="K183" i="5" a="1"/>
  <c r="K183" i="5" s="1"/>
  <c r="M185" i="5" a="1"/>
  <c r="M185" i="5" s="1"/>
  <c r="J190" i="5" a="1"/>
  <c r="J190" i="5" s="1"/>
  <c r="L192" i="5" a="1"/>
  <c r="L192" i="5" s="1"/>
  <c r="G195" i="5" a="1"/>
  <c r="G195" i="5" s="1"/>
  <c r="N195" i="5"/>
  <c r="I197" i="5" a="1"/>
  <c r="I197" i="5" s="1"/>
  <c r="K199" i="5" a="1"/>
  <c r="K199" i="5" s="1"/>
  <c r="M201" i="5" a="1"/>
  <c r="M201" i="5" s="1"/>
  <c r="J206" i="5" a="1"/>
  <c r="J206" i="5" s="1"/>
  <c r="L208" i="5" a="1"/>
  <c r="L208" i="5" s="1"/>
  <c r="G211" i="5" a="1"/>
  <c r="G211" i="5" s="1"/>
  <c r="N211" i="5"/>
  <c r="I213" i="5" a="1"/>
  <c r="I213" i="5" s="1"/>
  <c r="K215" i="5" a="1"/>
  <c r="K215" i="5" s="1"/>
  <c r="M217" i="5" a="1"/>
  <c r="M217" i="5" s="1"/>
  <c r="H220" i="5" a="1"/>
  <c r="H220" i="5" s="1"/>
  <c r="J222" i="5" a="1"/>
  <c r="J222" i="5" s="1"/>
  <c r="L224" i="5" a="1"/>
  <c r="L224" i="5" s="1"/>
  <c r="G227" i="5" a="1"/>
  <c r="G227" i="5" s="1"/>
  <c r="N227" i="5"/>
  <c r="I229" i="5" a="1"/>
  <c r="I229" i="5" s="1"/>
  <c r="K231" i="5" a="1"/>
  <c r="K231" i="5" s="1"/>
  <c r="M233" i="5" a="1"/>
  <c r="M233" i="5" s="1"/>
  <c r="J238" i="5" a="1"/>
  <c r="J238" i="5" s="1"/>
  <c r="L240" i="5" a="1"/>
  <c r="L240" i="5" s="1"/>
  <c r="G243" i="5" a="1"/>
  <c r="G243" i="5" s="1"/>
  <c r="N243" i="5"/>
  <c r="I245" i="5" a="1"/>
  <c r="I245" i="5" s="1"/>
  <c r="K247" i="5" a="1"/>
  <c r="K247" i="5" s="1"/>
  <c r="M249" i="5" a="1"/>
  <c r="M249" i="5" s="1"/>
  <c r="H252" i="5" a="1"/>
  <c r="H252" i="5" s="1"/>
  <c r="J254" i="5" a="1"/>
  <c r="J254" i="5" s="1"/>
  <c r="L256" i="5" a="1"/>
  <c r="L256" i="5" s="1"/>
  <c r="G259" i="5" a="1"/>
  <c r="G259" i="5" s="1"/>
  <c r="N259" i="5"/>
  <c r="I261" i="5" a="1"/>
  <c r="I261" i="5" s="1"/>
  <c r="K263" i="5" a="1"/>
  <c r="K263" i="5" s="1"/>
  <c r="M265" i="5" a="1"/>
  <c r="M265" i="5" s="1"/>
  <c r="J270" i="5" a="1"/>
  <c r="J270" i="5" s="1"/>
  <c r="L272" i="5" a="1"/>
  <c r="L272" i="5" s="1"/>
  <c r="G275" i="5" a="1"/>
  <c r="G275" i="5" s="1"/>
  <c r="N275" i="5"/>
  <c r="I277" i="5" a="1"/>
  <c r="I277" i="5" s="1"/>
  <c r="K279" i="5" a="1"/>
  <c r="K279" i="5" s="1"/>
  <c r="M281" i="5" a="1"/>
  <c r="M281" i="5" s="1"/>
  <c r="J286" i="5" a="1"/>
  <c r="J286" i="5" s="1"/>
  <c r="L288" i="5" a="1"/>
  <c r="L288" i="5" s="1"/>
  <c r="N291" i="5"/>
  <c r="G291" i="5" a="1"/>
  <c r="G291" i="5" s="1"/>
  <c r="I293" i="5" a="1"/>
  <c r="I293" i="5" s="1"/>
  <c r="K295" i="5" a="1"/>
  <c r="K295" i="5" s="1"/>
  <c r="M297" i="5" a="1"/>
  <c r="M297" i="5" s="1"/>
  <c r="J302" i="5" a="1"/>
  <c r="J302" i="5" s="1"/>
  <c r="L304" i="5" a="1"/>
  <c r="L304" i="5" s="1"/>
  <c r="G307" i="5" a="1"/>
  <c r="G307" i="5" s="1"/>
  <c r="N307" i="5"/>
  <c r="I309" i="5" a="1"/>
  <c r="I309" i="5" s="1"/>
  <c r="K311" i="5" a="1"/>
  <c r="K311" i="5" s="1"/>
  <c r="M313" i="5" a="1"/>
  <c r="M313" i="5" s="1"/>
  <c r="J318" i="5" a="1"/>
  <c r="J318" i="5" s="1"/>
  <c r="L320" i="5" a="1"/>
  <c r="L320" i="5" s="1"/>
  <c r="G323" i="5" a="1"/>
  <c r="G323" i="5" s="1"/>
  <c r="N323" i="5"/>
  <c r="I325" i="5" a="1"/>
  <c r="I325" i="5" s="1"/>
  <c r="K327" i="5" a="1"/>
  <c r="K327" i="5" s="1"/>
  <c r="M329" i="5" a="1"/>
  <c r="M329" i="5" s="1"/>
  <c r="J334" i="5" a="1"/>
  <c r="J334" i="5" s="1"/>
  <c r="L336" i="5" a="1"/>
  <c r="L336" i="5" s="1"/>
  <c r="N339" i="5"/>
  <c r="G339" i="5" a="1"/>
  <c r="G339" i="5" s="1"/>
  <c r="I341" i="5" a="1"/>
  <c r="I341" i="5" s="1"/>
  <c r="K343" i="5" a="1"/>
  <c r="K343" i="5" s="1"/>
  <c r="M345" i="5" a="1"/>
  <c r="M345" i="5" s="1"/>
  <c r="H348" i="5" a="1"/>
  <c r="H348" i="5" s="1"/>
  <c r="J350" i="5" a="1"/>
  <c r="J350" i="5" s="1"/>
  <c r="L352" i="5" a="1"/>
  <c r="L352" i="5" s="1"/>
  <c r="N355" i="5"/>
  <c r="G355" i="5" a="1"/>
  <c r="G355" i="5" s="1"/>
  <c r="I357" i="5" a="1"/>
  <c r="I357" i="5" s="1"/>
  <c r="K359" i="5" a="1"/>
  <c r="K359" i="5" s="1"/>
  <c r="M361" i="5" a="1"/>
  <c r="M361" i="5" s="1"/>
  <c r="H364" i="5" a="1"/>
  <c r="H364" i="5" s="1"/>
  <c r="J366" i="5" a="1"/>
  <c r="J366" i="5" s="1"/>
  <c r="L368" i="5" a="1"/>
  <c r="L368" i="5" s="1"/>
  <c r="G371" i="5" a="1"/>
  <c r="G371" i="5" s="1"/>
  <c r="N371" i="5"/>
  <c r="I373" i="5" a="1"/>
  <c r="I373" i="5" s="1"/>
  <c r="K375" i="5" a="1"/>
  <c r="K375" i="5" s="1"/>
  <c r="M377" i="5" a="1"/>
  <c r="M377" i="5" s="1"/>
  <c r="H380" i="5" a="1"/>
  <c r="H380" i="5" s="1"/>
  <c r="J382" i="5" a="1"/>
  <c r="J382" i="5" s="1"/>
  <c r="L384" i="5" a="1"/>
  <c r="L384" i="5" s="1"/>
  <c r="N387" i="5"/>
  <c r="G387" i="5" a="1"/>
  <c r="G387" i="5" s="1"/>
  <c r="I389" i="5" a="1"/>
  <c r="I389" i="5" s="1"/>
  <c r="K391" i="5" a="1"/>
  <c r="K391" i="5" s="1"/>
  <c r="M393" i="5" a="1"/>
  <c r="M393" i="5" s="1"/>
  <c r="J398" i="5" a="1"/>
  <c r="J398" i="5" s="1"/>
  <c r="L400" i="5" a="1"/>
  <c r="L400" i="5" s="1"/>
  <c r="G403" i="5" a="1"/>
  <c r="G403" i="5" s="1"/>
  <c r="N403" i="5"/>
  <c r="K407" i="5" a="1"/>
  <c r="K407" i="5" s="1"/>
  <c r="M409" i="5" a="1"/>
  <c r="M409" i="5" s="1"/>
  <c r="J414" i="5" a="1"/>
  <c r="J414" i="5" s="1"/>
  <c r="L416" i="5" a="1"/>
  <c r="L416" i="5" s="1"/>
  <c r="N419" i="5"/>
  <c r="G419" i="5" a="1"/>
  <c r="G419" i="5" s="1"/>
  <c r="K423" i="5" a="1"/>
  <c r="K423" i="5" s="1"/>
  <c r="M425" i="5" a="1"/>
  <c r="M425" i="5" s="1"/>
  <c r="H428" i="5" a="1"/>
  <c r="H428" i="5" s="1"/>
  <c r="J430" i="5" a="1"/>
  <c r="J430" i="5" s="1"/>
  <c r="L432" i="5" a="1"/>
  <c r="L432" i="5" s="1"/>
  <c r="G435" i="5" a="1"/>
  <c r="G435" i="5" s="1"/>
  <c r="N435" i="5"/>
  <c r="K439" i="5" a="1"/>
  <c r="K439" i="5" s="1"/>
  <c r="M441" i="5" a="1"/>
  <c r="M441" i="5" s="1"/>
  <c r="J446" i="5" a="1"/>
  <c r="J446" i="5" s="1"/>
  <c r="L448" i="5" a="1"/>
  <c r="L448" i="5" s="1"/>
  <c r="N451" i="5"/>
  <c r="G451" i="5" a="1"/>
  <c r="G451" i="5" s="1"/>
  <c r="I453" i="5" a="1"/>
  <c r="I453" i="5" s="1"/>
  <c r="K455" i="5" a="1"/>
  <c r="K455" i="5" s="1"/>
  <c r="M457" i="5" a="1"/>
  <c r="M457" i="5" s="1"/>
  <c r="H460" i="5" a="1"/>
  <c r="H460" i="5" s="1"/>
  <c r="J462" i="5" a="1"/>
  <c r="J462" i="5" s="1"/>
  <c r="L464" i="5" a="1"/>
  <c r="L464" i="5" s="1"/>
  <c r="N467" i="5"/>
  <c r="G467" i="5" a="1"/>
  <c r="G467" i="5" s="1"/>
  <c r="K471" i="5" a="1"/>
  <c r="K471" i="5" s="1"/>
  <c r="M473" i="5" a="1"/>
  <c r="M473" i="5" s="1"/>
  <c r="J478" i="5" a="1"/>
  <c r="J478" i="5" s="1"/>
  <c r="L480" i="5" a="1"/>
  <c r="L480" i="5" s="1"/>
  <c r="N483" i="5"/>
  <c r="G483" i="5" a="1"/>
  <c r="G483" i="5" s="1"/>
  <c r="I485" i="5" a="1"/>
  <c r="I485" i="5" s="1"/>
  <c r="K487" i="5" a="1"/>
  <c r="K487" i="5" s="1"/>
  <c r="M489" i="5" a="1"/>
  <c r="M489" i="5" s="1"/>
  <c r="J494" i="5" a="1"/>
  <c r="J494" i="5" s="1"/>
  <c r="L496" i="5" a="1"/>
  <c r="L496" i="5" s="1"/>
  <c r="N499" i="5"/>
  <c r="G499" i="5" a="1"/>
  <c r="G499" i="5" s="1"/>
  <c r="K503" i="5" a="1"/>
  <c r="K503" i="5" s="1"/>
  <c r="M505" i="5" a="1"/>
  <c r="M505" i="5" s="1"/>
  <c r="J510" i="5" a="1"/>
  <c r="J510" i="5" s="1"/>
  <c r="L512" i="5" a="1"/>
  <c r="L512" i="5" s="1"/>
  <c r="G515" i="5" a="1"/>
  <c r="G515" i="5" s="1"/>
  <c r="N515" i="5"/>
  <c r="K519" i="5" a="1"/>
  <c r="K519" i="5" s="1"/>
  <c r="M521" i="5" a="1"/>
  <c r="M521" i="5" s="1"/>
  <c r="H524" i="5" a="1"/>
  <c r="H524" i="5" s="1"/>
  <c r="J526" i="5" a="1"/>
  <c r="J526" i="5" s="1"/>
  <c r="L528" i="5" a="1"/>
  <c r="L528" i="5" s="1"/>
  <c r="G531" i="5" a="1"/>
  <c r="G531" i="5" s="1"/>
  <c r="N531" i="5"/>
  <c r="I533" i="5" a="1"/>
  <c r="I533" i="5" s="1"/>
  <c r="K535" i="5" a="1"/>
  <c r="K535" i="5" s="1"/>
  <c r="M537" i="5" a="1"/>
  <c r="M537" i="5" s="1"/>
  <c r="H540" i="5" a="1"/>
  <c r="H540" i="5" s="1"/>
  <c r="J542" i="5" a="1"/>
  <c r="J542" i="5" s="1"/>
  <c r="L544" i="5" a="1"/>
  <c r="L544" i="5" s="1"/>
  <c r="G547" i="5" a="1"/>
  <c r="G547" i="5" s="1"/>
  <c r="N547" i="5"/>
  <c r="K551" i="5" a="1"/>
  <c r="K551" i="5" s="1"/>
  <c r="M553" i="5" a="1"/>
  <c r="M553" i="5" s="1"/>
  <c r="J558" i="5" a="1"/>
  <c r="J558" i="5" s="1"/>
  <c r="L560" i="5" a="1"/>
  <c r="L560" i="5" s="1"/>
  <c r="G563" i="5" a="1"/>
  <c r="G563" i="5" s="1"/>
  <c r="N563" i="5"/>
  <c r="J574" i="5" a="1"/>
  <c r="J574" i="5" s="1"/>
  <c r="L576" i="5" a="1"/>
  <c r="L576" i="5" s="1"/>
  <c r="N579" i="5"/>
  <c r="N595" i="5"/>
  <c r="N611" i="5"/>
  <c r="N627" i="5"/>
  <c r="N643" i="5"/>
  <c r="H412" i="5" a="1"/>
  <c r="H412" i="5" s="1"/>
  <c r="H188" i="5" a="1"/>
  <c r="H188" i="5" s="1"/>
  <c r="I517" i="5" a="1"/>
  <c r="I517" i="5" s="1"/>
  <c r="N631" i="5"/>
  <c r="L22" i="5" a="1"/>
  <c r="L22" i="5" s="1"/>
  <c r="J52" i="5" a="1"/>
  <c r="J52" i="5" s="1"/>
  <c r="M111" i="5" a="1"/>
  <c r="M111" i="5" s="1"/>
  <c r="M143" i="5" a="1"/>
  <c r="M143" i="5" s="1"/>
  <c r="M175" i="5" a="1"/>
  <c r="M175" i="5" s="1"/>
  <c r="J212" i="5" a="1"/>
  <c r="J212" i="5" s="1"/>
  <c r="J244" i="5" a="1"/>
  <c r="J244" i="5" s="1"/>
  <c r="J276" i="5" a="1"/>
  <c r="J276" i="5" s="1"/>
  <c r="L310" i="5" a="1"/>
  <c r="L310" i="5" s="1"/>
  <c r="L342" i="5" a="1"/>
  <c r="L342" i="5" s="1"/>
  <c r="M399" i="5" a="1"/>
  <c r="M399" i="5" s="1"/>
  <c r="M431" i="5" a="1"/>
  <c r="M431" i="5" s="1"/>
  <c r="G553" i="5" a="1"/>
  <c r="G553" i="5" s="1"/>
  <c r="N553" i="5"/>
  <c r="H491" i="5" a="1"/>
  <c r="H491" i="5" s="1"/>
  <c r="H251" i="5" a="1"/>
  <c r="H251" i="5" s="1"/>
  <c r="I564" i="5" a="1"/>
  <c r="I564" i="5" s="1"/>
  <c r="I404" i="5" a="1"/>
  <c r="I404" i="5" s="1"/>
  <c r="I2" i="5" a="1"/>
  <c r="I2" i="5" s="1"/>
  <c r="I34" i="5" a="1"/>
  <c r="I34" i="5" s="1"/>
  <c r="I66" i="5" a="1"/>
  <c r="I66" i="5" s="1"/>
  <c r="L93" i="5" a="1"/>
  <c r="L93" i="5" s="1"/>
  <c r="N128" i="5"/>
  <c r="G128" i="5" a="1"/>
  <c r="G128" i="5" s="1"/>
  <c r="I162" i="5" a="1"/>
  <c r="I162" i="5" s="1"/>
  <c r="K196" i="5" a="1"/>
  <c r="K196" i="5" s="1"/>
  <c r="I226" i="5" a="1"/>
  <c r="I226" i="5" s="1"/>
  <c r="J251" i="5" a="1"/>
  <c r="J251" i="5" s="1"/>
  <c r="M278" i="5" a="1"/>
  <c r="M278" i="5" s="1"/>
  <c r="I306" i="5" a="1"/>
  <c r="I306" i="5" s="1"/>
  <c r="J331" i="5" a="1"/>
  <c r="J331" i="5" s="1"/>
  <c r="J363" i="5" a="1"/>
  <c r="J363" i="5" s="1"/>
  <c r="J395" i="5" a="1"/>
  <c r="J395" i="5" s="1"/>
  <c r="L429" i="5" a="1"/>
  <c r="L429" i="5" s="1"/>
  <c r="N464" i="5"/>
  <c r="G464" i="5" a="1"/>
  <c r="G464" i="5" s="1"/>
  <c r="N496" i="5"/>
  <c r="G496" i="5" a="1"/>
  <c r="G496" i="5" s="1"/>
  <c r="N528" i="5"/>
  <c r="G528" i="5" a="1"/>
  <c r="G528" i="5" s="1"/>
  <c r="H553" i="5" a="1"/>
  <c r="H553" i="5" s="1"/>
  <c r="H565" i="5" a="1"/>
  <c r="H565" i="5" s="1"/>
  <c r="H549" i="5" a="1"/>
  <c r="H549" i="5" s="1"/>
  <c r="H533" i="5" a="1"/>
  <c r="H533" i="5" s="1"/>
  <c r="H517" i="5" a="1"/>
  <c r="H517" i="5" s="1"/>
  <c r="H501" i="5" a="1"/>
  <c r="H501" i="5" s="1"/>
  <c r="H485" i="5" a="1"/>
  <c r="H485" i="5" s="1"/>
  <c r="H469" i="5" a="1"/>
  <c r="H469" i="5" s="1"/>
  <c r="H453" i="5" a="1"/>
  <c r="H453" i="5" s="1"/>
  <c r="H437" i="5" a="1"/>
  <c r="H437" i="5" s="1"/>
  <c r="H421" i="5" a="1"/>
  <c r="H421" i="5" s="1"/>
  <c r="H405" i="5" a="1"/>
  <c r="H405" i="5" s="1"/>
  <c r="H389" i="5" a="1"/>
  <c r="H389" i="5" s="1"/>
  <c r="H373" i="5" a="1"/>
  <c r="H373" i="5" s="1"/>
  <c r="H357" i="5" a="1"/>
  <c r="H357" i="5" s="1"/>
  <c r="H341" i="5" a="1"/>
  <c r="H341" i="5" s="1"/>
  <c r="H325" i="5" a="1"/>
  <c r="H325" i="5" s="1"/>
  <c r="H309" i="5" a="1"/>
  <c r="H309" i="5" s="1"/>
  <c r="H293" i="5" a="1"/>
  <c r="H293" i="5" s="1"/>
  <c r="H277" i="5" a="1"/>
  <c r="H277" i="5" s="1"/>
  <c r="H261" i="5" a="1"/>
  <c r="H261" i="5" s="1"/>
  <c r="H245" i="5" a="1"/>
  <c r="H245" i="5" s="1"/>
  <c r="H229" i="5" a="1"/>
  <c r="H229" i="5" s="1"/>
  <c r="H213" i="5" a="1"/>
  <c r="H213" i="5" s="1"/>
  <c r="H197" i="5" a="1"/>
  <c r="H197" i="5" s="1"/>
  <c r="H181" i="5" a="1"/>
  <c r="H181" i="5" s="1"/>
  <c r="H165" i="5" a="1"/>
  <c r="H165" i="5" s="1"/>
  <c r="H149" i="5" a="1"/>
  <c r="H149" i="5" s="1"/>
  <c r="H133" i="5" a="1"/>
  <c r="H133" i="5" s="1"/>
  <c r="H117" i="5" a="1"/>
  <c r="H117" i="5" s="1"/>
  <c r="H101" i="5" a="1"/>
  <c r="H101" i="5" s="1"/>
  <c r="H85" i="5" a="1"/>
  <c r="H85" i="5" s="1"/>
  <c r="H69" i="5" a="1"/>
  <c r="H69" i="5" s="1"/>
  <c r="H53" i="5" a="1"/>
  <c r="H53" i="5" s="1"/>
  <c r="H37" i="5" a="1"/>
  <c r="H37" i="5" s="1"/>
  <c r="H21" i="5" a="1"/>
  <c r="H21" i="5" s="1"/>
  <c r="I574" i="5" a="1"/>
  <c r="I574" i="5" s="1"/>
  <c r="I558" i="5" a="1"/>
  <c r="I558" i="5" s="1"/>
  <c r="I542" i="5" a="1"/>
  <c r="I542" i="5" s="1"/>
  <c r="I526" i="5" a="1"/>
  <c r="I526" i="5" s="1"/>
  <c r="I510" i="5" a="1"/>
  <c r="I510" i="5" s="1"/>
  <c r="I494" i="5" a="1"/>
  <c r="I494" i="5" s="1"/>
  <c r="I478" i="5" a="1"/>
  <c r="I478" i="5" s="1"/>
  <c r="I462" i="5" a="1"/>
  <c r="I462" i="5" s="1"/>
  <c r="I446" i="5" a="1"/>
  <c r="I446" i="5" s="1"/>
  <c r="I430" i="5" a="1"/>
  <c r="I430" i="5" s="1"/>
  <c r="I414" i="5" a="1"/>
  <c r="I414" i="5" s="1"/>
  <c r="J573" i="5" a="1"/>
  <c r="J573" i="5" s="1"/>
  <c r="J557" i="5" a="1"/>
  <c r="J557" i="5" s="1"/>
  <c r="J541" i="5" a="1"/>
  <c r="J541" i="5" s="1"/>
  <c r="J525" i="5" a="1"/>
  <c r="J525" i="5" s="1"/>
  <c r="N656" i="5"/>
  <c r="N640" i="5"/>
  <c r="N608" i="5"/>
  <c r="H3" i="5" a="1"/>
  <c r="H3" i="5" s="1"/>
  <c r="J5" i="5" a="1"/>
  <c r="J5" i="5" s="1"/>
  <c r="L7" i="5" a="1"/>
  <c r="L7" i="5" s="1"/>
  <c r="G10" i="5" a="1"/>
  <c r="G10" i="5" s="1"/>
  <c r="N10" i="5"/>
  <c r="I12" i="5" a="1"/>
  <c r="I12" i="5" s="1"/>
  <c r="K14" i="5" a="1"/>
  <c r="K14" i="5" s="1"/>
  <c r="M16" i="5" a="1"/>
  <c r="M16" i="5" s="1"/>
  <c r="J21" i="5" a="1"/>
  <c r="J21" i="5" s="1"/>
  <c r="L23" i="5" a="1"/>
  <c r="L23" i="5" s="1"/>
  <c r="N26" i="5"/>
  <c r="G26" i="5" a="1"/>
  <c r="G26" i="5" s="1"/>
  <c r="I28" i="5" a="1"/>
  <c r="I28" i="5" s="1"/>
  <c r="K30" i="5" a="1"/>
  <c r="K30" i="5" s="1"/>
  <c r="M32" i="5" a="1"/>
  <c r="M32" i="5" s="1"/>
  <c r="J37" i="5" a="1"/>
  <c r="J37" i="5" s="1"/>
  <c r="L39" i="5" a="1"/>
  <c r="L39" i="5" s="1"/>
  <c r="N42" i="5"/>
  <c r="G42" i="5" a="1"/>
  <c r="G42" i="5" s="1"/>
  <c r="I44" i="5" a="1"/>
  <c r="I44" i="5" s="1"/>
  <c r="K46" i="5" a="1"/>
  <c r="K46" i="5" s="1"/>
  <c r="M48" i="5" a="1"/>
  <c r="M48" i="5" s="1"/>
  <c r="J53" i="5" a="1"/>
  <c r="J53" i="5" s="1"/>
  <c r="L55" i="5" a="1"/>
  <c r="L55" i="5" s="1"/>
  <c r="G58" i="5" a="1"/>
  <c r="G58" i="5" s="1"/>
  <c r="N58" i="5"/>
  <c r="I60" i="5" a="1"/>
  <c r="I60" i="5" s="1"/>
  <c r="K62" i="5" a="1"/>
  <c r="K62" i="5" s="1"/>
  <c r="M64" i="5" a="1"/>
  <c r="M64" i="5" s="1"/>
  <c r="J69" i="5" a="1"/>
  <c r="J69" i="5" s="1"/>
  <c r="L71" i="5" a="1"/>
  <c r="L71" i="5" s="1"/>
  <c r="N74" i="5"/>
  <c r="G74" i="5" a="1"/>
  <c r="G74" i="5" s="1"/>
  <c r="I76" i="5" a="1"/>
  <c r="I76" i="5" s="1"/>
  <c r="K78" i="5" a="1"/>
  <c r="K78" i="5" s="1"/>
  <c r="M80" i="5" a="1"/>
  <c r="M80" i="5" s="1"/>
  <c r="J85" i="5" a="1"/>
  <c r="J85" i="5" s="1"/>
  <c r="L87" i="5" a="1"/>
  <c r="L87" i="5" s="1"/>
  <c r="G90" i="5" a="1"/>
  <c r="G90" i="5" s="1"/>
  <c r="N90" i="5"/>
  <c r="I92" i="5" a="1"/>
  <c r="I92" i="5" s="1"/>
  <c r="K94" i="5" a="1"/>
  <c r="K94" i="5" s="1"/>
  <c r="M96" i="5" a="1"/>
  <c r="M96" i="5" s="1"/>
  <c r="J101" i="5" a="1"/>
  <c r="J101" i="5" s="1"/>
  <c r="L103" i="5" a="1"/>
  <c r="L103" i="5" s="1"/>
  <c r="G106" i="5" a="1"/>
  <c r="G106" i="5" s="1"/>
  <c r="N106" i="5"/>
  <c r="I108" i="5" a="1"/>
  <c r="I108" i="5" s="1"/>
  <c r="K110" i="5" a="1"/>
  <c r="K110" i="5" s="1"/>
  <c r="M112" i="5" a="1"/>
  <c r="M112" i="5" s="1"/>
  <c r="J117" i="5" a="1"/>
  <c r="J117" i="5" s="1"/>
  <c r="L119" i="5" a="1"/>
  <c r="L119" i="5" s="1"/>
  <c r="N122" i="5"/>
  <c r="G122" i="5" a="1"/>
  <c r="G122" i="5" s="1"/>
  <c r="I124" i="5" a="1"/>
  <c r="I124" i="5" s="1"/>
  <c r="K126" i="5" a="1"/>
  <c r="K126" i="5" s="1"/>
  <c r="M128" i="5" a="1"/>
  <c r="M128" i="5" s="1"/>
  <c r="J133" i="5" a="1"/>
  <c r="J133" i="5" s="1"/>
  <c r="L135" i="5" a="1"/>
  <c r="L135" i="5" s="1"/>
  <c r="G138" i="5" a="1"/>
  <c r="G138" i="5" s="1"/>
  <c r="N138" i="5"/>
  <c r="I140" i="5" a="1"/>
  <c r="I140" i="5" s="1"/>
  <c r="K142" i="5" a="1"/>
  <c r="K142" i="5" s="1"/>
  <c r="M144" i="5" a="1"/>
  <c r="M144" i="5" s="1"/>
  <c r="J149" i="5" a="1"/>
  <c r="J149" i="5" s="1"/>
  <c r="L151" i="5" a="1"/>
  <c r="L151" i="5" s="1"/>
  <c r="G154" i="5" a="1"/>
  <c r="G154" i="5" s="1"/>
  <c r="N154" i="5"/>
  <c r="I156" i="5" a="1"/>
  <c r="I156" i="5" s="1"/>
  <c r="K158" i="5" a="1"/>
  <c r="K158" i="5" s="1"/>
  <c r="M160" i="5" a="1"/>
  <c r="M160" i="5" s="1"/>
  <c r="J165" i="5" a="1"/>
  <c r="J165" i="5" s="1"/>
  <c r="L167" i="5" a="1"/>
  <c r="L167" i="5" s="1"/>
  <c r="G170" i="5" a="1"/>
  <c r="G170" i="5" s="1"/>
  <c r="N170" i="5"/>
  <c r="I172" i="5" a="1"/>
  <c r="I172" i="5" s="1"/>
  <c r="K174" i="5" a="1"/>
  <c r="K174" i="5" s="1"/>
  <c r="M176" i="5" a="1"/>
  <c r="M176" i="5" s="1"/>
  <c r="J181" i="5" a="1"/>
  <c r="J181" i="5" s="1"/>
  <c r="L183" i="5" a="1"/>
  <c r="L183" i="5" s="1"/>
  <c r="N186" i="5"/>
  <c r="G186" i="5" a="1"/>
  <c r="G186" i="5" s="1"/>
  <c r="I188" i="5" a="1"/>
  <c r="I188" i="5" s="1"/>
  <c r="K190" i="5" a="1"/>
  <c r="K190" i="5" s="1"/>
  <c r="M192" i="5" a="1"/>
  <c r="M192" i="5" s="1"/>
  <c r="J197" i="5" a="1"/>
  <c r="J197" i="5" s="1"/>
  <c r="L199" i="5" a="1"/>
  <c r="L199" i="5" s="1"/>
  <c r="G202" i="5" a="1"/>
  <c r="G202" i="5" s="1"/>
  <c r="N202" i="5"/>
  <c r="I204" i="5" a="1"/>
  <c r="I204" i="5" s="1"/>
  <c r="K206" i="5" a="1"/>
  <c r="K206" i="5" s="1"/>
  <c r="M208" i="5" a="1"/>
  <c r="M208" i="5" s="1"/>
  <c r="J213" i="5" a="1"/>
  <c r="J213" i="5" s="1"/>
  <c r="L215" i="5" a="1"/>
  <c r="L215" i="5" s="1"/>
  <c r="G218" i="5" a="1"/>
  <c r="G218" i="5" s="1"/>
  <c r="N218" i="5"/>
  <c r="I220" i="5" a="1"/>
  <c r="I220" i="5" s="1"/>
  <c r="K222" i="5" a="1"/>
  <c r="K222" i="5" s="1"/>
  <c r="M224" i="5" a="1"/>
  <c r="M224" i="5" s="1"/>
  <c r="J229" i="5" a="1"/>
  <c r="J229" i="5" s="1"/>
  <c r="L231" i="5" a="1"/>
  <c r="L231" i="5" s="1"/>
  <c r="N234" i="5"/>
  <c r="G234" i="5" a="1"/>
  <c r="G234" i="5" s="1"/>
  <c r="I236" i="5" a="1"/>
  <c r="I236" i="5" s="1"/>
  <c r="K238" i="5" a="1"/>
  <c r="K238" i="5" s="1"/>
  <c r="M240" i="5" a="1"/>
  <c r="M240" i="5" s="1"/>
  <c r="J245" i="5" a="1"/>
  <c r="J245" i="5" s="1"/>
  <c r="L247" i="5" a="1"/>
  <c r="L247" i="5" s="1"/>
  <c r="G250" i="5" a="1"/>
  <c r="G250" i="5" s="1"/>
  <c r="N250" i="5"/>
  <c r="I252" i="5" a="1"/>
  <c r="I252" i="5" s="1"/>
  <c r="K254" i="5" a="1"/>
  <c r="K254" i="5" s="1"/>
  <c r="M256" i="5" a="1"/>
  <c r="M256" i="5" s="1"/>
  <c r="J261" i="5" a="1"/>
  <c r="J261" i="5" s="1"/>
  <c r="L263" i="5" a="1"/>
  <c r="L263" i="5" s="1"/>
  <c r="N266" i="5"/>
  <c r="G266" i="5" a="1"/>
  <c r="G266" i="5" s="1"/>
  <c r="I268" i="5" a="1"/>
  <c r="I268" i="5" s="1"/>
  <c r="K270" i="5" a="1"/>
  <c r="K270" i="5" s="1"/>
  <c r="M272" i="5" a="1"/>
  <c r="M272" i="5" s="1"/>
  <c r="J277" i="5" a="1"/>
  <c r="J277" i="5" s="1"/>
  <c r="L279" i="5" a="1"/>
  <c r="L279" i="5" s="1"/>
  <c r="N282" i="5"/>
  <c r="G282" i="5" a="1"/>
  <c r="G282" i="5" s="1"/>
  <c r="I284" i="5" a="1"/>
  <c r="I284" i="5" s="1"/>
  <c r="K286" i="5" a="1"/>
  <c r="K286" i="5" s="1"/>
  <c r="M288" i="5" a="1"/>
  <c r="M288" i="5" s="1"/>
  <c r="J293" i="5" a="1"/>
  <c r="J293" i="5" s="1"/>
  <c r="L295" i="5" a="1"/>
  <c r="L295" i="5" s="1"/>
  <c r="G298" i="5" a="1"/>
  <c r="G298" i="5" s="1"/>
  <c r="N298" i="5"/>
  <c r="I300" i="5" a="1"/>
  <c r="I300" i="5" s="1"/>
  <c r="K302" i="5" a="1"/>
  <c r="K302" i="5" s="1"/>
  <c r="M304" i="5" a="1"/>
  <c r="M304" i="5" s="1"/>
  <c r="J309" i="5" a="1"/>
  <c r="J309" i="5" s="1"/>
  <c r="L311" i="5" a="1"/>
  <c r="L311" i="5" s="1"/>
  <c r="G314" i="5" a="1"/>
  <c r="G314" i="5" s="1"/>
  <c r="N314" i="5"/>
  <c r="I316" i="5" a="1"/>
  <c r="I316" i="5" s="1"/>
  <c r="K318" i="5" a="1"/>
  <c r="K318" i="5" s="1"/>
  <c r="M320" i="5" a="1"/>
  <c r="M320" i="5" s="1"/>
  <c r="J325" i="5" a="1"/>
  <c r="J325" i="5" s="1"/>
  <c r="L327" i="5" a="1"/>
  <c r="L327" i="5" s="1"/>
  <c r="N330" i="5"/>
  <c r="G330" i="5" a="1"/>
  <c r="G330" i="5" s="1"/>
  <c r="I332" i="5" a="1"/>
  <c r="I332" i="5" s="1"/>
  <c r="K334" i="5" a="1"/>
  <c r="K334" i="5" s="1"/>
  <c r="M336" i="5" a="1"/>
  <c r="M336" i="5" s="1"/>
  <c r="J341" i="5" a="1"/>
  <c r="J341" i="5" s="1"/>
  <c r="L343" i="5" a="1"/>
  <c r="L343" i="5" s="1"/>
  <c r="G346" i="5" a="1"/>
  <c r="G346" i="5" s="1"/>
  <c r="N346" i="5"/>
  <c r="I348" i="5" a="1"/>
  <c r="I348" i="5" s="1"/>
  <c r="K350" i="5" a="1"/>
  <c r="K350" i="5" s="1"/>
  <c r="M352" i="5" a="1"/>
  <c r="M352" i="5" s="1"/>
  <c r="J357" i="5" a="1"/>
  <c r="J357" i="5" s="1"/>
  <c r="L359" i="5" a="1"/>
  <c r="L359" i="5" s="1"/>
  <c r="G362" i="5" a="1"/>
  <c r="G362" i="5" s="1"/>
  <c r="N362" i="5"/>
  <c r="I364" i="5" a="1"/>
  <c r="I364" i="5" s="1"/>
  <c r="K366" i="5" a="1"/>
  <c r="K366" i="5" s="1"/>
  <c r="M368" i="5" a="1"/>
  <c r="M368" i="5" s="1"/>
  <c r="J373" i="5" a="1"/>
  <c r="J373" i="5" s="1"/>
  <c r="L375" i="5" a="1"/>
  <c r="L375" i="5" s="1"/>
  <c r="N378" i="5"/>
  <c r="G378" i="5" a="1"/>
  <c r="G378" i="5" s="1"/>
  <c r="I380" i="5" a="1"/>
  <c r="I380" i="5" s="1"/>
  <c r="K382" i="5" a="1"/>
  <c r="K382" i="5" s="1"/>
  <c r="M384" i="5" a="1"/>
  <c r="M384" i="5" s="1"/>
  <c r="J389" i="5" a="1"/>
  <c r="J389" i="5" s="1"/>
  <c r="L391" i="5" a="1"/>
  <c r="L391" i="5" s="1"/>
  <c r="N394" i="5"/>
  <c r="G394" i="5" a="1"/>
  <c r="G394" i="5" s="1"/>
  <c r="I396" i="5" a="1"/>
  <c r="I396" i="5" s="1"/>
  <c r="K398" i="5" a="1"/>
  <c r="K398" i="5" s="1"/>
  <c r="M400" i="5" a="1"/>
  <c r="M400" i="5" s="1"/>
  <c r="J405" i="5" a="1"/>
  <c r="J405" i="5" s="1"/>
  <c r="L407" i="5" a="1"/>
  <c r="L407" i="5" s="1"/>
  <c r="N410" i="5"/>
  <c r="G410" i="5" a="1"/>
  <c r="G410" i="5" s="1"/>
  <c r="K414" i="5" a="1"/>
  <c r="K414" i="5" s="1"/>
  <c r="M416" i="5" a="1"/>
  <c r="M416" i="5" s="1"/>
  <c r="J421" i="5" a="1"/>
  <c r="J421" i="5" s="1"/>
  <c r="L423" i="5" a="1"/>
  <c r="L423" i="5" s="1"/>
  <c r="N426" i="5"/>
  <c r="G426" i="5" a="1"/>
  <c r="G426" i="5" s="1"/>
  <c r="K430" i="5" a="1"/>
  <c r="K430" i="5" s="1"/>
  <c r="M432" i="5" a="1"/>
  <c r="M432" i="5" s="1"/>
  <c r="J437" i="5" a="1"/>
  <c r="J437" i="5" s="1"/>
  <c r="L439" i="5" a="1"/>
  <c r="L439" i="5" s="1"/>
  <c r="N442" i="5"/>
  <c r="G442" i="5" a="1"/>
  <c r="G442" i="5" s="1"/>
  <c r="K446" i="5" a="1"/>
  <c r="K446" i="5" s="1"/>
  <c r="M448" i="5" a="1"/>
  <c r="M448" i="5" s="1"/>
  <c r="J453" i="5" a="1"/>
  <c r="J453" i="5" s="1"/>
  <c r="L455" i="5" a="1"/>
  <c r="L455" i="5" s="1"/>
  <c r="N458" i="5"/>
  <c r="G458" i="5" a="1"/>
  <c r="G458" i="5" s="1"/>
  <c r="K462" i="5" a="1"/>
  <c r="K462" i="5" s="1"/>
  <c r="M464" i="5" a="1"/>
  <c r="M464" i="5" s="1"/>
  <c r="J469" i="5" a="1"/>
  <c r="J469" i="5" s="1"/>
  <c r="L471" i="5" a="1"/>
  <c r="L471" i="5" s="1"/>
  <c r="N474" i="5"/>
  <c r="G474" i="5" a="1"/>
  <c r="G474" i="5" s="1"/>
  <c r="K478" i="5" a="1"/>
  <c r="K478" i="5" s="1"/>
  <c r="M480" i="5" a="1"/>
  <c r="M480" i="5" s="1"/>
  <c r="J485" i="5" a="1"/>
  <c r="J485" i="5" s="1"/>
  <c r="L487" i="5" a="1"/>
  <c r="L487" i="5" s="1"/>
  <c r="G490" i="5" a="1"/>
  <c r="G490" i="5" s="1"/>
  <c r="N490" i="5"/>
  <c r="K494" i="5" a="1"/>
  <c r="K494" i="5" s="1"/>
  <c r="M496" i="5" a="1"/>
  <c r="M496" i="5" s="1"/>
  <c r="J501" i="5" a="1"/>
  <c r="J501" i="5" s="1"/>
  <c r="L503" i="5" a="1"/>
  <c r="L503" i="5" s="1"/>
  <c r="G506" i="5" a="1"/>
  <c r="G506" i="5" s="1"/>
  <c r="N506" i="5"/>
  <c r="K510" i="5" a="1"/>
  <c r="K510" i="5" s="1"/>
  <c r="M512" i="5" a="1"/>
  <c r="M512" i="5" s="1"/>
  <c r="J517" i="5" a="1"/>
  <c r="J517" i="5" s="1"/>
  <c r="L519" i="5" a="1"/>
  <c r="L519" i="5" s="1"/>
  <c r="G522" i="5" a="1"/>
  <c r="G522" i="5" s="1"/>
  <c r="N522" i="5"/>
  <c r="K526" i="5" a="1"/>
  <c r="K526" i="5" s="1"/>
  <c r="M528" i="5" a="1"/>
  <c r="M528" i="5" s="1"/>
  <c r="J533" i="5" a="1"/>
  <c r="J533" i="5" s="1"/>
  <c r="L535" i="5" a="1"/>
  <c r="L535" i="5" s="1"/>
  <c r="N538" i="5"/>
  <c r="G538" i="5" a="1"/>
  <c r="G538" i="5" s="1"/>
  <c r="K542" i="5" a="1"/>
  <c r="K542" i="5" s="1"/>
  <c r="M544" i="5" a="1"/>
  <c r="M544" i="5" s="1"/>
  <c r="J549" i="5" a="1"/>
  <c r="J549" i="5" s="1"/>
  <c r="L551" i="5" a="1"/>
  <c r="L551" i="5" s="1"/>
  <c r="G554" i="5" a="1"/>
  <c r="G554" i="5" s="1"/>
  <c r="N554" i="5"/>
  <c r="K558" i="5" a="1"/>
  <c r="K558" i="5" s="1"/>
  <c r="M560" i="5" a="1"/>
  <c r="M560" i="5" s="1"/>
  <c r="J565" i="5" a="1"/>
  <c r="J565" i="5" s="1"/>
  <c r="G570" i="5" a="1"/>
  <c r="G570" i="5" s="1"/>
  <c r="N570" i="5"/>
  <c r="K574" i="5" a="1"/>
  <c r="K574" i="5" s="1"/>
  <c r="M576" i="5" a="1"/>
  <c r="M576" i="5" s="1"/>
  <c r="H556" i="5" a="1"/>
  <c r="H556" i="5" s="1"/>
  <c r="H284" i="5" a="1"/>
  <c r="H284" i="5" s="1"/>
  <c r="N9" i="5"/>
  <c r="G9" i="5" a="1"/>
  <c r="G9" i="5" s="1"/>
  <c r="L38" i="5" a="1"/>
  <c r="L38" i="5" s="1"/>
  <c r="J68" i="5" a="1"/>
  <c r="J68" i="5" s="1"/>
  <c r="J100" i="5" a="1"/>
  <c r="J100" i="5" s="1"/>
  <c r="J132" i="5" a="1"/>
  <c r="J132" i="5" s="1"/>
  <c r="J164" i="5" a="1"/>
  <c r="J164" i="5" s="1"/>
  <c r="J196" i="5" a="1"/>
  <c r="J196" i="5" s="1"/>
  <c r="J228" i="5" a="1"/>
  <c r="J228" i="5" s="1"/>
  <c r="N265" i="5"/>
  <c r="G265" i="5" a="1"/>
  <c r="G265" i="5" s="1"/>
  <c r="G297" i="5" a="1"/>
  <c r="G297" i="5" s="1"/>
  <c r="N297" i="5"/>
  <c r="J340" i="5" a="1"/>
  <c r="J340" i="5" s="1"/>
  <c r="L374" i="5" a="1"/>
  <c r="L374" i="5" s="1"/>
  <c r="L406" i="5" a="1"/>
  <c r="L406" i="5" s="1"/>
  <c r="L438" i="5" a="1"/>
  <c r="L438" i="5" s="1"/>
  <c r="J468" i="5" a="1"/>
  <c r="J468" i="5" s="1"/>
  <c r="M495" i="5" a="1"/>
  <c r="M495" i="5" s="1"/>
  <c r="G521" i="5" a="1"/>
  <c r="G521" i="5" s="1"/>
  <c r="N521" i="5"/>
  <c r="J548" i="5" a="1"/>
  <c r="J548" i="5" s="1"/>
  <c r="H507" i="5" a="1"/>
  <c r="H507" i="5" s="1"/>
  <c r="H123" i="5" a="1"/>
  <c r="H123" i="5" s="1"/>
  <c r="M22" i="5" a="1"/>
  <c r="M22" i="5" s="1"/>
  <c r="G48" i="5" a="1"/>
  <c r="G48" i="5" s="1"/>
  <c r="N48" i="5"/>
  <c r="M70" i="5" a="1"/>
  <c r="M70" i="5" s="1"/>
  <c r="I98" i="5" a="1"/>
  <c r="I98" i="5" s="1"/>
  <c r="L125" i="5" a="1"/>
  <c r="L125" i="5" s="1"/>
  <c r="M150" i="5" a="1"/>
  <c r="M150" i="5" s="1"/>
  <c r="M182" i="5" a="1"/>
  <c r="M182" i="5" s="1"/>
  <c r="I210" i="5" a="1"/>
  <c r="I210" i="5" s="1"/>
  <c r="N240" i="5"/>
  <c r="G240" i="5" a="1"/>
  <c r="G240" i="5" s="1"/>
  <c r="G272" i="5" a="1"/>
  <c r="G272" i="5" s="1"/>
  <c r="N272" i="5"/>
  <c r="K308" i="5" a="1"/>
  <c r="K308" i="5" s="1"/>
  <c r="G336" i="5" a="1"/>
  <c r="G336" i="5" s="1"/>
  <c r="N336" i="5"/>
  <c r="G368" i="5" a="1"/>
  <c r="G368" i="5" s="1"/>
  <c r="N368" i="5"/>
  <c r="I402" i="5" a="1"/>
  <c r="I402" i="5" s="1"/>
  <c r="K436" i="5" a="1"/>
  <c r="K436" i="5" s="1"/>
  <c r="K468" i="5" a="1"/>
  <c r="K468" i="5" s="1"/>
  <c r="K500" i="5" a="1"/>
  <c r="K500" i="5" s="1"/>
  <c r="M534" i="5" a="1"/>
  <c r="M534" i="5" s="1"/>
  <c r="K571" i="5" a="1"/>
  <c r="K571" i="5" s="1"/>
  <c r="M573" i="5" a="1"/>
  <c r="M573" i="5" s="1"/>
  <c r="I3" i="5" a="1"/>
  <c r="I3" i="5" s="1"/>
  <c r="K5" i="5" a="1"/>
  <c r="K5" i="5" s="1"/>
  <c r="M7" i="5" a="1"/>
  <c r="M7" i="5" s="1"/>
  <c r="H10" i="5" a="1"/>
  <c r="H10" i="5" s="1"/>
  <c r="J12" i="5" a="1"/>
  <c r="J12" i="5" s="1"/>
  <c r="L14" i="5" a="1"/>
  <c r="L14" i="5" s="1"/>
  <c r="N17" i="5"/>
  <c r="G17" i="5" a="1"/>
  <c r="G17" i="5" s="1"/>
  <c r="I19" i="5" a="1"/>
  <c r="I19" i="5" s="1"/>
  <c r="K21" i="5" a="1"/>
  <c r="K21" i="5" s="1"/>
  <c r="M23" i="5" a="1"/>
  <c r="M23" i="5" s="1"/>
  <c r="H26" i="5" a="1"/>
  <c r="H26" i="5" s="1"/>
  <c r="J28" i="5" a="1"/>
  <c r="J28" i="5" s="1"/>
  <c r="L30" i="5" a="1"/>
  <c r="L30" i="5" s="1"/>
  <c r="N33" i="5"/>
  <c r="G33" i="5" a="1"/>
  <c r="G33" i="5" s="1"/>
  <c r="I35" i="5" a="1"/>
  <c r="I35" i="5" s="1"/>
  <c r="K37" i="5" a="1"/>
  <c r="K37" i="5" s="1"/>
  <c r="M39" i="5" a="1"/>
  <c r="M39" i="5" s="1"/>
  <c r="H42" i="5" a="1"/>
  <c r="H42" i="5" s="1"/>
  <c r="J44" i="5" a="1"/>
  <c r="J44" i="5" s="1"/>
  <c r="L46" i="5" a="1"/>
  <c r="L46" i="5" s="1"/>
  <c r="N49" i="5"/>
  <c r="G49" i="5" a="1"/>
  <c r="G49" i="5" s="1"/>
  <c r="K53" i="5" a="1"/>
  <c r="K53" i="5" s="1"/>
  <c r="M55" i="5" a="1"/>
  <c r="M55" i="5" s="1"/>
  <c r="H58" i="5" a="1"/>
  <c r="H58" i="5" s="1"/>
  <c r="J60" i="5" a="1"/>
  <c r="J60" i="5" s="1"/>
  <c r="L62" i="5" a="1"/>
  <c r="L62" i="5" s="1"/>
  <c r="N65" i="5"/>
  <c r="G65" i="5" a="1"/>
  <c r="G65" i="5" s="1"/>
  <c r="I67" i="5" a="1"/>
  <c r="I67" i="5" s="1"/>
  <c r="K69" i="5" a="1"/>
  <c r="K69" i="5" s="1"/>
  <c r="M71" i="5" a="1"/>
  <c r="M71" i="5" s="1"/>
  <c r="H74" i="5" a="1"/>
  <c r="H74" i="5" s="1"/>
  <c r="J76" i="5" a="1"/>
  <c r="J76" i="5" s="1"/>
  <c r="L78" i="5" a="1"/>
  <c r="L78" i="5" s="1"/>
  <c r="G81" i="5" a="1"/>
  <c r="G81" i="5" s="1"/>
  <c r="N81" i="5"/>
  <c r="I83" i="5" a="1"/>
  <c r="I83" i="5" s="1"/>
  <c r="K85" i="5" a="1"/>
  <c r="K85" i="5" s="1"/>
  <c r="M87" i="5" a="1"/>
  <c r="M87" i="5" s="1"/>
  <c r="H90" i="5" a="1"/>
  <c r="H90" i="5" s="1"/>
  <c r="J92" i="5" a="1"/>
  <c r="J92" i="5" s="1"/>
  <c r="L94" i="5" a="1"/>
  <c r="L94" i="5" s="1"/>
  <c r="G97" i="5" a="1"/>
  <c r="G97" i="5" s="1"/>
  <c r="N97" i="5"/>
  <c r="I99" i="5" a="1"/>
  <c r="I99" i="5" s="1"/>
  <c r="K101" i="5" a="1"/>
  <c r="K101" i="5" s="1"/>
  <c r="M103" i="5" a="1"/>
  <c r="M103" i="5" s="1"/>
  <c r="H106" i="5" a="1"/>
  <c r="H106" i="5" s="1"/>
  <c r="J108" i="5" a="1"/>
  <c r="J108" i="5" s="1"/>
  <c r="L110" i="5" a="1"/>
  <c r="L110" i="5" s="1"/>
  <c r="N113" i="5"/>
  <c r="G113" i="5" a="1"/>
  <c r="G113" i="5" s="1"/>
  <c r="I115" i="5" a="1"/>
  <c r="I115" i="5" s="1"/>
  <c r="K117" i="5" a="1"/>
  <c r="K117" i="5" s="1"/>
  <c r="M119" i="5" a="1"/>
  <c r="M119" i="5" s="1"/>
  <c r="H122" i="5" a="1"/>
  <c r="H122" i="5" s="1"/>
  <c r="J124" i="5" a="1"/>
  <c r="J124" i="5" s="1"/>
  <c r="L126" i="5" a="1"/>
  <c r="L126" i="5" s="1"/>
  <c r="N129" i="5"/>
  <c r="G129" i="5" a="1"/>
  <c r="G129" i="5" s="1"/>
  <c r="I131" i="5" a="1"/>
  <c r="I131" i="5" s="1"/>
  <c r="K133" i="5" a="1"/>
  <c r="K133" i="5" s="1"/>
  <c r="M135" i="5" a="1"/>
  <c r="M135" i="5" s="1"/>
  <c r="H138" i="5" a="1"/>
  <c r="H138" i="5" s="1"/>
  <c r="J140" i="5" a="1"/>
  <c r="J140" i="5" s="1"/>
  <c r="L142" i="5" a="1"/>
  <c r="L142" i="5" s="1"/>
  <c r="N145" i="5"/>
  <c r="G145" i="5" a="1"/>
  <c r="G145" i="5" s="1"/>
  <c r="I147" i="5" a="1"/>
  <c r="I147" i="5" s="1"/>
  <c r="K149" i="5" a="1"/>
  <c r="K149" i="5" s="1"/>
  <c r="M151" i="5" a="1"/>
  <c r="M151" i="5" s="1"/>
  <c r="H154" i="5" a="1"/>
  <c r="H154" i="5" s="1"/>
  <c r="J156" i="5" a="1"/>
  <c r="J156" i="5" s="1"/>
  <c r="L158" i="5" a="1"/>
  <c r="L158" i="5" s="1"/>
  <c r="G161" i="5" a="1"/>
  <c r="G161" i="5" s="1"/>
  <c r="N161" i="5"/>
  <c r="I163" i="5" a="1"/>
  <c r="I163" i="5" s="1"/>
  <c r="K165" i="5" a="1"/>
  <c r="K165" i="5" s="1"/>
  <c r="M167" i="5" a="1"/>
  <c r="M167" i="5" s="1"/>
  <c r="H170" i="5" a="1"/>
  <c r="H170" i="5" s="1"/>
  <c r="J172" i="5" a="1"/>
  <c r="J172" i="5" s="1"/>
  <c r="L174" i="5" a="1"/>
  <c r="L174" i="5" s="1"/>
  <c r="N177" i="5"/>
  <c r="G177" i="5" a="1"/>
  <c r="G177" i="5" s="1"/>
  <c r="I179" i="5" a="1"/>
  <c r="I179" i="5" s="1"/>
  <c r="K181" i="5" a="1"/>
  <c r="K181" i="5" s="1"/>
  <c r="M183" i="5" a="1"/>
  <c r="M183" i="5" s="1"/>
  <c r="H186" i="5" a="1"/>
  <c r="H186" i="5" s="1"/>
  <c r="J188" i="5" a="1"/>
  <c r="J188" i="5" s="1"/>
  <c r="L190" i="5" a="1"/>
  <c r="L190" i="5" s="1"/>
  <c r="G193" i="5" a="1"/>
  <c r="G193" i="5" s="1"/>
  <c r="N193" i="5"/>
  <c r="I195" i="5" a="1"/>
  <c r="I195" i="5" s="1"/>
  <c r="K197" i="5" a="1"/>
  <c r="K197" i="5" s="1"/>
  <c r="M199" i="5" a="1"/>
  <c r="M199" i="5" s="1"/>
  <c r="H202" i="5" a="1"/>
  <c r="H202" i="5" s="1"/>
  <c r="J204" i="5" a="1"/>
  <c r="J204" i="5" s="1"/>
  <c r="L206" i="5" a="1"/>
  <c r="L206" i="5" s="1"/>
  <c r="N209" i="5"/>
  <c r="G209" i="5" a="1"/>
  <c r="G209" i="5" s="1"/>
  <c r="I211" i="5" a="1"/>
  <c r="I211" i="5" s="1"/>
  <c r="K213" i="5" a="1"/>
  <c r="K213" i="5" s="1"/>
  <c r="M215" i="5" a="1"/>
  <c r="M215" i="5" s="1"/>
  <c r="H218" i="5" a="1"/>
  <c r="H218" i="5" s="1"/>
  <c r="J220" i="5" a="1"/>
  <c r="J220" i="5" s="1"/>
  <c r="L222" i="5" a="1"/>
  <c r="L222" i="5" s="1"/>
  <c r="G225" i="5" a="1"/>
  <c r="G225" i="5" s="1"/>
  <c r="N225" i="5"/>
  <c r="I227" i="5" a="1"/>
  <c r="I227" i="5" s="1"/>
  <c r="K229" i="5" a="1"/>
  <c r="K229" i="5" s="1"/>
  <c r="M231" i="5" a="1"/>
  <c r="M231" i="5" s="1"/>
  <c r="H234" i="5" a="1"/>
  <c r="H234" i="5" s="1"/>
  <c r="J236" i="5" a="1"/>
  <c r="J236" i="5" s="1"/>
  <c r="L238" i="5" a="1"/>
  <c r="L238" i="5" s="1"/>
  <c r="N241" i="5"/>
  <c r="G241" i="5" a="1"/>
  <c r="G241" i="5" s="1"/>
  <c r="I243" i="5" a="1"/>
  <c r="I243" i="5" s="1"/>
  <c r="K245" i="5" a="1"/>
  <c r="K245" i="5" s="1"/>
  <c r="M247" i="5" a="1"/>
  <c r="M247" i="5" s="1"/>
  <c r="H250" i="5" a="1"/>
  <c r="H250" i="5" s="1"/>
  <c r="J252" i="5" a="1"/>
  <c r="J252" i="5" s="1"/>
  <c r="L254" i="5" a="1"/>
  <c r="L254" i="5" s="1"/>
  <c r="N257" i="5"/>
  <c r="G257" i="5" a="1"/>
  <c r="G257" i="5" s="1"/>
  <c r="I259" i="5" a="1"/>
  <c r="I259" i="5" s="1"/>
  <c r="K261" i="5" a="1"/>
  <c r="K261" i="5" s="1"/>
  <c r="M263" i="5" a="1"/>
  <c r="M263" i="5" s="1"/>
  <c r="H266" i="5" a="1"/>
  <c r="H266" i="5" s="1"/>
  <c r="J268" i="5" a="1"/>
  <c r="J268" i="5" s="1"/>
  <c r="L270" i="5" a="1"/>
  <c r="L270" i="5" s="1"/>
  <c r="N273" i="5"/>
  <c r="G273" i="5" a="1"/>
  <c r="G273" i="5" s="1"/>
  <c r="I275" i="5" a="1"/>
  <c r="I275" i="5" s="1"/>
  <c r="K277" i="5" a="1"/>
  <c r="K277" i="5" s="1"/>
  <c r="M279" i="5" a="1"/>
  <c r="M279" i="5" s="1"/>
  <c r="H282" i="5" a="1"/>
  <c r="H282" i="5" s="1"/>
  <c r="J284" i="5" a="1"/>
  <c r="J284" i="5" s="1"/>
  <c r="L286" i="5" a="1"/>
  <c r="L286" i="5" s="1"/>
  <c r="N289" i="5"/>
  <c r="G289" i="5" a="1"/>
  <c r="G289" i="5" s="1"/>
  <c r="I291" i="5" a="1"/>
  <c r="I291" i="5" s="1"/>
  <c r="K293" i="5" a="1"/>
  <c r="K293" i="5" s="1"/>
  <c r="M295" i="5" a="1"/>
  <c r="M295" i="5" s="1"/>
  <c r="H298" i="5" a="1"/>
  <c r="H298" i="5" s="1"/>
  <c r="J300" i="5" a="1"/>
  <c r="J300" i="5" s="1"/>
  <c r="L302" i="5" a="1"/>
  <c r="L302" i="5" s="1"/>
  <c r="N305" i="5"/>
  <c r="G305" i="5" a="1"/>
  <c r="G305" i="5" s="1"/>
  <c r="I307" i="5" a="1"/>
  <c r="I307" i="5" s="1"/>
  <c r="K309" i="5" a="1"/>
  <c r="K309" i="5" s="1"/>
  <c r="M311" i="5" a="1"/>
  <c r="M311" i="5" s="1"/>
  <c r="H314" i="5" a="1"/>
  <c r="H314" i="5" s="1"/>
  <c r="J316" i="5" a="1"/>
  <c r="J316" i="5" s="1"/>
  <c r="L318" i="5" a="1"/>
  <c r="L318" i="5" s="1"/>
  <c r="N321" i="5"/>
  <c r="G321" i="5" a="1"/>
  <c r="G321" i="5" s="1"/>
  <c r="I323" i="5" a="1"/>
  <c r="I323" i="5" s="1"/>
  <c r="K325" i="5" a="1"/>
  <c r="K325" i="5" s="1"/>
  <c r="M327" i="5" a="1"/>
  <c r="M327" i="5" s="1"/>
  <c r="H330" i="5" a="1"/>
  <c r="H330" i="5" s="1"/>
  <c r="J332" i="5" a="1"/>
  <c r="J332" i="5" s="1"/>
  <c r="L334" i="5" a="1"/>
  <c r="L334" i="5" s="1"/>
  <c r="N337" i="5"/>
  <c r="G337" i="5" a="1"/>
  <c r="G337" i="5" s="1"/>
  <c r="I339" i="5" a="1"/>
  <c r="I339" i="5" s="1"/>
  <c r="K341" i="5" a="1"/>
  <c r="K341" i="5" s="1"/>
  <c r="M343" i="5" a="1"/>
  <c r="M343" i="5" s="1"/>
  <c r="H346" i="5" a="1"/>
  <c r="H346" i="5" s="1"/>
  <c r="J348" i="5" a="1"/>
  <c r="J348" i="5" s="1"/>
  <c r="L350" i="5" a="1"/>
  <c r="L350" i="5" s="1"/>
  <c r="G353" i="5" a="1"/>
  <c r="G353" i="5" s="1"/>
  <c r="N353" i="5"/>
  <c r="I355" i="5" a="1"/>
  <c r="I355" i="5" s="1"/>
  <c r="K357" i="5" a="1"/>
  <c r="K357" i="5" s="1"/>
  <c r="M359" i="5" a="1"/>
  <c r="M359" i="5" s="1"/>
  <c r="H362" i="5" a="1"/>
  <c r="H362" i="5" s="1"/>
  <c r="J364" i="5" a="1"/>
  <c r="J364" i="5" s="1"/>
  <c r="L366" i="5" a="1"/>
  <c r="L366" i="5" s="1"/>
  <c r="N369" i="5"/>
  <c r="G369" i="5" a="1"/>
  <c r="G369" i="5" s="1"/>
  <c r="I371" i="5" a="1"/>
  <c r="I371" i="5" s="1"/>
  <c r="K373" i="5" a="1"/>
  <c r="K373" i="5" s="1"/>
  <c r="M375" i="5" a="1"/>
  <c r="M375" i="5" s="1"/>
  <c r="H378" i="5" a="1"/>
  <c r="H378" i="5" s="1"/>
  <c r="J380" i="5" a="1"/>
  <c r="J380" i="5" s="1"/>
  <c r="L382" i="5" a="1"/>
  <c r="L382" i="5" s="1"/>
  <c r="G385" i="5" a="1"/>
  <c r="G385" i="5" s="1"/>
  <c r="N385" i="5"/>
  <c r="I387" i="5" a="1"/>
  <c r="I387" i="5" s="1"/>
  <c r="K389" i="5" a="1"/>
  <c r="K389" i="5" s="1"/>
  <c r="M391" i="5" a="1"/>
  <c r="M391" i="5" s="1"/>
  <c r="H394" i="5" a="1"/>
  <c r="H394" i="5" s="1"/>
  <c r="J396" i="5" a="1"/>
  <c r="J396" i="5" s="1"/>
  <c r="L398" i="5" a="1"/>
  <c r="L398" i="5" s="1"/>
  <c r="N401" i="5"/>
  <c r="G401" i="5" a="1"/>
  <c r="G401" i="5" s="1"/>
  <c r="I403" i="5" a="1"/>
  <c r="I403" i="5" s="1"/>
  <c r="K405" i="5" a="1"/>
  <c r="K405" i="5" s="1"/>
  <c r="M407" i="5" a="1"/>
  <c r="M407" i="5" s="1"/>
  <c r="H410" i="5" a="1"/>
  <c r="H410" i="5" s="1"/>
  <c r="J412" i="5" a="1"/>
  <c r="J412" i="5" s="1"/>
  <c r="L414" i="5" a="1"/>
  <c r="L414" i="5" s="1"/>
  <c r="G417" i="5" a="1"/>
  <c r="G417" i="5" s="1"/>
  <c r="N417" i="5"/>
  <c r="I419" i="5" a="1"/>
  <c r="I419" i="5" s="1"/>
  <c r="K421" i="5" a="1"/>
  <c r="K421" i="5" s="1"/>
  <c r="M423" i="5" a="1"/>
  <c r="M423" i="5" s="1"/>
  <c r="H426" i="5" a="1"/>
  <c r="H426" i="5" s="1"/>
  <c r="J428" i="5" a="1"/>
  <c r="J428" i="5" s="1"/>
  <c r="L430" i="5" a="1"/>
  <c r="L430" i="5" s="1"/>
  <c r="G433" i="5" a="1"/>
  <c r="G433" i="5" s="1"/>
  <c r="N433" i="5"/>
  <c r="I435" i="5" a="1"/>
  <c r="I435" i="5" s="1"/>
  <c r="K437" i="5" a="1"/>
  <c r="K437" i="5" s="1"/>
  <c r="M439" i="5" a="1"/>
  <c r="M439" i="5" s="1"/>
  <c r="H442" i="5" a="1"/>
  <c r="H442" i="5" s="1"/>
  <c r="J444" i="5" a="1"/>
  <c r="J444" i="5" s="1"/>
  <c r="L446" i="5" a="1"/>
  <c r="L446" i="5" s="1"/>
  <c r="G449" i="5" a="1"/>
  <c r="G449" i="5" s="1"/>
  <c r="N449" i="5"/>
  <c r="I451" i="5" a="1"/>
  <c r="I451" i="5" s="1"/>
  <c r="K453" i="5" a="1"/>
  <c r="K453" i="5" s="1"/>
  <c r="M455" i="5" a="1"/>
  <c r="M455" i="5" s="1"/>
  <c r="H458" i="5" a="1"/>
  <c r="H458" i="5" s="1"/>
  <c r="J460" i="5" a="1"/>
  <c r="J460" i="5" s="1"/>
  <c r="L462" i="5" a="1"/>
  <c r="L462" i="5" s="1"/>
  <c r="N465" i="5"/>
  <c r="G465" i="5" a="1"/>
  <c r="G465" i="5" s="1"/>
  <c r="I467" i="5" a="1"/>
  <c r="I467" i="5" s="1"/>
  <c r="K469" i="5" a="1"/>
  <c r="K469" i="5" s="1"/>
  <c r="M471" i="5" a="1"/>
  <c r="M471" i="5" s="1"/>
  <c r="H474" i="5" a="1"/>
  <c r="H474" i="5" s="1"/>
  <c r="J476" i="5" a="1"/>
  <c r="J476" i="5" s="1"/>
  <c r="L478" i="5" a="1"/>
  <c r="L478" i="5" s="1"/>
  <c r="G481" i="5" a="1"/>
  <c r="G481" i="5" s="1"/>
  <c r="N481" i="5"/>
  <c r="I483" i="5" a="1"/>
  <c r="I483" i="5" s="1"/>
  <c r="K485" i="5" a="1"/>
  <c r="K485" i="5" s="1"/>
  <c r="M487" i="5" a="1"/>
  <c r="M487" i="5" s="1"/>
  <c r="H490" i="5" a="1"/>
  <c r="H490" i="5" s="1"/>
  <c r="J492" i="5" a="1"/>
  <c r="J492" i="5" s="1"/>
  <c r="L494" i="5" a="1"/>
  <c r="L494" i="5" s="1"/>
  <c r="N497" i="5"/>
  <c r="G497" i="5" a="1"/>
  <c r="G497" i="5" s="1"/>
  <c r="I499" i="5" a="1"/>
  <c r="I499" i="5" s="1"/>
  <c r="K501" i="5" a="1"/>
  <c r="K501" i="5" s="1"/>
  <c r="M503" i="5" a="1"/>
  <c r="M503" i="5" s="1"/>
  <c r="H506" i="5" a="1"/>
  <c r="H506" i="5" s="1"/>
  <c r="J508" i="5" a="1"/>
  <c r="J508" i="5" s="1"/>
  <c r="L510" i="5" a="1"/>
  <c r="L510" i="5" s="1"/>
  <c r="G513" i="5" a="1"/>
  <c r="G513" i="5" s="1"/>
  <c r="N513" i="5"/>
  <c r="I515" i="5" a="1"/>
  <c r="I515" i="5" s="1"/>
  <c r="K517" i="5" a="1"/>
  <c r="K517" i="5" s="1"/>
  <c r="M519" i="5" a="1"/>
  <c r="M519" i="5" s="1"/>
  <c r="H522" i="5" a="1"/>
  <c r="H522" i="5" s="1"/>
  <c r="J524" i="5" a="1"/>
  <c r="J524" i="5" s="1"/>
  <c r="L526" i="5" a="1"/>
  <c r="L526" i="5" s="1"/>
  <c r="N529" i="5"/>
  <c r="G529" i="5" a="1"/>
  <c r="G529" i="5" s="1"/>
  <c r="I531" i="5" a="1"/>
  <c r="I531" i="5" s="1"/>
  <c r="K533" i="5" a="1"/>
  <c r="K533" i="5" s="1"/>
  <c r="M535" i="5" a="1"/>
  <c r="M535" i="5" s="1"/>
  <c r="H538" i="5" a="1"/>
  <c r="H538" i="5" s="1"/>
  <c r="J540" i="5" a="1"/>
  <c r="J540" i="5" s="1"/>
  <c r="L542" i="5" a="1"/>
  <c r="L542" i="5" s="1"/>
  <c r="G545" i="5" a="1"/>
  <c r="G545" i="5" s="1"/>
  <c r="N545" i="5"/>
  <c r="I547" i="5" a="1"/>
  <c r="I547" i="5" s="1"/>
  <c r="K549" i="5" a="1"/>
  <c r="K549" i="5" s="1"/>
  <c r="M551" i="5" a="1"/>
  <c r="M551" i="5" s="1"/>
  <c r="H554" i="5" a="1"/>
  <c r="H554" i="5" s="1"/>
  <c r="J556" i="5" a="1"/>
  <c r="J556" i="5" s="1"/>
  <c r="L558" i="5" a="1"/>
  <c r="L558" i="5" s="1"/>
  <c r="N561" i="5"/>
  <c r="G561" i="5" a="1"/>
  <c r="G561" i="5" s="1"/>
  <c r="I563" i="5" a="1"/>
  <c r="I563" i="5" s="1"/>
  <c r="H570" i="5" a="1"/>
  <c r="H570" i="5" s="1"/>
  <c r="J572" i="5" a="1"/>
  <c r="J572" i="5" s="1"/>
  <c r="L574" i="5" a="1"/>
  <c r="L574" i="5" s="1"/>
  <c r="N593" i="5"/>
  <c r="N609" i="5"/>
  <c r="N625" i="5"/>
  <c r="N641" i="5"/>
  <c r="N657" i="5"/>
  <c r="H332" i="5" a="1"/>
  <c r="H332" i="5" s="1"/>
  <c r="H60" i="5" a="1"/>
  <c r="H60" i="5" s="1"/>
  <c r="K13" i="5" a="1"/>
  <c r="K13" i="5" s="1"/>
  <c r="K45" i="5" a="1"/>
  <c r="K45" i="5" s="1"/>
  <c r="M79" i="5" a="1"/>
  <c r="M79" i="5" s="1"/>
  <c r="J148" i="5" a="1"/>
  <c r="J148" i="5" s="1"/>
  <c r="N185" i="5"/>
  <c r="G185" i="5" a="1"/>
  <c r="G185" i="5" s="1"/>
  <c r="N217" i="5"/>
  <c r="G217" i="5" a="1"/>
  <c r="G217" i="5" s="1"/>
  <c r="K253" i="5" a="1"/>
  <c r="K253" i="5" s="1"/>
  <c r="I299" i="5" a="1"/>
  <c r="I299" i="5" s="1"/>
  <c r="J372" i="5" a="1"/>
  <c r="J372" i="5" s="1"/>
  <c r="N409" i="5"/>
  <c r="G409" i="5" a="1"/>
  <c r="G409" i="5" s="1"/>
  <c r="G441" i="5" a="1"/>
  <c r="G441" i="5" s="1"/>
  <c r="N441" i="5"/>
  <c r="M511" i="5" a="1"/>
  <c r="M511" i="5" s="1"/>
  <c r="L550" i="5" a="1"/>
  <c r="L550" i="5" s="1"/>
  <c r="H555" i="5" a="1"/>
  <c r="H555" i="5" s="1"/>
  <c r="H187" i="5" a="1"/>
  <c r="H187" i="5" s="1"/>
  <c r="K562" i="5" a="1"/>
  <c r="K562" i="5" s="1"/>
  <c r="L13" i="5" a="1"/>
  <c r="L13" i="5" s="1"/>
  <c r="L45" i="5" a="1"/>
  <c r="L45" i="5" s="1"/>
  <c r="G80" i="5" a="1"/>
  <c r="G80" i="5" s="1"/>
  <c r="N80" i="5"/>
  <c r="L109" i="5" a="1"/>
  <c r="L109" i="5" s="1"/>
  <c r="M134" i="5" a="1"/>
  <c r="M134" i="5" s="1"/>
  <c r="K164" i="5" a="1"/>
  <c r="K164" i="5" s="1"/>
  <c r="L189" i="5" a="1"/>
  <c r="L189" i="5" s="1"/>
  <c r="H217" i="5" a="1"/>
  <c r="H217" i="5" s="1"/>
  <c r="H249" i="5" a="1"/>
  <c r="H249" i="5" s="1"/>
  <c r="H281" i="5" a="1"/>
  <c r="H281" i="5" s="1"/>
  <c r="J315" i="5" a="1"/>
  <c r="J315" i="5" s="1"/>
  <c r="M342" i="5" a="1"/>
  <c r="M342" i="5" s="1"/>
  <c r="I370" i="5" a="1"/>
  <c r="I370" i="5" s="1"/>
  <c r="L397" i="5" a="1"/>
  <c r="L397" i="5" s="1"/>
  <c r="J427" i="5" a="1"/>
  <c r="J427" i="5" s="1"/>
  <c r="H457" i="5" a="1"/>
  <c r="H457" i="5" s="1"/>
  <c r="K484" i="5" a="1"/>
  <c r="K484" i="5" s="1"/>
  <c r="G512" i="5" a="1"/>
  <c r="G512" i="5" s="1"/>
  <c r="N512" i="5"/>
  <c r="L541" i="5" a="1"/>
  <c r="L541" i="5" s="1"/>
  <c r="K564" i="5" a="1"/>
  <c r="K564" i="5" s="1"/>
  <c r="H563" i="5" a="1"/>
  <c r="H563" i="5" s="1"/>
  <c r="H547" i="5" a="1"/>
  <c r="H547" i="5" s="1"/>
  <c r="H531" i="5" a="1"/>
  <c r="H531" i="5" s="1"/>
  <c r="H515" i="5" a="1"/>
  <c r="H515" i="5" s="1"/>
  <c r="H499" i="5" a="1"/>
  <c r="H499" i="5" s="1"/>
  <c r="H483" i="5" a="1"/>
  <c r="H483" i="5" s="1"/>
  <c r="H467" i="5" a="1"/>
  <c r="H467" i="5" s="1"/>
  <c r="H451" i="5" a="1"/>
  <c r="H451" i="5" s="1"/>
  <c r="H435" i="5" a="1"/>
  <c r="H435" i="5" s="1"/>
  <c r="H419" i="5" a="1"/>
  <c r="H419" i="5" s="1"/>
  <c r="H403" i="5" a="1"/>
  <c r="H403" i="5" s="1"/>
  <c r="H387" i="5" a="1"/>
  <c r="H387" i="5" s="1"/>
  <c r="H371" i="5" a="1"/>
  <c r="H371" i="5" s="1"/>
  <c r="H355" i="5" a="1"/>
  <c r="H355" i="5" s="1"/>
  <c r="H339" i="5" a="1"/>
  <c r="H339" i="5" s="1"/>
  <c r="H323" i="5" a="1"/>
  <c r="H323" i="5" s="1"/>
  <c r="H307" i="5" a="1"/>
  <c r="H307" i="5" s="1"/>
  <c r="H291" i="5" a="1"/>
  <c r="H291" i="5" s="1"/>
  <c r="H275" i="5" a="1"/>
  <c r="H275" i="5" s="1"/>
  <c r="H259" i="5" a="1"/>
  <c r="H259" i="5" s="1"/>
  <c r="H243" i="5" a="1"/>
  <c r="H243" i="5" s="1"/>
  <c r="H227" i="5" a="1"/>
  <c r="H227" i="5" s="1"/>
  <c r="H211" i="5" a="1"/>
  <c r="H211" i="5" s="1"/>
  <c r="H195" i="5" a="1"/>
  <c r="H195" i="5" s="1"/>
  <c r="H179" i="5" a="1"/>
  <c r="H179" i="5" s="1"/>
  <c r="H163" i="5" a="1"/>
  <c r="H163" i="5" s="1"/>
  <c r="H147" i="5" a="1"/>
  <c r="H147" i="5" s="1"/>
  <c r="H131" i="5" a="1"/>
  <c r="H131" i="5" s="1"/>
  <c r="H115" i="5" a="1"/>
  <c r="H115" i="5" s="1"/>
  <c r="H99" i="5" a="1"/>
  <c r="H99" i="5" s="1"/>
  <c r="H83" i="5" a="1"/>
  <c r="H83" i="5" s="1"/>
  <c r="H67" i="5" a="1"/>
  <c r="H67" i="5" s="1"/>
  <c r="H51" i="5" a="1"/>
  <c r="H51" i="5" s="1"/>
  <c r="H35" i="5" a="1"/>
  <c r="H35" i="5" s="1"/>
  <c r="H19" i="5" a="1"/>
  <c r="H19" i="5" s="1"/>
  <c r="I572" i="5" a="1"/>
  <c r="I572" i="5" s="1"/>
  <c r="I556" i="5" a="1"/>
  <c r="I556" i="5" s="1"/>
  <c r="I540" i="5" a="1"/>
  <c r="I540" i="5" s="1"/>
  <c r="I524" i="5" a="1"/>
  <c r="I524" i="5" s="1"/>
  <c r="I508" i="5" a="1"/>
  <c r="I508" i="5" s="1"/>
  <c r="I492" i="5" a="1"/>
  <c r="I492" i="5" s="1"/>
  <c r="I476" i="5" a="1"/>
  <c r="I476" i="5" s="1"/>
  <c r="I460" i="5" a="1"/>
  <c r="I460" i="5" s="1"/>
  <c r="I444" i="5" a="1"/>
  <c r="I444" i="5" s="1"/>
  <c r="I428" i="5" a="1"/>
  <c r="I428" i="5" s="1"/>
  <c r="I412" i="5" a="1"/>
  <c r="I412" i="5" s="1"/>
  <c r="J571" i="5" a="1"/>
  <c r="J571" i="5" s="1"/>
  <c r="J539" i="5" a="1"/>
  <c r="J539" i="5" s="1"/>
  <c r="L571" i="5" a="1"/>
  <c r="L571" i="5" s="1"/>
  <c r="N654" i="5"/>
  <c r="N638" i="5"/>
  <c r="N622" i="5"/>
  <c r="N606" i="5"/>
  <c r="N590" i="5"/>
  <c r="J3" i="5" a="1"/>
  <c r="J3" i="5" s="1"/>
  <c r="L5" i="5" a="1"/>
  <c r="L5" i="5" s="1"/>
  <c r="N8" i="5"/>
  <c r="G8" i="5" a="1"/>
  <c r="G8" i="5" s="1"/>
  <c r="I10" i="5" a="1"/>
  <c r="I10" i="5" s="1"/>
  <c r="K12" i="5" a="1"/>
  <c r="K12" i="5" s="1"/>
  <c r="M14" i="5" a="1"/>
  <c r="M14" i="5" s="1"/>
  <c r="J19" i="5" a="1"/>
  <c r="J19" i="5" s="1"/>
  <c r="L21" i="5" a="1"/>
  <c r="L21" i="5" s="1"/>
  <c r="G24" i="5" a="1"/>
  <c r="G24" i="5" s="1"/>
  <c r="N24" i="5"/>
  <c r="I26" i="5" a="1"/>
  <c r="I26" i="5" s="1"/>
  <c r="K28" i="5" a="1"/>
  <c r="K28" i="5" s="1"/>
  <c r="M30" i="5" a="1"/>
  <c r="M30" i="5" s="1"/>
  <c r="J35" i="5" a="1"/>
  <c r="J35" i="5" s="1"/>
  <c r="L37" i="5" a="1"/>
  <c r="L37" i="5" s="1"/>
  <c r="N40" i="5"/>
  <c r="G40" i="5" a="1"/>
  <c r="G40" i="5" s="1"/>
  <c r="I42" i="5" a="1"/>
  <c r="I42" i="5" s="1"/>
  <c r="K44" i="5" a="1"/>
  <c r="K44" i="5" s="1"/>
  <c r="M46" i="5" a="1"/>
  <c r="M46" i="5" s="1"/>
  <c r="L53" i="5" a="1"/>
  <c r="L53" i="5" s="1"/>
  <c r="G56" i="5" a="1"/>
  <c r="G56" i="5" s="1"/>
  <c r="N56" i="5"/>
  <c r="I58" i="5" a="1"/>
  <c r="I58" i="5" s="1"/>
  <c r="K60" i="5" a="1"/>
  <c r="K60" i="5" s="1"/>
  <c r="M62" i="5" a="1"/>
  <c r="M62" i="5" s="1"/>
  <c r="J67" i="5" a="1"/>
  <c r="J67" i="5" s="1"/>
  <c r="L69" i="5" a="1"/>
  <c r="L69" i="5" s="1"/>
  <c r="G72" i="5" a="1"/>
  <c r="G72" i="5" s="1"/>
  <c r="N72" i="5"/>
  <c r="I74" i="5" a="1"/>
  <c r="I74" i="5" s="1"/>
  <c r="K76" i="5" a="1"/>
  <c r="K76" i="5" s="1"/>
  <c r="M78" i="5" a="1"/>
  <c r="M78" i="5" s="1"/>
  <c r="J83" i="5" a="1"/>
  <c r="J83" i="5" s="1"/>
  <c r="L85" i="5" a="1"/>
  <c r="L85" i="5" s="1"/>
  <c r="N88" i="5"/>
  <c r="G88" i="5" a="1"/>
  <c r="G88" i="5" s="1"/>
  <c r="I90" i="5" a="1"/>
  <c r="I90" i="5" s="1"/>
  <c r="K92" i="5" a="1"/>
  <c r="K92" i="5" s="1"/>
  <c r="M94" i="5" a="1"/>
  <c r="M94" i="5" s="1"/>
  <c r="J99" i="5" a="1"/>
  <c r="J99" i="5" s="1"/>
  <c r="L101" i="5" a="1"/>
  <c r="L101" i="5" s="1"/>
  <c r="G104" i="5" a="1"/>
  <c r="G104" i="5" s="1"/>
  <c r="N104" i="5"/>
  <c r="I106" i="5" a="1"/>
  <c r="I106" i="5" s="1"/>
  <c r="K108" i="5" a="1"/>
  <c r="K108" i="5" s="1"/>
  <c r="M110" i="5" a="1"/>
  <c r="M110" i="5" s="1"/>
  <c r="J115" i="5" a="1"/>
  <c r="J115" i="5" s="1"/>
  <c r="L117" i="5" a="1"/>
  <c r="L117" i="5" s="1"/>
  <c r="N120" i="5"/>
  <c r="G120" i="5" a="1"/>
  <c r="G120" i="5" s="1"/>
  <c r="I122" i="5" a="1"/>
  <c r="I122" i="5" s="1"/>
  <c r="K124" i="5" a="1"/>
  <c r="K124" i="5" s="1"/>
  <c r="M126" i="5" a="1"/>
  <c r="M126" i="5" s="1"/>
  <c r="J131" i="5" a="1"/>
  <c r="J131" i="5" s="1"/>
  <c r="L133" i="5" a="1"/>
  <c r="L133" i="5" s="1"/>
  <c r="N136" i="5"/>
  <c r="G136" i="5" a="1"/>
  <c r="G136" i="5" s="1"/>
  <c r="I138" i="5" a="1"/>
  <c r="I138" i="5" s="1"/>
  <c r="K140" i="5" a="1"/>
  <c r="K140" i="5" s="1"/>
  <c r="M142" i="5" a="1"/>
  <c r="M142" i="5" s="1"/>
  <c r="J147" i="5" a="1"/>
  <c r="J147" i="5" s="1"/>
  <c r="L149" i="5" a="1"/>
  <c r="L149" i="5" s="1"/>
  <c r="G152" i="5" a="1"/>
  <c r="G152" i="5" s="1"/>
  <c r="N152" i="5"/>
  <c r="I154" i="5" a="1"/>
  <c r="I154" i="5" s="1"/>
  <c r="K156" i="5" a="1"/>
  <c r="K156" i="5" s="1"/>
  <c r="M158" i="5" a="1"/>
  <c r="M158" i="5" s="1"/>
  <c r="J163" i="5" a="1"/>
  <c r="J163" i="5" s="1"/>
  <c r="L165" i="5" a="1"/>
  <c r="L165" i="5" s="1"/>
  <c r="G168" i="5" a="1"/>
  <c r="G168" i="5" s="1"/>
  <c r="N168" i="5"/>
  <c r="I170" i="5" a="1"/>
  <c r="I170" i="5" s="1"/>
  <c r="K172" i="5" a="1"/>
  <c r="K172" i="5" s="1"/>
  <c r="M174" i="5" a="1"/>
  <c r="M174" i="5" s="1"/>
  <c r="J179" i="5" a="1"/>
  <c r="J179" i="5" s="1"/>
  <c r="L181" i="5" a="1"/>
  <c r="L181" i="5" s="1"/>
  <c r="N184" i="5"/>
  <c r="G184" i="5" a="1"/>
  <c r="G184" i="5" s="1"/>
  <c r="I186" i="5" a="1"/>
  <c r="I186" i="5" s="1"/>
  <c r="K188" i="5" a="1"/>
  <c r="K188" i="5" s="1"/>
  <c r="M190" i="5" a="1"/>
  <c r="M190" i="5" s="1"/>
  <c r="J195" i="5" a="1"/>
  <c r="J195" i="5" s="1"/>
  <c r="L197" i="5" a="1"/>
  <c r="L197" i="5" s="1"/>
  <c r="G200" i="5" a="1"/>
  <c r="G200" i="5" s="1"/>
  <c r="N200" i="5"/>
  <c r="I202" i="5" a="1"/>
  <c r="I202" i="5" s="1"/>
  <c r="K204" i="5" a="1"/>
  <c r="K204" i="5" s="1"/>
  <c r="M206" i="5" a="1"/>
  <c r="M206" i="5" s="1"/>
  <c r="J211" i="5" a="1"/>
  <c r="J211" i="5" s="1"/>
  <c r="L213" i="5" a="1"/>
  <c r="L213" i="5" s="1"/>
  <c r="N216" i="5"/>
  <c r="G216" i="5" a="1"/>
  <c r="G216" i="5" s="1"/>
  <c r="I218" i="5" a="1"/>
  <c r="I218" i="5" s="1"/>
  <c r="K220" i="5" a="1"/>
  <c r="K220" i="5" s="1"/>
  <c r="M222" i="5" a="1"/>
  <c r="M222" i="5" s="1"/>
  <c r="J227" i="5" a="1"/>
  <c r="J227" i="5" s="1"/>
  <c r="L229" i="5" a="1"/>
  <c r="L229" i="5" s="1"/>
  <c r="N232" i="5"/>
  <c r="G232" i="5" a="1"/>
  <c r="G232" i="5" s="1"/>
  <c r="I234" i="5" a="1"/>
  <c r="I234" i="5" s="1"/>
  <c r="K236" i="5" a="1"/>
  <c r="K236" i="5" s="1"/>
  <c r="M238" i="5" a="1"/>
  <c r="M238" i="5" s="1"/>
  <c r="J243" i="5" a="1"/>
  <c r="J243" i="5" s="1"/>
  <c r="L245" i="5" a="1"/>
  <c r="L245" i="5" s="1"/>
  <c r="N248" i="5"/>
  <c r="G248" i="5" a="1"/>
  <c r="G248" i="5" s="1"/>
  <c r="I250" i="5" a="1"/>
  <c r="I250" i="5" s="1"/>
  <c r="K252" i="5" a="1"/>
  <c r="K252" i="5" s="1"/>
  <c r="M254" i="5" a="1"/>
  <c r="M254" i="5" s="1"/>
  <c r="J259" i="5" a="1"/>
  <c r="J259" i="5" s="1"/>
  <c r="L261" i="5" a="1"/>
  <c r="L261" i="5" s="1"/>
  <c r="N264" i="5"/>
  <c r="G264" i="5" a="1"/>
  <c r="G264" i="5" s="1"/>
  <c r="I266" i="5" a="1"/>
  <c r="I266" i="5" s="1"/>
  <c r="K268" i="5" a="1"/>
  <c r="K268" i="5" s="1"/>
  <c r="M270" i="5" a="1"/>
  <c r="M270" i="5" s="1"/>
  <c r="J275" i="5" a="1"/>
  <c r="J275" i="5" s="1"/>
  <c r="L277" i="5" a="1"/>
  <c r="L277" i="5" s="1"/>
  <c r="G280" i="5" a="1"/>
  <c r="G280" i="5" s="1"/>
  <c r="N280" i="5"/>
  <c r="I282" i="5" a="1"/>
  <c r="I282" i="5" s="1"/>
  <c r="K284" i="5" a="1"/>
  <c r="K284" i="5" s="1"/>
  <c r="M286" i="5" a="1"/>
  <c r="M286" i="5" s="1"/>
  <c r="J291" i="5" a="1"/>
  <c r="J291" i="5" s="1"/>
  <c r="L293" i="5" a="1"/>
  <c r="L293" i="5" s="1"/>
  <c r="G296" i="5" a="1"/>
  <c r="G296" i="5" s="1"/>
  <c r="N296" i="5"/>
  <c r="I298" i="5" a="1"/>
  <c r="I298" i="5" s="1"/>
  <c r="K300" i="5" a="1"/>
  <c r="K300" i="5" s="1"/>
  <c r="M302" i="5" a="1"/>
  <c r="M302" i="5" s="1"/>
  <c r="J307" i="5" a="1"/>
  <c r="J307" i="5" s="1"/>
  <c r="L309" i="5" a="1"/>
  <c r="L309" i="5" s="1"/>
  <c r="G312" i="5" a="1"/>
  <c r="G312" i="5" s="1"/>
  <c r="N312" i="5"/>
  <c r="I314" i="5" a="1"/>
  <c r="I314" i="5" s="1"/>
  <c r="K316" i="5" a="1"/>
  <c r="K316" i="5" s="1"/>
  <c r="M318" i="5" a="1"/>
  <c r="M318" i="5" s="1"/>
  <c r="J323" i="5" a="1"/>
  <c r="J323" i="5" s="1"/>
  <c r="L325" i="5" a="1"/>
  <c r="L325" i="5" s="1"/>
  <c r="N328" i="5"/>
  <c r="G328" i="5" a="1"/>
  <c r="G328" i="5" s="1"/>
  <c r="I330" i="5" a="1"/>
  <c r="I330" i="5" s="1"/>
  <c r="K332" i="5" a="1"/>
  <c r="K332" i="5" s="1"/>
  <c r="M334" i="5" a="1"/>
  <c r="M334" i="5" s="1"/>
  <c r="J339" i="5" a="1"/>
  <c r="J339" i="5" s="1"/>
  <c r="L341" i="5" a="1"/>
  <c r="L341" i="5" s="1"/>
  <c r="N344" i="5"/>
  <c r="G344" i="5" a="1"/>
  <c r="G344" i="5" s="1"/>
  <c r="I346" i="5" a="1"/>
  <c r="I346" i="5" s="1"/>
  <c r="K348" i="5" a="1"/>
  <c r="K348" i="5" s="1"/>
  <c r="M350" i="5" a="1"/>
  <c r="M350" i="5" s="1"/>
  <c r="J355" i="5" a="1"/>
  <c r="J355" i="5" s="1"/>
  <c r="L357" i="5" a="1"/>
  <c r="L357" i="5" s="1"/>
  <c r="N360" i="5"/>
  <c r="G360" i="5" a="1"/>
  <c r="G360" i="5" s="1"/>
  <c r="I362" i="5" a="1"/>
  <c r="I362" i="5" s="1"/>
  <c r="K364" i="5" a="1"/>
  <c r="K364" i="5" s="1"/>
  <c r="M366" i="5" a="1"/>
  <c r="M366" i="5" s="1"/>
  <c r="J371" i="5" a="1"/>
  <c r="J371" i="5" s="1"/>
  <c r="L373" i="5" a="1"/>
  <c r="L373" i="5" s="1"/>
  <c r="N376" i="5"/>
  <c r="G376" i="5" a="1"/>
  <c r="G376" i="5" s="1"/>
  <c r="I378" i="5" a="1"/>
  <c r="I378" i="5" s="1"/>
  <c r="K380" i="5" a="1"/>
  <c r="K380" i="5" s="1"/>
  <c r="M382" i="5" a="1"/>
  <c r="M382" i="5" s="1"/>
  <c r="J387" i="5" a="1"/>
  <c r="J387" i="5" s="1"/>
  <c r="L389" i="5" a="1"/>
  <c r="L389" i="5" s="1"/>
  <c r="G392" i="5" a="1"/>
  <c r="G392" i="5" s="1"/>
  <c r="N392" i="5"/>
  <c r="I394" i="5" a="1"/>
  <c r="I394" i="5" s="1"/>
  <c r="K396" i="5" a="1"/>
  <c r="K396" i="5" s="1"/>
  <c r="M398" i="5" a="1"/>
  <c r="M398" i="5" s="1"/>
  <c r="J403" i="5" a="1"/>
  <c r="J403" i="5" s="1"/>
  <c r="L405" i="5" a="1"/>
  <c r="L405" i="5" s="1"/>
  <c r="G408" i="5" a="1"/>
  <c r="G408" i="5" s="1"/>
  <c r="N408" i="5"/>
  <c r="K412" i="5" a="1"/>
  <c r="K412" i="5" s="1"/>
  <c r="M414" i="5" a="1"/>
  <c r="M414" i="5" s="1"/>
  <c r="J419" i="5" a="1"/>
  <c r="J419" i="5" s="1"/>
  <c r="L421" i="5" a="1"/>
  <c r="L421" i="5" s="1"/>
  <c r="N424" i="5"/>
  <c r="G424" i="5" a="1"/>
  <c r="G424" i="5" s="1"/>
  <c r="K428" i="5" a="1"/>
  <c r="K428" i="5" s="1"/>
  <c r="M430" i="5" a="1"/>
  <c r="M430" i="5" s="1"/>
  <c r="J435" i="5" a="1"/>
  <c r="J435" i="5" s="1"/>
  <c r="L437" i="5" a="1"/>
  <c r="L437" i="5" s="1"/>
  <c r="N440" i="5"/>
  <c r="G440" i="5" a="1"/>
  <c r="G440" i="5" s="1"/>
  <c r="K444" i="5" a="1"/>
  <c r="K444" i="5" s="1"/>
  <c r="M446" i="5" a="1"/>
  <c r="M446" i="5" s="1"/>
  <c r="J451" i="5" a="1"/>
  <c r="J451" i="5" s="1"/>
  <c r="L453" i="5" a="1"/>
  <c r="L453" i="5" s="1"/>
  <c r="G456" i="5" a="1"/>
  <c r="G456" i="5" s="1"/>
  <c r="N456" i="5"/>
  <c r="K460" i="5" a="1"/>
  <c r="K460" i="5" s="1"/>
  <c r="M462" i="5" a="1"/>
  <c r="M462" i="5" s="1"/>
  <c r="J467" i="5" a="1"/>
  <c r="J467" i="5" s="1"/>
  <c r="L469" i="5" a="1"/>
  <c r="L469" i="5" s="1"/>
  <c r="N472" i="5"/>
  <c r="G472" i="5" a="1"/>
  <c r="G472" i="5" s="1"/>
  <c r="K476" i="5" a="1"/>
  <c r="K476" i="5" s="1"/>
  <c r="M478" i="5" a="1"/>
  <c r="M478" i="5" s="1"/>
  <c r="J483" i="5" a="1"/>
  <c r="J483" i="5" s="1"/>
  <c r="L485" i="5" a="1"/>
  <c r="L485" i="5" s="1"/>
  <c r="N488" i="5"/>
  <c r="G488" i="5" a="1"/>
  <c r="G488" i="5" s="1"/>
  <c r="K492" i="5" a="1"/>
  <c r="K492" i="5" s="1"/>
  <c r="M494" i="5" a="1"/>
  <c r="M494" i="5" s="1"/>
  <c r="J499" i="5" a="1"/>
  <c r="J499" i="5" s="1"/>
  <c r="L501" i="5" a="1"/>
  <c r="L501" i="5" s="1"/>
  <c r="G504" i="5" a="1"/>
  <c r="G504" i="5" s="1"/>
  <c r="N504" i="5"/>
  <c r="K508" i="5" a="1"/>
  <c r="K508" i="5" s="1"/>
  <c r="M510" i="5" a="1"/>
  <c r="M510" i="5" s="1"/>
  <c r="J515" i="5" a="1"/>
  <c r="J515" i="5" s="1"/>
  <c r="L517" i="5" a="1"/>
  <c r="L517" i="5" s="1"/>
  <c r="N520" i="5"/>
  <c r="G520" i="5" a="1"/>
  <c r="G520" i="5" s="1"/>
  <c r="K524" i="5" a="1"/>
  <c r="K524" i="5" s="1"/>
  <c r="M526" i="5" a="1"/>
  <c r="M526" i="5" s="1"/>
  <c r="J531" i="5" a="1"/>
  <c r="J531" i="5" s="1"/>
  <c r="L533" i="5" a="1"/>
  <c r="L533" i="5" s="1"/>
  <c r="G536" i="5" a="1"/>
  <c r="G536" i="5" s="1"/>
  <c r="N536" i="5"/>
  <c r="K540" i="5" a="1"/>
  <c r="K540" i="5" s="1"/>
  <c r="M542" i="5" a="1"/>
  <c r="M542" i="5" s="1"/>
  <c r="J547" i="5" a="1"/>
  <c r="J547" i="5" s="1"/>
  <c r="L549" i="5" a="1"/>
  <c r="L549" i="5" s="1"/>
  <c r="N552" i="5"/>
  <c r="G552" i="5" a="1"/>
  <c r="G552" i="5" s="1"/>
  <c r="K556" i="5" a="1"/>
  <c r="K556" i="5" s="1"/>
  <c r="M558" i="5" a="1"/>
  <c r="M558" i="5" s="1"/>
  <c r="J563" i="5" a="1"/>
  <c r="J563" i="5" s="1"/>
  <c r="L565" i="5" a="1"/>
  <c r="L565" i="5" s="1"/>
  <c r="G568" i="5" a="1"/>
  <c r="G568" i="5" s="1"/>
  <c r="N568" i="5"/>
  <c r="K572" i="5" a="1"/>
  <c r="K572" i="5" s="1"/>
  <c r="M574" i="5" a="1"/>
  <c r="M574" i="5" s="1"/>
  <c r="N584" i="5"/>
  <c r="N600" i="5"/>
  <c r="N616" i="5"/>
  <c r="N632" i="5"/>
  <c r="N648" i="5"/>
  <c r="H476" i="5" a="1"/>
  <c r="H476" i="5" s="1"/>
  <c r="H236" i="5" a="1"/>
  <c r="H236" i="5" s="1"/>
  <c r="H12" i="5" a="1"/>
  <c r="H12" i="5" s="1"/>
  <c r="I405" i="5" a="1"/>
  <c r="I405" i="5" s="1"/>
  <c r="L6" i="5" a="1"/>
  <c r="L6" i="5" s="1"/>
  <c r="N41" i="5"/>
  <c r="G41" i="5" a="1"/>
  <c r="G41" i="5" s="1"/>
  <c r="L70" i="5" a="1"/>
  <c r="L70" i="5" s="1"/>
  <c r="I107" i="5" a="1"/>
  <c r="I107" i="5" s="1"/>
  <c r="I139" i="5" a="1"/>
  <c r="I139" i="5" s="1"/>
  <c r="N169" i="5"/>
  <c r="G169" i="5" a="1"/>
  <c r="G169" i="5" s="1"/>
  <c r="G201" i="5" a="1"/>
  <c r="G201" i="5" s="1"/>
  <c r="N201" i="5"/>
  <c r="K237" i="5" a="1"/>
  <c r="K237" i="5" s="1"/>
  <c r="M271" i="5" a="1"/>
  <c r="M271" i="5" s="1"/>
  <c r="K333" i="5" a="1"/>
  <c r="K333" i="5" s="1"/>
  <c r="N361" i="5"/>
  <c r="G361" i="5" a="1"/>
  <c r="G361" i="5" s="1"/>
  <c r="G393" i="5" a="1"/>
  <c r="G393" i="5" s="1"/>
  <c r="N393" i="5"/>
  <c r="N425" i="5"/>
  <c r="G425" i="5" a="1"/>
  <c r="G425" i="5" s="1"/>
  <c r="J452" i="5" a="1"/>
  <c r="J452" i="5" s="1"/>
  <c r="G473" i="5" a="1"/>
  <c r="G473" i="5" s="1"/>
  <c r="N473" i="5"/>
  <c r="L502" i="5" a="1"/>
  <c r="L502" i="5" s="1"/>
  <c r="L534" i="5" a="1"/>
  <c r="L534" i="5" s="1"/>
  <c r="H459" i="5" a="1"/>
  <c r="H459" i="5" s="1"/>
  <c r="H331" i="5" a="1"/>
  <c r="H331" i="5" s="1"/>
  <c r="H203" i="5" a="1"/>
  <c r="H203" i="5" s="1"/>
  <c r="H43" i="5" a="1"/>
  <c r="H43" i="5" s="1"/>
  <c r="I500" i="5" a="1"/>
  <c r="I500" i="5" s="1"/>
  <c r="I436" i="5" a="1"/>
  <c r="I436" i="5" s="1"/>
  <c r="L29" i="5" a="1"/>
  <c r="L29" i="5" s="1"/>
  <c r="H57" i="5" a="1"/>
  <c r="H57" i="5" s="1"/>
  <c r="M86" i="5" a="1"/>
  <c r="M86" i="5" s="1"/>
  <c r="M118" i="5" a="1"/>
  <c r="M118" i="5" s="1"/>
  <c r="L157" i="5" a="1"/>
  <c r="L157" i="5" s="1"/>
  <c r="G192" i="5" a="1"/>
  <c r="G192" i="5" s="1"/>
  <c r="N192" i="5"/>
  <c r="L221" i="5" a="1"/>
  <c r="L221" i="5" s="1"/>
  <c r="L253" i="5" a="1"/>
  <c r="L253" i="5" s="1"/>
  <c r="K292" i="5" a="1"/>
  <c r="K292" i="5" s="1"/>
  <c r="L333" i="5" a="1"/>
  <c r="L333" i="5" s="1"/>
  <c r="L365" i="5" a="1"/>
  <c r="L365" i="5" s="1"/>
  <c r="G400" i="5" a="1"/>
  <c r="G400" i="5" s="1"/>
  <c r="N400" i="5"/>
  <c r="M438" i="5" a="1"/>
  <c r="M438" i="5" s="1"/>
  <c r="H473" i="5" a="1"/>
  <c r="H473" i="5" s="1"/>
  <c r="M502" i="5" a="1"/>
  <c r="M502" i="5" s="1"/>
  <c r="I530" i="5" a="1"/>
  <c r="I530" i="5" s="1"/>
  <c r="I562" i="5" a="1"/>
  <c r="I562" i="5" s="1"/>
  <c r="N592" i="5"/>
  <c r="N624" i="5"/>
  <c r="H562" i="5" a="1"/>
  <c r="H562" i="5" s="1"/>
  <c r="H546" i="5" a="1"/>
  <c r="H546" i="5" s="1"/>
  <c r="H530" i="5" a="1"/>
  <c r="H530" i="5" s="1"/>
  <c r="H482" i="5" a="1"/>
  <c r="H482" i="5" s="1"/>
  <c r="H466" i="5" a="1"/>
  <c r="H466" i="5" s="1"/>
  <c r="H434" i="5" a="1"/>
  <c r="H434" i="5" s="1"/>
  <c r="H402" i="5" a="1"/>
  <c r="H402" i="5" s="1"/>
  <c r="H370" i="5" a="1"/>
  <c r="H370" i="5" s="1"/>
  <c r="H354" i="5" a="1"/>
  <c r="H354" i="5" s="1"/>
  <c r="H338" i="5" a="1"/>
  <c r="H338" i="5" s="1"/>
  <c r="H322" i="5" a="1"/>
  <c r="H322" i="5" s="1"/>
  <c r="H306" i="5" a="1"/>
  <c r="H306" i="5" s="1"/>
  <c r="H290" i="5" a="1"/>
  <c r="H290" i="5" s="1"/>
  <c r="H274" i="5" a="1"/>
  <c r="H274" i="5" s="1"/>
  <c r="H258" i="5" a="1"/>
  <c r="H258" i="5" s="1"/>
  <c r="H242" i="5" a="1"/>
  <c r="H242" i="5" s="1"/>
  <c r="H226" i="5" a="1"/>
  <c r="H226" i="5" s="1"/>
  <c r="H194" i="5" a="1"/>
  <c r="H194" i="5" s="1"/>
  <c r="H146" i="5" a="1"/>
  <c r="H146" i="5" s="1"/>
  <c r="H130" i="5" a="1"/>
  <c r="H130" i="5" s="1"/>
  <c r="H114" i="5" a="1"/>
  <c r="H114" i="5" s="1"/>
  <c r="H82" i="5" a="1"/>
  <c r="H82" i="5" s="1"/>
  <c r="H66" i="5" a="1"/>
  <c r="H66" i="5" s="1"/>
  <c r="H34" i="5" a="1"/>
  <c r="H34" i="5" s="1"/>
  <c r="H18" i="5" a="1"/>
  <c r="H18" i="5" s="1"/>
  <c r="I571" i="5" a="1"/>
  <c r="I571" i="5" s="1"/>
  <c r="I555" i="5" a="1"/>
  <c r="I555" i="5" s="1"/>
  <c r="I523" i="5" a="1"/>
  <c r="I523" i="5" s="1"/>
  <c r="I491" i="5" a="1"/>
  <c r="I491" i="5" s="1"/>
  <c r="I475" i="5" a="1"/>
  <c r="I475" i="5" s="1"/>
  <c r="I459" i="5" a="1"/>
  <c r="I459" i="5" s="1"/>
  <c r="I427" i="5" a="1"/>
  <c r="I427" i="5" s="1"/>
  <c r="I411" i="5" a="1"/>
  <c r="I411" i="5" s="1"/>
  <c r="K569" i="5" a="1"/>
  <c r="K569" i="5" s="1"/>
  <c r="M571" i="5" a="1"/>
  <c r="M571" i="5" s="1"/>
  <c r="K3" i="5" a="1"/>
  <c r="K3" i="5" s="1"/>
  <c r="M5" i="5" a="1"/>
  <c r="M5" i="5" s="1"/>
  <c r="H8" i="5" a="1"/>
  <c r="H8" i="5" s="1"/>
  <c r="J10" i="5" a="1"/>
  <c r="J10" i="5" s="1"/>
  <c r="L12" i="5" a="1"/>
  <c r="L12" i="5" s="1"/>
  <c r="N15" i="5"/>
  <c r="G15" i="5" a="1"/>
  <c r="G15" i="5" s="1"/>
  <c r="I17" i="5" a="1"/>
  <c r="I17" i="5" s="1"/>
  <c r="K19" i="5" a="1"/>
  <c r="K19" i="5" s="1"/>
  <c r="M21" i="5" a="1"/>
  <c r="M21" i="5" s="1"/>
  <c r="H24" i="5" a="1"/>
  <c r="H24" i="5" s="1"/>
  <c r="J26" i="5" a="1"/>
  <c r="J26" i="5" s="1"/>
  <c r="L28" i="5" a="1"/>
  <c r="L28" i="5" s="1"/>
  <c r="N31" i="5"/>
  <c r="G31" i="5" a="1"/>
  <c r="G31" i="5" s="1"/>
  <c r="I33" i="5" a="1"/>
  <c r="I33" i="5" s="1"/>
  <c r="K35" i="5" a="1"/>
  <c r="K35" i="5" s="1"/>
  <c r="M37" i="5" a="1"/>
  <c r="M37" i="5" s="1"/>
  <c r="H40" i="5" a="1"/>
  <c r="H40" i="5" s="1"/>
  <c r="J42" i="5" a="1"/>
  <c r="J42" i="5" s="1"/>
  <c r="L44" i="5" a="1"/>
  <c r="L44" i="5" s="1"/>
  <c r="G47" i="5" a="1"/>
  <c r="G47" i="5" s="1"/>
  <c r="N47" i="5"/>
  <c r="I49" i="5" a="1"/>
  <c r="I49" i="5" s="1"/>
  <c r="K51" i="5" a="1"/>
  <c r="K51" i="5" s="1"/>
  <c r="M53" i="5" a="1"/>
  <c r="M53" i="5" s="1"/>
  <c r="H56" i="5" a="1"/>
  <c r="H56" i="5" s="1"/>
  <c r="J58" i="5" a="1"/>
  <c r="J58" i="5" s="1"/>
  <c r="L60" i="5" a="1"/>
  <c r="L60" i="5" s="1"/>
  <c r="N63" i="5"/>
  <c r="G63" i="5" a="1"/>
  <c r="G63" i="5" s="1"/>
  <c r="I65" i="5" a="1"/>
  <c r="I65" i="5" s="1"/>
  <c r="K67" i="5" a="1"/>
  <c r="K67" i="5" s="1"/>
  <c r="M69" i="5" a="1"/>
  <c r="M69" i="5" s="1"/>
  <c r="H72" i="5" a="1"/>
  <c r="H72" i="5" s="1"/>
  <c r="J74" i="5" a="1"/>
  <c r="J74" i="5" s="1"/>
  <c r="L76" i="5" a="1"/>
  <c r="L76" i="5" s="1"/>
  <c r="N79" i="5"/>
  <c r="G79" i="5" a="1"/>
  <c r="G79" i="5" s="1"/>
  <c r="I81" i="5" a="1"/>
  <c r="I81" i="5" s="1"/>
  <c r="K83" i="5" a="1"/>
  <c r="K83" i="5" s="1"/>
  <c r="M85" i="5" a="1"/>
  <c r="M85" i="5" s="1"/>
  <c r="H88" i="5" a="1"/>
  <c r="H88" i="5" s="1"/>
  <c r="J90" i="5" a="1"/>
  <c r="J90" i="5" s="1"/>
  <c r="L92" i="5" a="1"/>
  <c r="L92" i="5" s="1"/>
  <c r="G95" i="5" a="1"/>
  <c r="G95" i="5" s="1"/>
  <c r="N95" i="5"/>
  <c r="I97" i="5" a="1"/>
  <c r="I97" i="5" s="1"/>
  <c r="K99" i="5" a="1"/>
  <c r="K99" i="5" s="1"/>
  <c r="M101" i="5" a="1"/>
  <c r="M101" i="5" s="1"/>
  <c r="H104" i="5" a="1"/>
  <c r="H104" i="5" s="1"/>
  <c r="J106" i="5" a="1"/>
  <c r="J106" i="5" s="1"/>
  <c r="L108" i="5" a="1"/>
  <c r="L108" i="5" s="1"/>
  <c r="G111" i="5" a="1"/>
  <c r="G111" i="5" s="1"/>
  <c r="N111" i="5"/>
  <c r="I113" i="5" a="1"/>
  <c r="I113" i="5" s="1"/>
  <c r="K115" i="5" a="1"/>
  <c r="K115" i="5" s="1"/>
  <c r="M117" i="5" a="1"/>
  <c r="M117" i="5" s="1"/>
  <c r="H120" i="5" a="1"/>
  <c r="H120" i="5" s="1"/>
  <c r="J122" i="5" a="1"/>
  <c r="J122" i="5" s="1"/>
  <c r="L124" i="5" a="1"/>
  <c r="L124" i="5" s="1"/>
  <c r="G127" i="5" a="1"/>
  <c r="G127" i="5" s="1"/>
  <c r="N127" i="5"/>
  <c r="I129" i="5" a="1"/>
  <c r="I129" i="5" s="1"/>
  <c r="K131" i="5" a="1"/>
  <c r="K131" i="5" s="1"/>
  <c r="M133" i="5" a="1"/>
  <c r="M133" i="5" s="1"/>
  <c r="H136" i="5" a="1"/>
  <c r="H136" i="5" s="1"/>
  <c r="J138" i="5" a="1"/>
  <c r="J138" i="5" s="1"/>
  <c r="L140" i="5" a="1"/>
  <c r="L140" i="5" s="1"/>
  <c r="G143" i="5" a="1"/>
  <c r="G143" i="5" s="1"/>
  <c r="N143" i="5"/>
  <c r="I145" i="5" a="1"/>
  <c r="I145" i="5" s="1"/>
  <c r="K147" i="5" a="1"/>
  <c r="K147" i="5" s="1"/>
  <c r="M149" i="5" a="1"/>
  <c r="M149" i="5" s="1"/>
  <c r="H152" i="5" a="1"/>
  <c r="H152" i="5" s="1"/>
  <c r="J154" i="5" a="1"/>
  <c r="J154" i="5" s="1"/>
  <c r="L156" i="5" a="1"/>
  <c r="L156" i="5" s="1"/>
  <c r="N159" i="5"/>
  <c r="G159" i="5" a="1"/>
  <c r="G159" i="5" s="1"/>
  <c r="I161" i="5" a="1"/>
  <c r="I161" i="5" s="1"/>
  <c r="K163" i="5" a="1"/>
  <c r="K163" i="5" s="1"/>
  <c r="M165" i="5" a="1"/>
  <c r="M165" i="5" s="1"/>
  <c r="H168" i="5" a="1"/>
  <c r="H168" i="5" s="1"/>
  <c r="J170" i="5" a="1"/>
  <c r="J170" i="5" s="1"/>
  <c r="L172" i="5" a="1"/>
  <c r="L172" i="5" s="1"/>
  <c r="G175" i="5" a="1"/>
  <c r="G175" i="5" s="1"/>
  <c r="N175" i="5"/>
  <c r="I177" i="5" a="1"/>
  <c r="I177" i="5" s="1"/>
  <c r="K179" i="5" a="1"/>
  <c r="K179" i="5" s="1"/>
  <c r="M181" i="5" a="1"/>
  <c r="M181" i="5" s="1"/>
  <c r="H184" i="5" a="1"/>
  <c r="H184" i="5" s="1"/>
  <c r="J186" i="5" a="1"/>
  <c r="J186" i="5" s="1"/>
  <c r="L188" i="5" a="1"/>
  <c r="L188" i="5" s="1"/>
  <c r="G191" i="5" a="1"/>
  <c r="G191" i="5" s="1"/>
  <c r="N191" i="5"/>
  <c r="I193" i="5" a="1"/>
  <c r="I193" i="5" s="1"/>
  <c r="K195" i="5" a="1"/>
  <c r="K195" i="5" s="1"/>
  <c r="M197" i="5" a="1"/>
  <c r="M197" i="5" s="1"/>
  <c r="H200" i="5" a="1"/>
  <c r="H200" i="5" s="1"/>
  <c r="J202" i="5" a="1"/>
  <c r="J202" i="5" s="1"/>
  <c r="L204" i="5" a="1"/>
  <c r="L204" i="5" s="1"/>
  <c r="N207" i="5"/>
  <c r="G207" i="5" a="1"/>
  <c r="G207" i="5" s="1"/>
  <c r="I209" i="5" a="1"/>
  <c r="I209" i="5" s="1"/>
  <c r="K211" i="5" a="1"/>
  <c r="K211" i="5" s="1"/>
  <c r="M213" i="5" a="1"/>
  <c r="M213" i="5" s="1"/>
  <c r="H216" i="5" a="1"/>
  <c r="H216" i="5" s="1"/>
  <c r="J218" i="5" a="1"/>
  <c r="J218" i="5" s="1"/>
  <c r="L220" i="5" a="1"/>
  <c r="L220" i="5" s="1"/>
  <c r="N223" i="5"/>
  <c r="G223" i="5" a="1"/>
  <c r="G223" i="5" s="1"/>
  <c r="I225" i="5" a="1"/>
  <c r="I225" i="5" s="1"/>
  <c r="K227" i="5" a="1"/>
  <c r="K227" i="5" s="1"/>
  <c r="M229" i="5" a="1"/>
  <c r="M229" i="5" s="1"/>
  <c r="H232" i="5" a="1"/>
  <c r="H232" i="5" s="1"/>
  <c r="J234" i="5" a="1"/>
  <c r="J234" i="5" s="1"/>
  <c r="L236" i="5" a="1"/>
  <c r="L236" i="5" s="1"/>
  <c r="N239" i="5"/>
  <c r="G239" i="5" a="1"/>
  <c r="G239" i="5" s="1"/>
  <c r="I241" i="5" a="1"/>
  <c r="I241" i="5" s="1"/>
  <c r="K243" i="5" a="1"/>
  <c r="K243" i="5" s="1"/>
  <c r="M245" i="5" a="1"/>
  <c r="M245" i="5" s="1"/>
  <c r="H248" i="5" a="1"/>
  <c r="H248" i="5" s="1"/>
  <c r="J250" i="5" a="1"/>
  <c r="J250" i="5" s="1"/>
  <c r="L252" i="5" a="1"/>
  <c r="L252" i="5" s="1"/>
  <c r="G255" i="5" a="1"/>
  <c r="G255" i="5" s="1"/>
  <c r="N255" i="5"/>
  <c r="I257" i="5" a="1"/>
  <c r="I257" i="5" s="1"/>
  <c r="K259" i="5" a="1"/>
  <c r="K259" i="5" s="1"/>
  <c r="M261" i="5" a="1"/>
  <c r="M261" i="5" s="1"/>
  <c r="H264" i="5" a="1"/>
  <c r="H264" i="5" s="1"/>
  <c r="J266" i="5" a="1"/>
  <c r="J266" i="5" s="1"/>
  <c r="L268" i="5" a="1"/>
  <c r="L268" i="5" s="1"/>
  <c r="N271" i="5"/>
  <c r="G271" i="5" a="1"/>
  <c r="G271" i="5" s="1"/>
  <c r="I273" i="5" a="1"/>
  <c r="I273" i="5" s="1"/>
  <c r="K275" i="5" a="1"/>
  <c r="K275" i="5" s="1"/>
  <c r="M277" i="5" a="1"/>
  <c r="M277" i="5" s="1"/>
  <c r="H280" i="5" a="1"/>
  <c r="H280" i="5" s="1"/>
  <c r="J282" i="5" a="1"/>
  <c r="J282" i="5" s="1"/>
  <c r="L284" i="5" a="1"/>
  <c r="L284" i="5" s="1"/>
  <c r="G287" i="5" a="1"/>
  <c r="G287" i="5" s="1"/>
  <c r="N287" i="5"/>
  <c r="I289" i="5" a="1"/>
  <c r="I289" i="5" s="1"/>
  <c r="K291" i="5" a="1"/>
  <c r="K291" i="5" s="1"/>
  <c r="M293" i="5" a="1"/>
  <c r="M293" i="5" s="1"/>
  <c r="H296" i="5" a="1"/>
  <c r="H296" i="5" s="1"/>
  <c r="J298" i="5" a="1"/>
  <c r="J298" i="5" s="1"/>
  <c r="L300" i="5" a="1"/>
  <c r="L300" i="5" s="1"/>
  <c r="N303" i="5"/>
  <c r="G303" i="5" a="1"/>
  <c r="G303" i="5" s="1"/>
  <c r="I305" i="5" a="1"/>
  <c r="I305" i="5" s="1"/>
  <c r="K307" i="5" a="1"/>
  <c r="K307" i="5" s="1"/>
  <c r="M309" i="5" a="1"/>
  <c r="M309" i="5" s="1"/>
  <c r="H312" i="5" a="1"/>
  <c r="H312" i="5" s="1"/>
  <c r="J314" i="5" a="1"/>
  <c r="J314" i="5" s="1"/>
  <c r="L316" i="5" a="1"/>
  <c r="L316" i="5" s="1"/>
  <c r="N319" i="5"/>
  <c r="G319" i="5" a="1"/>
  <c r="G319" i="5" s="1"/>
  <c r="I321" i="5" a="1"/>
  <c r="I321" i="5" s="1"/>
  <c r="K323" i="5" a="1"/>
  <c r="K323" i="5" s="1"/>
  <c r="M325" i="5" a="1"/>
  <c r="M325" i="5" s="1"/>
  <c r="H328" i="5" a="1"/>
  <c r="H328" i="5" s="1"/>
  <c r="J330" i="5" a="1"/>
  <c r="J330" i="5" s="1"/>
  <c r="L332" i="5" a="1"/>
  <c r="L332" i="5" s="1"/>
  <c r="G335" i="5" a="1"/>
  <c r="G335" i="5" s="1"/>
  <c r="N335" i="5"/>
  <c r="I337" i="5" a="1"/>
  <c r="I337" i="5" s="1"/>
  <c r="K339" i="5" a="1"/>
  <c r="K339" i="5" s="1"/>
  <c r="M341" i="5" a="1"/>
  <c r="M341" i="5" s="1"/>
  <c r="H344" i="5" a="1"/>
  <c r="H344" i="5" s="1"/>
  <c r="J346" i="5" a="1"/>
  <c r="J346" i="5" s="1"/>
  <c r="L348" i="5" a="1"/>
  <c r="L348" i="5" s="1"/>
  <c r="G351" i="5" a="1"/>
  <c r="G351" i="5" s="1"/>
  <c r="N351" i="5"/>
  <c r="I353" i="5" a="1"/>
  <c r="I353" i="5" s="1"/>
  <c r="K355" i="5" a="1"/>
  <c r="K355" i="5" s="1"/>
  <c r="M357" i="5" a="1"/>
  <c r="M357" i="5" s="1"/>
  <c r="H360" i="5" a="1"/>
  <c r="H360" i="5" s="1"/>
  <c r="J362" i="5" a="1"/>
  <c r="J362" i="5" s="1"/>
  <c r="L364" i="5" a="1"/>
  <c r="L364" i="5" s="1"/>
  <c r="N367" i="5"/>
  <c r="G367" i="5" a="1"/>
  <c r="G367" i="5" s="1"/>
  <c r="I369" i="5" a="1"/>
  <c r="I369" i="5" s="1"/>
  <c r="K371" i="5" a="1"/>
  <c r="K371" i="5" s="1"/>
  <c r="M373" i="5" a="1"/>
  <c r="M373" i="5" s="1"/>
  <c r="H376" i="5" a="1"/>
  <c r="H376" i="5" s="1"/>
  <c r="J378" i="5" a="1"/>
  <c r="J378" i="5" s="1"/>
  <c r="L380" i="5" a="1"/>
  <c r="L380" i="5" s="1"/>
  <c r="G383" i="5" a="1"/>
  <c r="G383" i="5" s="1"/>
  <c r="N383" i="5"/>
  <c r="I385" i="5" a="1"/>
  <c r="I385" i="5" s="1"/>
  <c r="K387" i="5" a="1"/>
  <c r="K387" i="5" s="1"/>
  <c r="M389" i="5" a="1"/>
  <c r="M389" i="5" s="1"/>
  <c r="H392" i="5" a="1"/>
  <c r="H392" i="5" s="1"/>
  <c r="J394" i="5" a="1"/>
  <c r="J394" i="5" s="1"/>
  <c r="L396" i="5" a="1"/>
  <c r="L396" i="5" s="1"/>
  <c r="N399" i="5"/>
  <c r="G399" i="5" a="1"/>
  <c r="G399" i="5" s="1"/>
  <c r="I401" i="5" a="1"/>
  <c r="I401" i="5" s="1"/>
  <c r="K403" i="5" a="1"/>
  <c r="K403" i="5" s="1"/>
  <c r="M405" i="5" a="1"/>
  <c r="M405" i="5" s="1"/>
  <c r="H408" i="5" a="1"/>
  <c r="H408" i="5" s="1"/>
  <c r="J410" i="5" a="1"/>
  <c r="J410" i="5" s="1"/>
  <c r="L412" i="5" a="1"/>
  <c r="L412" i="5" s="1"/>
  <c r="N415" i="5"/>
  <c r="G415" i="5" a="1"/>
  <c r="G415" i="5" s="1"/>
  <c r="I417" i="5" a="1"/>
  <c r="I417" i="5" s="1"/>
  <c r="K419" i="5" a="1"/>
  <c r="K419" i="5" s="1"/>
  <c r="M421" i="5" a="1"/>
  <c r="M421" i="5" s="1"/>
  <c r="H424" i="5" a="1"/>
  <c r="H424" i="5" s="1"/>
  <c r="J426" i="5" a="1"/>
  <c r="J426" i="5" s="1"/>
  <c r="L428" i="5" a="1"/>
  <c r="L428" i="5" s="1"/>
  <c r="N431" i="5"/>
  <c r="G431" i="5" a="1"/>
  <c r="G431" i="5" s="1"/>
  <c r="I433" i="5" a="1"/>
  <c r="I433" i="5" s="1"/>
  <c r="K435" i="5" a="1"/>
  <c r="K435" i="5" s="1"/>
  <c r="M437" i="5" a="1"/>
  <c r="M437" i="5" s="1"/>
  <c r="H440" i="5" a="1"/>
  <c r="H440" i="5" s="1"/>
  <c r="J442" i="5" a="1"/>
  <c r="J442" i="5" s="1"/>
  <c r="L444" i="5" a="1"/>
  <c r="L444" i="5" s="1"/>
  <c r="N447" i="5"/>
  <c r="G447" i="5" a="1"/>
  <c r="G447" i="5" s="1"/>
  <c r="I449" i="5" a="1"/>
  <c r="I449" i="5" s="1"/>
  <c r="K451" i="5" a="1"/>
  <c r="K451" i="5" s="1"/>
  <c r="M453" i="5" a="1"/>
  <c r="M453" i="5" s="1"/>
  <c r="H456" i="5" a="1"/>
  <c r="H456" i="5" s="1"/>
  <c r="J458" i="5" a="1"/>
  <c r="J458" i="5" s="1"/>
  <c r="L460" i="5" a="1"/>
  <c r="L460" i="5" s="1"/>
  <c r="G463" i="5" a="1"/>
  <c r="G463" i="5" s="1"/>
  <c r="N463" i="5"/>
  <c r="I465" i="5" a="1"/>
  <c r="I465" i="5" s="1"/>
  <c r="K467" i="5" a="1"/>
  <c r="K467" i="5" s="1"/>
  <c r="M469" i="5" a="1"/>
  <c r="M469" i="5" s="1"/>
  <c r="H472" i="5" a="1"/>
  <c r="H472" i="5" s="1"/>
  <c r="J474" i="5" a="1"/>
  <c r="J474" i="5" s="1"/>
  <c r="L476" i="5" a="1"/>
  <c r="L476" i="5" s="1"/>
  <c r="G479" i="5" a="1"/>
  <c r="G479" i="5" s="1"/>
  <c r="N479" i="5"/>
  <c r="I481" i="5" a="1"/>
  <c r="I481" i="5" s="1"/>
  <c r="K483" i="5" a="1"/>
  <c r="K483" i="5" s="1"/>
  <c r="M485" i="5" a="1"/>
  <c r="M485" i="5" s="1"/>
  <c r="H488" i="5" a="1"/>
  <c r="H488" i="5" s="1"/>
  <c r="J490" i="5" a="1"/>
  <c r="J490" i="5" s="1"/>
  <c r="L492" i="5" a="1"/>
  <c r="L492" i="5" s="1"/>
  <c r="N495" i="5"/>
  <c r="G495" i="5" a="1"/>
  <c r="G495" i="5" s="1"/>
  <c r="I497" i="5" a="1"/>
  <c r="I497" i="5" s="1"/>
  <c r="K499" i="5" a="1"/>
  <c r="K499" i="5" s="1"/>
  <c r="M501" i="5" a="1"/>
  <c r="M501" i="5" s="1"/>
  <c r="H504" i="5" a="1"/>
  <c r="H504" i="5" s="1"/>
  <c r="J506" i="5" a="1"/>
  <c r="J506" i="5" s="1"/>
  <c r="L508" i="5" a="1"/>
  <c r="L508" i="5" s="1"/>
  <c r="G511" i="5" a="1"/>
  <c r="G511" i="5" s="1"/>
  <c r="N511" i="5"/>
  <c r="I513" i="5" a="1"/>
  <c r="I513" i="5" s="1"/>
  <c r="K515" i="5" a="1"/>
  <c r="K515" i="5" s="1"/>
  <c r="M517" i="5" a="1"/>
  <c r="M517" i="5" s="1"/>
  <c r="H520" i="5" a="1"/>
  <c r="H520" i="5" s="1"/>
  <c r="J522" i="5" a="1"/>
  <c r="J522" i="5" s="1"/>
  <c r="L524" i="5" a="1"/>
  <c r="L524" i="5" s="1"/>
  <c r="N527" i="5"/>
  <c r="G527" i="5" a="1"/>
  <c r="G527" i="5" s="1"/>
  <c r="I529" i="5" a="1"/>
  <c r="I529" i="5" s="1"/>
  <c r="K531" i="5" a="1"/>
  <c r="K531" i="5" s="1"/>
  <c r="M533" i="5" a="1"/>
  <c r="M533" i="5" s="1"/>
  <c r="H536" i="5" a="1"/>
  <c r="H536" i="5" s="1"/>
  <c r="J538" i="5" a="1"/>
  <c r="J538" i="5" s="1"/>
  <c r="L540" i="5" a="1"/>
  <c r="L540" i="5" s="1"/>
  <c r="G543" i="5" a="1"/>
  <c r="G543" i="5" s="1"/>
  <c r="N543" i="5"/>
  <c r="I545" i="5" a="1"/>
  <c r="I545" i="5" s="1"/>
  <c r="K547" i="5" a="1"/>
  <c r="K547" i="5" s="1"/>
  <c r="M549" i="5" a="1"/>
  <c r="M549" i="5" s="1"/>
  <c r="H552" i="5" a="1"/>
  <c r="H552" i="5" s="1"/>
  <c r="J554" i="5" a="1"/>
  <c r="J554" i="5" s="1"/>
  <c r="L556" i="5" a="1"/>
  <c r="L556" i="5" s="1"/>
  <c r="G559" i="5" a="1"/>
  <c r="G559" i="5" s="1"/>
  <c r="N559" i="5"/>
  <c r="I561" i="5" a="1"/>
  <c r="I561" i="5" s="1"/>
  <c r="K563" i="5" a="1"/>
  <c r="K563" i="5" s="1"/>
  <c r="H568" i="5" a="1"/>
  <c r="H568" i="5" s="1"/>
  <c r="J570" i="5" a="1"/>
  <c r="J570" i="5" s="1"/>
  <c r="L572" i="5" a="1"/>
  <c r="L572" i="5" s="1"/>
  <c r="G575" i="5" a="1"/>
  <c r="G575" i="5" s="1"/>
  <c r="N575" i="5"/>
  <c r="N591" i="5"/>
  <c r="N607" i="5"/>
  <c r="N623" i="5"/>
  <c r="N639" i="5"/>
  <c r="N655" i="5"/>
  <c r="H492" i="5" a="1"/>
  <c r="H492" i="5" s="1"/>
  <c r="H316" i="5" a="1"/>
  <c r="H316" i="5" s="1"/>
  <c r="H172" i="5" a="1"/>
  <c r="H172" i="5" s="1"/>
  <c r="I565" i="5" a="1"/>
  <c r="I565" i="5" s="1"/>
  <c r="I501" i="5" a="1"/>
  <c r="I501" i="5" s="1"/>
  <c r="M565" i="5" a="1"/>
  <c r="M565" i="5" s="1"/>
  <c r="M15" i="5" a="1"/>
  <c r="M15" i="5" s="1"/>
  <c r="H50" i="5" a="1"/>
  <c r="H50" i="5" s="1"/>
  <c r="J84" i="5" a="1"/>
  <c r="J84" i="5" s="1"/>
  <c r="N121" i="5"/>
  <c r="G121" i="5" a="1"/>
  <c r="G121" i="5" s="1"/>
  <c r="L150" i="5" a="1"/>
  <c r="L150" i="5" s="1"/>
  <c r="H178" i="5" a="1"/>
  <c r="H178" i="5" s="1"/>
  <c r="I203" i="5" a="1"/>
  <c r="I203" i="5" s="1"/>
  <c r="N233" i="5"/>
  <c r="G233" i="5" a="1"/>
  <c r="G233" i="5" s="1"/>
  <c r="L262" i="5" a="1"/>
  <c r="L262" i="5" s="1"/>
  <c r="M287" i="5" a="1"/>
  <c r="M287" i="5" s="1"/>
  <c r="K317" i="5" a="1"/>
  <c r="K317" i="5" s="1"/>
  <c r="M351" i="5" a="1"/>
  <c r="M351" i="5" s="1"/>
  <c r="H386" i="5" a="1"/>
  <c r="H386" i="5" s="1"/>
  <c r="H418" i="5" a="1"/>
  <c r="H418" i="5" s="1"/>
  <c r="H450" i="5" a="1"/>
  <c r="H450" i="5" s="1"/>
  <c r="J484" i="5" a="1"/>
  <c r="J484" i="5" s="1"/>
  <c r="H514" i="5" a="1"/>
  <c r="H514" i="5" s="1"/>
  <c r="I539" i="5" a="1"/>
  <c r="I539" i="5" s="1"/>
  <c r="K573" i="5" a="1"/>
  <c r="K573" i="5" s="1"/>
  <c r="H571" i="5" a="1"/>
  <c r="H571" i="5" s="1"/>
  <c r="H379" i="5" a="1"/>
  <c r="H379" i="5" s="1"/>
  <c r="H155" i="5" a="1"/>
  <c r="H155" i="5" s="1"/>
  <c r="I484" i="5" a="1"/>
  <c r="I484" i="5" s="1"/>
  <c r="I18" i="5" a="1"/>
  <c r="I18" i="5" s="1"/>
  <c r="I50" i="5" a="1"/>
  <c r="I50" i="5" s="1"/>
  <c r="I82" i="5" a="1"/>
  <c r="I82" i="5" s="1"/>
  <c r="G112" i="5" a="1"/>
  <c r="G112" i="5" s="1"/>
  <c r="N112" i="5"/>
  <c r="N144" i="5"/>
  <c r="G144" i="5" a="1"/>
  <c r="G144" i="5" s="1"/>
  <c r="N176" i="5"/>
  <c r="G176" i="5" a="1"/>
  <c r="G176" i="5" s="1"/>
  <c r="K212" i="5" a="1"/>
  <c r="K212" i="5" s="1"/>
  <c r="M246" i="5" a="1"/>
  <c r="M246" i="5" s="1"/>
  <c r="I274" i="5" a="1"/>
  <c r="I274" i="5" s="1"/>
  <c r="G304" i="5" a="1"/>
  <c r="G304" i="5" s="1"/>
  <c r="N304" i="5"/>
  <c r="K324" i="5" a="1"/>
  <c r="K324" i="5" s="1"/>
  <c r="N352" i="5"/>
  <c r="G352" i="5" a="1"/>
  <c r="G352" i="5" s="1"/>
  <c r="L381" i="5" a="1"/>
  <c r="L381" i="5" s="1"/>
  <c r="G416" i="5" a="1"/>
  <c r="G416" i="5" s="1"/>
  <c r="N416" i="5"/>
  <c r="G448" i="5" a="1"/>
  <c r="G448" i="5" s="1"/>
  <c r="N448" i="5"/>
  <c r="I482" i="5" a="1"/>
  <c r="I482" i="5" s="1"/>
  <c r="K516" i="5" a="1"/>
  <c r="K516" i="5" s="1"/>
  <c r="K548" i="5" a="1"/>
  <c r="K548" i="5" s="1"/>
  <c r="N577" i="5"/>
  <c r="H561" i="5" a="1"/>
  <c r="H561" i="5" s="1"/>
  <c r="H545" i="5" a="1"/>
  <c r="H545" i="5" s="1"/>
  <c r="H529" i="5" a="1"/>
  <c r="H529" i="5" s="1"/>
  <c r="H513" i="5" a="1"/>
  <c r="H513" i="5" s="1"/>
  <c r="H497" i="5" a="1"/>
  <c r="H497" i="5" s="1"/>
  <c r="H481" i="5" a="1"/>
  <c r="H481" i="5" s="1"/>
  <c r="H465" i="5" a="1"/>
  <c r="H465" i="5" s="1"/>
  <c r="H449" i="5" a="1"/>
  <c r="H449" i="5" s="1"/>
  <c r="H433" i="5" a="1"/>
  <c r="H433" i="5" s="1"/>
  <c r="H417" i="5" a="1"/>
  <c r="H417" i="5" s="1"/>
  <c r="H401" i="5" a="1"/>
  <c r="H401" i="5" s="1"/>
  <c r="H385" i="5" a="1"/>
  <c r="H385" i="5" s="1"/>
  <c r="H369" i="5" a="1"/>
  <c r="H369" i="5" s="1"/>
  <c r="H353" i="5" a="1"/>
  <c r="H353" i="5" s="1"/>
  <c r="H337" i="5" a="1"/>
  <c r="H337" i="5" s="1"/>
  <c r="H321" i="5" a="1"/>
  <c r="H321" i="5" s="1"/>
  <c r="H305" i="5" a="1"/>
  <c r="H305" i="5" s="1"/>
  <c r="H289" i="5" a="1"/>
  <c r="H289" i="5" s="1"/>
  <c r="H273" i="5" a="1"/>
  <c r="H273" i="5" s="1"/>
  <c r="H257" i="5" a="1"/>
  <c r="H257" i="5" s="1"/>
  <c r="H241" i="5" a="1"/>
  <c r="H241" i="5" s="1"/>
  <c r="H225" i="5" a="1"/>
  <c r="H225" i="5" s="1"/>
  <c r="H209" i="5" a="1"/>
  <c r="H209" i="5" s="1"/>
  <c r="H193" i="5" a="1"/>
  <c r="H193" i="5" s="1"/>
  <c r="H177" i="5" a="1"/>
  <c r="H177" i="5" s="1"/>
  <c r="H161" i="5" a="1"/>
  <c r="H161" i="5" s="1"/>
  <c r="H145" i="5" a="1"/>
  <c r="H145" i="5" s="1"/>
  <c r="H129" i="5" a="1"/>
  <c r="H129" i="5" s="1"/>
  <c r="H113" i="5" a="1"/>
  <c r="H113" i="5" s="1"/>
  <c r="H97" i="5" a="1"/>
  <c r="H97" i="5" s="1"/>
  <c r="H81" i="5" a="1"/>
  <c r="H81" i="5" s="1"/>
  <c r="H65" i="5" a="1"/>
  <c r="H65" i="5" s="1"/>
  <c r="H49" i="5" a="1"/>
  <c r="H49" i="5" s="1"/>
  <c r="H33" i="5" a="1"/>
  <c r="H33" i="5" s="1"/>
  <c r="H17" i="5" a="1"/>
  <c r="H17" i="5" s="1"/>
  <c r="I570" i="5" a="1"/>
  <c r="I570" i="5" s="1"/>
  <c r="I554" i="5" a="1"/>
  <c r="I554" i="5" s="1"/>
  <c r="I538" i="5" a="1"/>
  <c r="I538" i="5" s="1"/>
  <c r="I522" i="5" a="1"/>
  <c r="I522" i="5" s="1"/>
  <c r="I506" i="5" a="1"/>
  <c r="I506" i="5" s="1"/>
  <c r="I490" i="5" a="1"/>
  <c r="I490" i="5" s="1"/>
  <c r="I474" i="5" a="1"/>
  <c r="I474" i="5" s="1"/>
  <c r="I458" i="5" a="1"/>
  <c r="I458" i="5" s="1"/>
  <c r="I442" i="5" a="1"/>
  <c r="I442" i="5" s="1"/>
  <c r="I426" i="5" a="1"/>
  <c r="I426" i="5" s="1"/>
  <c r="I410" i="5" a="1"/>
  <c r="I410" i="5" s="1"/>
  <c r="J569" i="5" a="1"/>
  <c r="J569" i="5" s="1"/>
  <c r="J553" i="5" a="1"/>
  <c r="J553" i="5" s="1"/>
  <c r="J537" i="5" a="1"/>
  <c r="J537" i="5" s="1"/>
  <c r="J521" i="5" a="1"/>
  <c r="J521" i="5" s="1"/>
  <c r="L569" i="5" a="1"/>
  <c r="L569" i="5" s="1"/>
  <c r="N652" i="5"/>
  <c r="N636" i="5"/>
  <c r="N620" i="5"/>
  <c r="N604" i="5"/>
  <c r="N588" i="5"/>
  <c r="L3" i="5" a="1"/>
  <c r="L3" i="5" s="1"/>
  <c r="G6" i="5" a="1"/>
  <c r="G6" i="5" s="1"/>
  <c r="N6" i="5"/>
  <c r="I8" i="5" a="1"/>
  <c r="I8" i="5" s="1"/>
  <c r="K10" i="5" a="1"/>
  <c r="K10" i="5" s="1"/>
  <c r="M12" i="5" a="1"/>
  <c r="M12" i="5" s="1"/>
  <c r="J17" i="5" a="1"/>
  <c r="J17" i="5" s="1"/>
  <c r="L19" i="5" a="1"/>
  <c r="L19" i="5" s="1"/>
  <c r="N22" i="5"/>
  <c r="G22" i="5" a="1"/>
  <c r="G22" i="5" s="1"/>
  <c r="I24" i="5" a="1"/>
  <c r="I24" i="5" s="1"/>
  <c r="K26" i="5" a="1"/>
  <c r="K26" i="5" s="1"/>
  <c r="M28" i="5" a="1"/>
  <c r="M28" i="5" s="1"/>
  <c r="J33" i="5" a="1"/>
  <c r="J33" i="5" s="1"/>
  <c r="L35" i="5" a="1"/>
  <c r="L35" i="5" s="1"/>
  <c r="N38" i="5"/>
  <c r="G38" i="5" a="1"/>
  <c r="G38" i="5" s="1"/>
  <c r="I40" i="5" a="1"/>
  <c r="I40" i="5" s="1"/>
  <c r="K42" i="5" a="1"/>
  <c r="K42" i="5" s="1"/>
  <c r="M44" i="5" a="1"/>
  <c r="M44" i="5" s="1"/>
  <c r="J49" i="5" a="1"/>
  <c r="J49" i="5" s="1"/>
  <c r="L51" i="5" a="1"/>
  <c r="L51" i="5" s="1"/>
  <c r="G54" i="5" a="1"/>
  <c r="G54" i="5" s="1"/>
  <c r="N54" i="5"/>
  <c r="I56" i="5" a="1"/>
  <c r="I56" i="5" s="1"/>
  <c r="K58" i="5" a="1"/>
  <c r="K58" i="5" s="1"/>
  <c r="M60" i="5" a="1"/>
  <c r="M60" i="5" s="1"/>
  <c r="J65" i="5" a="1"/>
  <c r="J65" i="5" s="1"/>
  <c r="L67" i="5" a="1"/>
  <c r="L67" i="5" s="1"/>
  <c r="G70" i="5" a="1"/>
  <c r="G70" i="5" s="1"/>
  <c r="N70" i="5"/>
  <c r="I72" i="5" a="1"/>
  <c r="I72" i="5" s="1"/>
  <c r="K74" i="5" a="1"/>
  <c r="K74" i="5" s="1"/>
  <c r="M76" i="5" a="1"/>
  <c r="M76" i="5" s="1"/>
  <c r="J81" i="5" a="1"/>
  <c r="J81" i="5" s="1"/>
  <c r="L83" i="5" a="1"/>
  <c r="L83" i="5" s="1"/>
  <c r="G86" i="5" a="1"/>
  <c r="G86" i="5" s="1"/>
  <c r="N86" i="5"/>
  <c r="I88" i="5" a="1"/>
  <c r="I88" i="5" s="1"/>
  <c r="K90" i="5" a="1"/>
  <c r="K90" i="5" s="1"/>
  <c r="M92" i="5" a="1"/>
  <c r="M92" i="5" s="1"/>
  <c r="J97" i="5" a="1"/>
  <c r="J97" i="5" s="1"/>
  <c r="L99" i="5" a="1"/>
  <c r="L99" i="5" s="1"/>
  <c r="G102" i="5" a="1"/>
  <c r="G102" i="5" s="1"/>
  <c r="N102" i="5"/>
  <c r="I104" i="5" a="1"/>
  <c r="I104" i="5" s="1"/>
  <c r="K106" i="5" a="1"/>
  <c r="K106" i="5" s="1"/>
  <c r="M108" i="5" a="1"/>
  <c r="M108" i="5" s="1"/>
  <c r="J113" i="5" a="1"/>
  <c r="J113" i="5" s="1"/>
  <c r="L115" i="5" a="1"/>
  <c r="L115" i="5" s="1"/>
  <c r="G118" i="5" a="1"/>
  <c r="G118" i="5" s="1"/>
  <c r="N118" i="5"/>
  <c r="I120" i="5" a="1"/>
  <c r="I120" i="5" s="1"/>
  <c r="K122" i="5" a="1"/>
  <c r="K122" i="5" s="1"/>
  <c r="M124" i="5" a="1"/>
  <c r="M124" i="5" s="1"/>
  <c r="J129" i="5" a="1"/>
  <c r="J129" i="5" s="1"/>
  <c r="L131" i="5" a="1"/>
  <c r="L131" i="5" s="1"/>
  <c r="N134" i="5"/>
  <c r="G134" i="5" a="1"/>
  <c r="G134" i="5" s="1"/>
  <c r="I136" i="5" a="1"/>
  <c r="I136" i="5" s="1"/>
  <c r="K138" i="5" a="1"/>
  <c r="K138" i="5" s="1"/>
  <c r="M140" i="5" a="1"/>
  <c r="M140" i="5" s="1"/>
  <c r="J145" i="5" a="1"/>
  <c r="J145" i="5" s="1"/>
  <c r="L147" i="5" a="1"/>
  <c r="L147" i="5" s="1"/>
  <c r="N150" i="5"/>
  <c r="G150" i="5" a="1"/>
  <c r="G150" i="5" s="1"/>
  <c r="I152" i="5" a="1"/>
  <c r="I152" i="5" s="1"/>
  <c r="K154" i="5" a="1"/>
  <c r="K154" i="5" s="1"/>
  <c r="M156" i="5" a="1"/>
  <c r="M156" i="5" s="1"/>
  <c r="J161" i="5" a="1"/>
  <c r="J161" i="5" s="1"/>
  <c r="L163" i="5" a="1"/>
  <c r="L163" i="5" s="1"/>
  <c r="N166" i="5"/>
  <c r="G166" i="5" a="1"/>
  <c r="G166" i="5" s="1"/>
  <c r="I168" i="5" a="1"/>
  <c r="I168" i="5" s="1"/>
  <c r="K170" i="5" a="1"/>
  <c r="K170" i="5" s="1"/>
  <c r="M172" i="5" a="1"/>
  <c r="M172" i="5" s="1"/>
  <c r="J177" i="5" a="1"/>
  <c r="J177" i="5" s="1"/>
  <c r="L179" i="5" a="1"/>
  <c r="L179" i="5" s="1"/>
  <c r="N182" i="5"/>
  <c r="G182" i="5" a="1"/>
  <c r="G182" i="5" s="1"/>
  <c r="I184" i="5" a="1"/>
  <c r="I184" i="5" s="1"/>
  <c r="K186" i="5" a="1"/>
  <c r="K186" i="5" s="1"/>
  <c r="M188" i="5" a="1"/>
  <c r="M188" i="5" s="1"/>
  <c r="J193" i="5" a="1"/>
  <c r="J193" i="5" s="1"/>
  <c r="L195" i="5" a="1"/>
  <c r="L195" i="5" s="1"/>
  <c r="N198" i="5"/>
  <c r="G198" i="5" a="1"/>
  <c r="G198" i="5" s="1"/>
  <c r="I200" i="5" a="1"/>
  <c r="I200" i="5" s="1"/>
  <c r="K202" i="5" a="1"/>
  <c r="K202" i="5" s="1"/>
  <c r="M204" i="5" a="1"/>
  <c r="M204" i="5" s="1"/>
  <c r="J209" i="5" a="1"/>
  <c r="J209" i="5" s="1"/>
  <c r="L211" i="5" a="1"/>
  <c r="L211" i="5" s="1"/>
  <c r="N214" i="5"/>
  <c r="G214" i="5" a="1"/>
  <c r="G214" i="5" s="1"/>
  <c r="I216" i="5" a="1"/>
  <c r="I216" i="5" s="1"/>
  <c r="K218" i="5" a="1"/>
  <c r="K218" i="5" s="1"/>
  <c r="M220" i="5" a="1"/>
  <c r="M220" i="5" s="1"/>
  <c r="J225" i="5" a="1"/>
  <c r="J225" i="5" s="1"/>
  <c r="L227" i="5" a="1"/>
  <c r="L227" i="5" s="1"/>
  <c r="N230" i="5"/>
  <c r="G230" i="5" a="1"/>
  <c r="G230" i="5" s="1"/>
  <c r="I232" i="5" a="1"/>
  <c r="I232" i="5" s="1"/>
  <c r="K234" i="5" a="1"/>
  <c r="K234" i="5" s="1"/>
  <c r="M236" i="5" a="1"/>
  <c r="M236" i="5" s="1"/>
  <c r="J241" i="5" a="1"/>
  <c r="J241" i="5" s="1"/>
  <c r="L243" i="5" a="1"/>
  <c r="L243" i="5" s="1"/>
  <c r="G246" i="5" a="1"/>
  <c r="G246" i="5" s="1"/>
  <c r="N246" i="5"/>
  <c r="I248" i="5" a="1"/>
  <c r="I248" i="5" s="1"/>
  <c r="K250" i="5" a="1"/>
  <c r="K250" i="5" s="1"/>
  <c r="M252" i="5" a="1"/>
  <c r="M252" i="5" s="1"/>
  <c r="J257" i="5" a="1"/>
  <c r="J257" i="5" s="1"/>
  <c r="L259" i="5" a="1"/>
  <c r="L259" i="5" s="1"/>
  <c r="G262" i="5" a="1"/>
  <c r="G262" i="5" s="1"/>
  <c r="N262" i="5"/>
  <c r="I264" i="5" a="1"/>
  <c r="I264" i="5" s="1"/>
  <c r="K266" i="5" a="1"/>
  <c r="K266" i="5" s="1"/>
  <c r="M268" i="5" a="1"/>
  <c r="M268" i="5" s="1"/>
  <c r="J273" i="5" a="1"/>
  <c r="J273" i="5" s="1"/>
  <c r="L275" i="5" a="1"/>
  <c r="L275" i="5" s="1"/>
  <c r="N278" i="5"/>
  <c r="G278" i="5" a="1"/>
  <c r="G278" i="5" s="1"/>
  <c r="I280" i="5" a="1"/>
  <c r="I280" i="5" s="1"/>
  <c r="K282" i="5" a="1"/>
  <c r="K282" i="5" s="1"/>
  <c r="M284" i="5" a="1"/>
  <c r="M284" i="5" s="1"/>
  <c r="J289" i="5" a="1"/>
  <c r="J289" i="5" s="1"/>
  <c r="L291" i="5" a="1"/>
  <c r="L291" i="5" s="1"/>
  <c r="N294" i="5"/>
  <c r="G294" i="5" a="1"/>
  <c r="G294" i="5" s="1"/>
  <c r="I296" i="5" a="1"/>
  <c r="I296" i="5" s="1"/>
  <c r="K298" i="5" a="1"/>
  <c r="K298" i="5" s="1"/>
  <c r="M300" i="5" a="1"/>
  <c r="M300" i="5" s="1"/>
  <c r="J305" i="5" a="1"/>
  <c r="J305" i="5" s="1"/>
  <c r="L307" i="5" a="1"/>
  <c r="L307" i="5" s="1"/>
  <c r="N310" i="5"/>
  <c r="G310" i="5" a="1"/>
  <c r="G310" i="5" s="1"/>
  <c r="I312" i="5" a="1"/>
  <c r="I312" i="5" s="1"/>
  <c r="K314" i="5" a="1"/>
  <c r="K314" i="5" s="1"/>
  <c r="M316" i="5" a="1"/>
  <c r="M316" i="5" s="1"/>
  <c r="J321" i="5" a="1"/>
  <c r="J321" i="5" s="1"/>
  <c r="L323" i="5" a="1"/>
  <c r="L323" i="5" s="1"/>
  <c r="G326" i="5" a="1"/>
  <c r="G326" i="5" s="1"/>
  <c r="N326" i="5"/>
  <c r="I328" i="5" a="1"/>
  <c r="I328" i="5" s="1"/>
  <c r="K330" i="5" a="1"/>
  <c r="K330" i="5" s="1"/>
  <c r="M332" i="5" a="1"/>
  <c r="M332" i="5" s="1"/>
  <c r="J337" i="5" a="1"/>
  <c r="J337" i="5" s="1"/>
  <c r="L339" i="5" a="1"/>
  <c r="L339" i="5" s="1"/>
  <c r="G342" i="5" a="1"/>
  <c r="G342" i="5" s="1"/>
  <c r="N342" i="5"/>
  <c r="I344" i="5" a="1"/>
  <c r="I344" i="5" s="1"/>
  <c r="K346" i="5" a="1"/>
  <c r="K346" i="5" s="1"/>
  <c r="M348" i="5" a="1"/>
  <c r="M348" i="5" s="1"/>
  <c r="J353" i="5" a="1"/>
  <c r="J353" i="5" s="1"/>
  <c r="L355" i="5" a="1"/>
  <c r="L355" i="5" s="1"/>
  <c r="G358" i="5" a="1"/>
  <c r="G358" i="5" s="1"/>
  <c r="N358" i="5"/>
  <c r="I360" i="5" a="1"/>
  <c r="I360" i="5" s="1"/>
  <c r="K362" i="5" a="1"/>
  <c r="K362" i="5" s="1"/>
  <c r="M364" i="5" a="1"/>
  <c r="M364" i="5" s="1"/>
  <c r="J369" i="5" a="1"/>
  <c r="J369" i="5" s="1"/>
  <c r="L371" i="5" a="1"/>
  <c r="L371" i="5" s="1"/>
  <c r="G374" i="5" a="1"/>
  <c r="G374" i="5" s="1"/>
  <c r="N374" i="5"/>
  <c r="I376" i="5" a="1"/>
  <c r="I376" i="5" s="1"/>
  <c r="K378" i="5" a="1"/>
  <c r="K378" i="5" s="1"/>
  <c r="M380" i="5" a="1"/>
  <c r="M380" i="5" s="1"/>
  <c r="J385" i="5" a="1"/>
  <c r="J385" i="5" s="1"/>
  <c r="L387" i="5" a="1"/>
  <c r="L387" i="5" s="1"/>
  <c r="G390" i="5" a="1"/>
  <c r="G390" i="5" s="1"/>
  <c r="N390" i="5"/>
  <c r="I392" i="5" a="1"/>
  <c r="I392" i="5" s="1"/>
  <c r="K394" i="5" a="1"/>
  <c r="K394" i="5" s="1"/>
  <c r="M396" i="5" a="1"/>
  <c r="M396" i="5" s="1"/>
  <c r="J401" i="5" a="1"/>
  <c r="J401" i="5" s="1"/>
  <c r="L403" i="5" a="1"/>
  <c r="L403" i="5" s="1"/>
  <c r="N406" i="5"/>
  <c r="G406" i="5" a="1"/>
  <c r="G406" i="5" s="1"/>
  <c r="K410" i="5" a="1"/>
  <c r="K410" i="5" s="1"/>
  <c r="M412" i="5" a="1"/>
  <c r="M412" i="5" s="1"/>
  <c r="J417" i="5" a="1"/>
  <c r="J417" i="5" s="1"/>
  <c r="L419" i="5" a="1"/>
  <c r="L419" i="5" s="1"/>
  <c r="G422" i="5" a="1"/>
  <c r="G422" i="5" s="1"/>
  <c r="N422" i="5"/>
  <c r="K426" i="5" a="1"/>
  <c r="K426" i="5" s="1"/>
  <c r="M428" i="5" a="1"/>
  <c r="M428" i="5" s="1"/>
  <c r="J433" i="5" a="1"/>
  <c r="J433" i="5" s="1"/>
  <c r="L435" i="5" a="1"/>
  <c r="L435" i="5" s="1"/>
  <c r="N438" i="5"/>
  <c r="G438" i="5" a="1"/>
  <c r="G438" i="5" s="1"/>
  <c r="K442" i="5" a="1"/>
  <c r="K442" i="5" s="1"/>
  <c r="M444" i="5" a="1"/>
  <c r="M444" i="5" s="1"/>
  <c r="J449" i="5" a="1"/>
  <c r="J449" i="5" s="1"/>
  <c r="L451" i="5" a="1"/>
  <c r="L451" i="5" s="1"/>
  <c r="G454" i="5" a="1"/>
  <c r="G454" i="5" s="1"/>
  <c r="N454" i="5"/>
  <c r="K458" i="5" a="1"/>
  <c r="K458" i="5" s="1"/>
  <c r="M460" i="5" a="1"/>
  <c r="M460" i="5" s="1"/>
  <c r="J465" i="5" a="1"/>
  <c r="J465" i="5" s="1"/>
  <c r="L467" i="5" a="1"/>
  <c r="L467" i="5" s="1"/>
  <c r="N470" i="5"/>
  <c r="G470" i="5" a="1"/>
  <c r="G470" i="5" s="1"/>
  <c r="K474" i="5" a="1"/>
  <c r="K474" i="5" s="1"/>
  <c r="M476" i="5" a="1"/>
  <c r="M476" i="5" s="1"/>
  <c r="J481" i="5" a="1"/>
  <c r="J481" i="5" s="1"/>
  <c r="L483" i="5" a="1"/>
  <c r="L483" i="5" s="1"/>
  <c r="N486" i="5"/>
  <c r="G486" i="5" a="1"/>
  <c r="G486" i="5" s="1"/>
  <c r="K490" i="5" a="1"/>
  <c r="K490" i="5" s="1"/>
  <c r="M492" i="5" a="1"/>
  <c r="M492" i="5" s="1"/>
  <c r="J497" i="5" a="1"/>
  <c r="J497" i="5" s="1"/>
  <c r="L499" i="5" a="1"/>
  <c r="L499" i="5" s="1"/>
  <c r="G502" i="5" a="1"/>
  <c r="G502" i="5" s="1"/>
  <c r="N502" i="5"/>
  <c r="K506" i="5" a="1"/>
  <c r="K506" i="5" s="1"/>
  <c r="M508" i="5" a="1"/>
  <c r="M508" i="5" s="1"/>
  <c r="J513" i="5" a="1"/>
  <c r="J513" i="5" s="1"/>
  <c r="L515" i="5" a="1"/>
  <c r="L515" i="5" s="1"/>
  <c r="N518" i="5"/>
  <c r="G518" i="5" a="1"/>
  <c r="G518" i="5" s="1"/>
  <c r="K522" i="5" a="1"/>
  <c r="K522" i="5" s="1"/>
  <c r="M524" i="5" a="1"/>
  <c r="M524" i="5" s="1"/>
  <c r="J529" i="5" a="1"/>
  <c r="J529" i="5" s="1"/>
  <c r="L531" i="5" a="1"/>
  <c r="L531" i="5" s="1"/>
  <c r="G534" i="5" a="1"/>
  <c r="G534" i="5" s="1"/>
  <c r="N534" i="5"/>
  <c r="K538" i="5" a="1"/>
  <c r="K538" i="5" s="1"/>
  <c r="M540" i="5" a="1"/>
  <c r="M540" i="5" s="1"/>
  <c r="J545" i="5" a="1"/>
  <c r="J545" i="5" s="1"/>
  <c r="L547" i="5" a="1"/>
  <c r="L547" i="5" s="1"/>
  <c r="G550" i="5" a="1"/>
  <c r="G550" i="5" s="1"/>
  <c r="N550" i="5"/>
  <c r="K554" i="5" a="1"/>
  <c r="K554" i="5" s="1"/>
  <c r="M556" i="5" a="1"/>
  <c r="M556" i="5" s="1"/>
  <c r="J561" i="5" a="1"/>
  <c r="J561" i="5" s="1"/>
  <c r="L563" i="5" a="1"/>
  <c r="L563" i="5" s="1"/>
  <c r="N566" i="5"/>
  <c r="G566" i="5" a="1"/>
  <c r="G566" i="5" s="1"/>
  <c r="K570" i="5" a="1"/>
  <c r="K570" i="5" s="1"/>
  <c r="M572" i="5" a="1"/>
  <c r="M572" i="5" s="1"/>
  <c r="N582" i="5"/>
  <c r="N630" i="5"/>
  <c r="H508" i="5" a="1"/>
  <c r="H508" i="5" s="1"/>
  <c r="H268" i="5" a="1"/>
  <c r="H268" i="5" s="1"/>
  <c r="H28" i="5" a="1"/>
  <c r="H28" i="5" s="1"/>
  <c r="I421" i="5" a="1"/>
  <c r="I421" i="5" s="1"/>
  <c r="J4" i="5" a="1"/>
  <c r="J4" i="5" s="1"/>
  <c r="J36" i="5" a="1"/>
  <c r="J36" i="5" s="1"/>
  <c r="N73" i="5"/>
  <c r="G73" i="5" a="1"/>
  <c r="G73" i="5" s="1"/>
  <c r="G105" i="5" a="1"/>
  <c r="G105" i="5" s="1"/>
  <c r="N105" i="5"/>
  <c r="L134" i="5" a="1"/>
  <c r="L134" i="5" s="1"/>
  <c r="L166" i="5" a="1"/>
  <c r="L166" i="5" s="1"/>
  <c r="H210" i="5" a="1"/>
  <c r="H210" i="5" s="1"/>
  <c r="M239" i="5" a="1"/>
  <c r="M239" i="5" s="1"/>
  <c r="I267" i="5" a="1"/>
  <c r="I267" i="5" s="1"/>
  <c r="M303" i="5" a="1"/>
  <c r="M303" i="5" s="1"/>
  <c r="M335" i="5" a="1"/>
  <c r="M335" i="5" s="1"/>
  <c r="I363" i="5" a="1"/>
  <c r="I363" i="5" s="1"/>
  <c r="I395" i="5" a="1"/>
  <c r="I395" i="5" s="1"/>
  <c r="K429" i="5" a="1"/>
  <c r="K429" i="5" s="1"/>
  <c r="M463" i="5" a="1"/>
  <c r="M463" i="5" s="1"/>
  <c r="H498" i="5" a="1"/>
  <c r="H498" i="5" s="1"/>
  <c r="J532" i="5" a="1"/>
  <c r="J532" i="5" s="1"/>
  <c r="H475" i="5" a="1"/>
  <c r="H475" i="5" s="1"/>
  <c r="H347" i="5" a="1"/>
  <c r="H347" i="5" s="1"/>
  <c r="H235" i="5" a="1"/>
  <c r="H235" i="5" s="1"/>
  <c r="H91" i="5" a="1"/>
  <c r="H91" i="5" s="1"/>
  <c r="I532" i="5" a="1"/>
  <c r="I532" i="5" s="1"/>
  <c r="I468" i="5" a="1"/>
  <c r="I468" i="5" s="1"/>
  <c r="N614" i="5"/>
  <c r="H25" i="5" a="1"/>
  <c r="H25" i="5" s="1"/>
  <c r="K52" i="5" a="1"/>
  <c r="K52" i="5" s="1"/>
  <c r="K84" i="5" a="1"/>
  <c r="K84" i="5" s="1"/>
  <c r="H121" i="5" a="1"/>
  <c r="H121" i="5" s="1"/>
  <c r="N160" i="5"/>
  <c r="G160" i="5" a="1"/>
  <c r="G160" i="5" s="1"/>
  <c r="H185" i="5" a="1"/>
  <c r="H185" i="5" s="1"/>
  <c r="J219" i="5" a="1"/>
  <c r="J219" i="5" s="1"/>
  <c r="N256" i="5"/>
  <c r="G256" i="5" a="1"/>
  <c r="G256" i="5" s="1"/>
  <c r="H297" i="5" a="1"/>
  <c r="H297" i="5" s="1"/>
  <c r="K340" i="5" a="1"/>
  <c r="K340" i="5" s="1"/>
  <c r="M374" i="5" a="1"/>
  <c r="M374" i="5" s="1"/>
  <c r="H409" i="5" a="1"/>
  <c r="H409" i="5" s="1"/>
  <c r="I434" i="5" a="1"/>
  <c r="I434" i="5" s="1"/>
  <c r="L461" i="5" a="1"/>
  <c r="L461" i="5" s="1"/>
  <c r="J491" i="5" a="1"/>
  <c r="J491" i="5" s="1"/>
  <c r="J523" i="5" a="1"/>
  <c r="J523" i="5" s="1"/>
  <c r="I546" i="5" a="1"/>
  <c r="I546" i="5" s="1"/>
  <c r="H576" i="5" a="1"/>
  <c r="H576" i="5" s="1"/>
  <c r="H560" i="5" a="1"/>
  <c r="H560" i="5" s="1"/>
  <c r="H544" i="5" a="1"/>
  <c r="H544" i="5" s="1"/>
  <c r="H528" i="5" a="1"/>
  <c r="H528" i="5" s="1"/>
  <c r="H512" i="5" a="1"/>
  <c r="H512" i="5" s="1"/>
  <c r="H496" i="5" a="1"/>
  <c r="H496" i="5" s="1"/>
  <c r="H480" i="5" a="1"/>
  <c r="H480" i="5" s="1"/>
  <c r="H464" i="5" a="1"/>
  <c r="H464" i="5" s="1"/>
  <c r="H448" i="5" a="1"/>
  <c r="H448" i="5" s="1"/>
  <c r="H432" i="5" a="1"/>
  <c r="H432" i="5" s="1"/>
  <c r="H416" i="5" a="1"/>
  <c r="H416" i="5" s="1"/>
  <c r="H400" i="5" a="1"/>
  <c r="H400" i="5" s="1"/>
  <c r="H384" i="5" a="1"/>
  <c r="H384" i="5" s="1"/>
  <c r="H368" i="5" a="1"/>
  <c r="H368" i="5" s="1"/>
  <c r="H352" i="5" a="1"/>
  <c r="H352" i="5" s="1"/>
  <c r="H336" i="5" a="1"/>
  <c r="H336" i="5" s="1"/>
  <c r="H320" i="5" a="1"/>
  <c r="H320" i="5" s="1"/>
  <c r="H304" i="5" a="1"/>
  <c r="H304" i="5" s="1"/>
  <c r="H288" i="5" a="1"/>
  <c r="H288" i="5" s="1"/>
  <c r="H272" i="5" a="1"/>
  <c r="H272" i="5" s="1"/>
  <c r="H256" i="5" a="1"/>
  <c r="H256" i="5" s="1"/>
  <c r="H240" i="5" a="1"/>
  <c r="H240" i="5" s="1"/>
  <c r="H224" i="5" a="1"/>
  <c r="H224" i="5" s="1"/>
  <c r="H208" i="5" a="1"/>
  <c r="H208" i="5" s="1"/>
  <c r="H192" i="5" a="1"/>
  <c r="H192" i="5" s="1"/>
  <c r="H176" i="5" a="1"/>
  <c r="H176" i="5" s="1"/>
  <c r="H160" i="5" a="1"/>
  <c r="H160" i="5" s="1"/>
  <c r="H144" i="5" a="1"/>
  <c r="H144" i="5" s="1"/>
  <c r="H128" i="5" a="1"/>
  <c r="H128" i="5" s="1"/>
  <c r="H112" i="5" a="1"/>
  <c r="H112" i="5" s="1"/>
  <c r="H96" i="5" a="1"/>
  <c r="H96" i="5" s="1"/>
  <c r="H80" i="5" a="1"/>
  <c r="H80" i="5" s="1"/>
  <c r="H64" i="5" a="1"/>
  <c r="H64" i="5" s="1"/>
  <c r="H48" i="5" a="1"/>
  <c r="H48" i="5" s="1"/>
  <c r="H32" i="5" a="1"/>
  <c r="H32" i="5" s="1"/>
  <c r="H16" i="5" a="1"/>
  <c r="H16" i="5" s="1"/>
  <c r="I569" i="5" a="1"/>
  <c r="I569" i="5" s="1"/>
  <c r="I553" i="5" a="1"/>
  <c r="I553" i="5" s="1"/>
  <c r="I537" i="5" a="1"/>
  <c r="I537" i="5" s="1"/>
  <c r="I521" i="5" a="1"/>
  <c r="I521" i="5" s="1"/>
  <c r="I505" i="5" a="1"/>
  <c r="I505" i="5" s="1"/>
  <c r="I489" i="5" a="1"/>
  <c r="I489" i="5" s="1"/>
  <c r="I473" i="5" a="1"/>
  <c r="I473" i="5" s="1"/>
  <c r="I457" i="5" a="1"/>
  <c r="I457" i="5" s="1"/>
  <c r="I441" i="5" a="1"/>
  <c r="I441" i="5" s="1"/>
  <c r="I425" i="5" a="1"/>
  <c r="I425" i="5" s="1"/>
  <c r="I409" i="5" a="1"/>
  <c r="I409" i="5" s="1"/>
  <c r="K567" i="5" a="1"/>
  <c r="K567" i="5" s="1"/>
  <c r="M569" i="5" a="1"/>
  <c r="M569" i="5" s="1"/>
  <c r="M3" i="5" a="1"/>
  <c r="M3" i="5" s="1"/>
  <c r="H6" i="5" a="1"/>
  <c r="H6" i="5" s="1"/>
  <c r="J8" i="5" a="1"/>
  <c r="J8" i="5" s="1"/>
  <c r="L10" i="5" a="1"/>
  <c r="L10" i="5" s="1"/>
  <c r="G13" i="5" a="1"/>
  <c r="G13" i="5" s="1"/>
  <c r="N13" i="5"/>
  <c r="I15" i="5" a="1"/>
  <c r="I15" i="5" s="1"/>
  <c r="K17" i="5" a="1"/>
  <c r="K17" i="5" s="1"/>
  <c r="M19" i="5" a="1"/>
  <c r="M19" i="5" s="1"/>
  <c r="H22" i="5" a="1"/>
  <c r="H22" i="5" s="1"/>
  <c r="J24" i="5" a="1"/>
  <c r="J24" i="5" s="1"/>
  <c r="L26" i="5" a="1"/>
  <c r="L26" i="5" s="1"/>
  <c r="N29" i="5"/>
  <c r="G29" i="5" a="1"/>
  <c r="G29" i="5" s="1"/>
  <c r="I31" i="5" a="1"/>
  <c r="I31" i="5" s="1"/>
  <c r="K33" i="5" a="1"/>
  <c r="K33" i="5" s="1"/>
  <c r="M35" i="5" a="1"/>
  <c r="M35" i="5" s="1"/>
  <c r="H38" i="5" a="1"/>
  <c r="H38" i="5" s="1"/>
  <c r="J40" i="5" a="1"/>
  <c r="J40" i="5" s="1"/>
  <c r="L42" i="5" a="1"/>
  <c r="L42" i="5" s="1"/>
  <c r="G45" i="5" a="1"/>
  <c r="G45" i="5" s="1"/>
  <c r="N45" i="5"/>
  <c r="I47" i="5" a="1"/>
  <c r="I47" i="5" s="1"/>
  <c r="K49" i="5" a="1"/>
  <c r="K49" i="5" s="1"/>
  <c r="M51" i="5" a="1"/>
  <c r="M51" i="5" s="1"/>
  <c r="H54" i="5" a="1"/>
  <c r="H54" i="5" s="1"/>
  <c r="J56" i="5" a="1"/>
  <c r="J56" i="5" s="1"/>
  <c r="L58" i="5" a="1"/>
  <c r="L58" i="5" s="1"/>
  <c r="G61" i="5" a="1"/>
  <c r="G61" i="5" s="1"/>
  <c r="N61" i="5"/>
  <c r="I63" i="5" a="1"/>
  <c r="I63" i="5" s="1"/>
  <c r="K65" i="5" a="1"/>
  <c r="K65" i="5" s="1"/>
  <c r="M67" i="5" a="1"/>
  <c r="M67" i="5" s="1"/>
  <c r="H70" i="5" a="1"/>
  <c r="H70" i="5" s="1"/>
  <c r="J72" i="5" a="1"/>
  <c r="J72" i="5" s="1"/>
  <c r="L74" i="5" a="1"/>
  <c r="L74" i="5" s="1"/>
  <c r="N77" i="5"/>
  <c r="G77" i="5" a="1"/>
  <c r="G77" i="5" s="1"/>
  <c r="I79" i="5" a="1"/>
  <c r="I79" i="5" s="1"/>
  <c r="K81" i="5" a="1"/>
  <c r="K81" i="5" s="1"/>
  <c r="M83" i="5" a="1"/>
  <c r="M83" i="5" s="1"/>
  <c r="H86" i="5" a="1"/>
  <c r="H86" i="5" s="1"/>
  <c r="J88" i="5" a="1"/>
  <c r="J88" i="5" s="1"/>
  <c r="L90" i="5" a="1"/>
  <c r="L90" i="5" s="1"/>
  <c r="N93" i="5"/>
  <c r="G93" i="5" a="1"/>
  <c r="G93" i="5" s="1"/>
  <c r="I95" i="5" a="1"/>
  <c r="I95" i="5" s="1"/>
  <c r="K97" i="5" a="1"/>
  <c r="K97" i="5" s="1"/>
  <c r="M99" i="5" a="1"/>
  <c r="M99" i="5" s="1"/>
  <c r="H102" i="5" a="1"/>
  <c r="H102" i="5" s="1"/>
  <c r="J104" i="5" a="1"/>
  <c r="J104" i="5" s="1"/>
  <c r="L106" i="5" a="1"/>
  <c r="L106" i="5" s="1"/>
  <c r="N109" i="5"/>
  <c r="G109" i="5" a="1"/>
  <c r="G109" i="5" s="1"/>
  <c r="I111" i="5" a="1"/>
  <c r="I111" i="5" s="1"/>
  <c r="K113" i="5" a="1"/>
  <c r="K113" i="5" s="1"/>
  <c r="M115" i="5" a="1"/>
  <c r="M115" i="5" s="1"/>
  <c r="H118" i="5" a="1"/>
  <c r="H118" i="5" s="1"/>
  <c r="J120" i="5" a="1"/>
  <c r="J120" i="5" s="1"/>
  <c r="L122" i="5" a="1"/>
  <c r="L122" i="5" s="1"/>
  <c r="N125" i="5"/>
  <c r="G125" i="5" a="1"/>
  <c r="G125" i="5" s="1"/>
  <c r="I127" i="5" a="1"/>
  <c r="I127" i="5" s="1"/>
  <c r="K129" i="5" a="1"/>
  <c r="K129" i="5" s="1"/>
  <c r="M131" i="5" a="1"/>
  <c r="M131" i="5" s="1"/>
  <c r="H134" i="5" a="1"/>
  <c r="H134" i="5" s="1"/>
  <c r="J136" i="5" a="1"/>
  <c r="J136" i="5" s="1"/>
  <c r="L138" i="5" a="1"/>
  <c r="L138" i="5" s="1"/>
  <c r="N141" i="5"/>
  <c r="G141" i="5" a="1"/>
  <c r="G141" i="5" s="1"/>
  <c r="I143" i="5" a="1"/>
  <c r="I143" i="5" s="1"/>
  <c r="K145" i="5" a="1"/>
  <c r="K145" i="5" s="1"/>
  <c r="M147" i="5" a="1"/>
  <c r="M147" i="5" s="1"/>
  <c r="H150" i="5" a="1"/>
  <c r="H150" i="5" s="1"/>
  <c r="J152" i="5" a="1"/>
  <c r="J152" i="5" s="1"/>
  <c r="L154" i="5" a="1"/>
  <c r="L154" i="5" s="1"/>
  <c r="G157" i="5" a="1"/>
  <c r="G157" i="5" s="1"/>
  <c r="N157" i="5"/>
  <c r="I159" i="5" a="1"/>
  <c r="I159" i="5" s="1"/>
  <c r="K161" i="5" a="1"/>
  <c r="K161" i="5" s="1"/>
  <c r="M163" i="5" a="1"/>
  <c r="M163" i="5" s="1"/>
  <c r="H166" i="5" a="1"/>
  <c r="H166" i="5" s="1"/>
  <c r="J168" i="5" a="1"/>
  <c r="J168" i="5" s="1"/>
  <c r="L170" i="5" a="1"/>
  <c r="L170" i="5" s="1"/>
  <c r="G173" i="5" a="1"/>
  <c r="G173" i="5" s="1"/>
  <c r="N173" i="5"/>
  <c r="I175" i="5" a="1"/>
  <c r="I175" i="5" s="1"/>
  <c r="K177" i="5" a="1"/>
  <c r="K177" i="5" s="1"/>
  <c r="M179" i="5" a="1"/>
  <c r="M179" i="5" s="1"/>
  <c r="H182" i="5" a="1"/>
  <c r="H182" i="5" s="1"/>
  <c r="J184" i="5" a="1"/>
  <c r="J184" i="5" s="1"/>
  <c r="L186" i="5" a="1"/>
  <c r="L186" i="5" s="1"/>
  <c r="N189" i="5"/>
  <c r="G189" i="5" a="1"/>
  <c r="G189" i="5" s="1"/>
  <c r="I191" i="5" a="1"/>
  <c r="I191" i="5" s="1"/>
  <c r="K193" i="5" a="1"/>
  <c r="K193" i="5" s="1"/>
  <c r="M195" i="5" a="1"/>
  <c r="M195" i="5" s="1"/>
  <c r="H198" i="5" a="1"/>
  <c r="H198" i="5" s="1"/>
  <c r="J200" i="5" a="1"/>
  <c r="J200" i="5" s="1"/>
  <c r="L202" i="5" a="1"/>
  <c r="L202" i="5" s="1"/>
  <c r="G205" i="5" a="1"/>
  <c r="G205" i="5" s="1"/>
  <c r="N205" i="5"/>
  <c r="I207" i="5" a="1"/>
  <c r="I207" i="5" s="1"/>
  <c r="K209" i="5" a="1"/>
  <c r="K209" i="5" s="1"/>
  <c r="M211" i="5" a="1"/>
  <c r="M211" i="5" s="1"/>
  <c r="H214" i="5" a="1"/>
  <c r="H214" i="5" s="1"/>
  <c r="J216" i="5" a="1"/>
  <c r="J216" i="5" s="1"/>
  <c r="L218" i="5" a="1"/>
  <c r="L218" i="5" s="1"/>
  <c r="G221" i="5" a="1"/>
  <c r="G221" i="5" s="1"/>
  <c r="N221" i="5"/>
  <c r="I223" i="5" a="1"/>
  <c r="I223" i="5" s="1"/>
  <c r="K225" i="5" a="1"/>
  <c r="K225" i="5" s="1"/>
  <c r="M227" i="5" a="1"/>
  <c r="M227" i="5" s="1"/>
  <c r="H230" i="5" a="1"/>
  <c r="H230" i="5" s="1"/>
  <c r="J232" i="5" a="1"/>
  <c r="J232" i="5" s="1"/>
  <c r="L234" i="5" a="1"/>
  <c r="L234" i="5" s="1"/>
  <c r="N237" i="5"/>
  <c r="G237" i="5" a="1"/>
  <c r="G237" i="5" s="1"/>
  <c r="I239" i="5" a="1"/>
  <c r="I239" i="5" s="1"/>
  <c r="K241" i="5" a="1"/>
  <c r="K241" i="5" s="1"/>
  <c r="M243" i="5" a="1"/>
  <c r="M243" i="5" s="1"/>
  <c r="H246" i="5" a="1"/>
  <c r="H246" i="5" s="1"/>
  <c r="J248" i="5" a="1"/>
  <c r="J248" i="5" s="1"/>
  <c r="L250" i="5" a="1"/>
  <c r="L250" i="5" s="1"/>
  <c r="G253" i="5" a="1"/>
  <c r="G253" i="5" s="1"/>
  <c r="N253" i="5"/>
  <c r="I255" i="5" a="1"/>
  <c r="I255" i="5" s="1"/>
  <c r="K257" i="5" a="1"/>
  <c r="K257" i="5" s="1"/>
  <c r="M259" i="5" a="1"/>
  <c r="M259" i="5" s="1"/>
  <c r="H262" i="5" a="1"/>
  <c r="H262" i="5" s="1"/>
  <c r="J264" i="5" a="1"/>
  <c r="J264" i="5" s="1"/>
  <c r="L266" i="5" a="1"/>
  <c r="L266" i="5" s="1"/>
  <c r="N269" i="5"/>
  <c r="G269" i="5" a="1"/>
  <c r="G269" i="5" s="1"/>
  <c r="I271" i="5" a="1"/>
  <c r="I271" i="5" s="1"/>
  <c r="K273" i="5" a="1"/>
  <c r="K273" i="5" s="1"/>
  <c r="M275" i="5" a="1"/>
  <c r="M275" i="5" s="1"/>
  <c r="H278" i="5" a="1"/>
  <c r="H278" i="5" s="1"/>
  <c r="J280" i="5" a="1"/>
  <c r="J280" i="5" s="1"/>
  <c r="L282" i="5" a="1"/>
  <c r="L282" i="5" s="1"/>
  <c r="N285" i="5"/>
  <c r="G285" i="5" a="1"/>
  <c r="G285" i="5" s="1"/>
  <c r="I287" i="5" a="1"/>
  <c r="I287" i="5" s="1"/>
  <c r="K289" i="5" a="1"/>
  <c r="K289" i="5" s="1"/>
  <c r="M291" i="5" a="1"/>
  <c r="M291" i="5" s="1"/>
  <c r="H294" i="5" a="1"/>
  <c r="H294" i="5" s="1"/>
  <c r="J296" i="5" a="1"/>
  <c r="J296" i="5" s="1"/>
  <c r="L298" i="5" a="1"/>
  <c r="L298" i="5" s="1"/>
  <c r="N301" i="5"/>
  <c r="G301" i="5" a="1"/>
  <c r="G301" i="5" s="1"/>
  <c r="I303" i="5" a="1"/>
  <c r="I303" i="5" s="1"/>
  <c r="K305" i="5" a="1"/>
  <c r="K305" i="5" s="1"/>
  <c r="M307" i="5" a="1"/>
  <c r="M307" i="5" s="1"/>
  <c r="H310" i="5" a="1"/>
  <c r="H310" i="5" s="1"/>
  <c r="J312" i="5" a="1"/>
  <c r="J312" i="5" s="1"/>
  <c r="L314" i="5" a="1"/>
  <c r="L314" i="5" s="1"/>
  <c r="N317" i="5"/>
  <c r="G317" i="5" a="1"/>
  <c r="G317" i="5" s="1"/>
  <c r="I319" i="5" a="1"/>
  <c r="I319" i="5" s="1"/>
  <c r="K321" i="5" a="1"/>
  <c r="K321" i="5" s="1"/>
  <c r="M323" i="5" a="1"/>
  <c r="M323" i="5" s="1"/>
  <c r="H326" i="5" a="1"/>
  <c r="H326" i="5" s="1"/>
  <c r="J328" i="5" a="1"/>
  <c r="J328" i="5" s="1"/>
  <c r="L330" i="5" a="1"/>
  <c r="L330" i="5" s="1"/>
  <c r="G333" i="5" a="1"/>
  <c r="G333" i="5" s="1"/>
  <c r="N333" i="5"/>
  <c r="I335" i="5" a="1"/>
  <c r="I335" i="5" s="1"/>
  <c r="K337" i="5" a="1"/>
  <c r="K337" i="5" s="1"/>
  <c r="M339" i="5" a="1"/>
  <c r="M339" i="5" s="1"/>
  <c r="H342" i="5" a="1"/>
  <c r="H342" i="5" s="1"/>
  <c r="J344" i="5" a="1"/>
  <c r="J344" i="5" s="1"/>
  <c r="L346" i="5" a="1"/>
  <c r="L346" i="5" s="1"/>
  <c r="G349" i="5" a="1"/>
  <c r="G349" i="5" s="1"/>
  <c r="N349" i="5"/>
  <c r="I351" i="5" a="1"/>
  <c r="I351" i="5" s="1"/>
  <c r="K353" i="5" a="1"/>
  <c r="K353" i="5" s="1"/>
  <c r="M355" i="5" a="1"/>
  <c r="M355" i="5" s="1"/>
  <c r="H358" i="5" a="1"/>
  <c r="H358" i="5" s="1"/>
  <c r="J360" i="5" a="1"/>
  <c r="J360" i="5" s="1"/>
  <c r="L362" i="5" a="1"/>
  <c r="L362" i="5" s="1"/>
  <c r="G365" i="5" a="1"/>
  <c r="G365" i="5" s="1"/>
  <c r="N365" i="5"/>
  <c r="I367" i="5" a="1"/>
  <c r="I367" i="5" s="1"/>
  <c r="K369" i="5" a="1"/>
  <c r="K369" i="5" s="1"/>
  <c r="M371" i="5" a="1"/>
  <c r="M371" i="5" s="1"/>
  <c r="H374" i="5" a="1"/>
  <c r="H374" i="5" s="1"/>
  <c r="J376" i="5" a="1"/>
  <c r="J376" i="5" s="1"/>
  <c r="L378" i="5" a="1"/>
  <c r="L378" i="5" s="1"/>
  <c r="G381" i="5" a="1"/>
  <c r="G381" i="5" s="1"/>
  <c r="N381" i="5"/>
  <c r="I383" i="5" a="1"/>
  <c r="I383" i="5" s="1"/>
  <c r="K385" i="5" a="1"/>
  <c r="K385" i="5" s="1"/>
  <c r="M387" i="5" a="1"/>
  <c r="M387" i="5" s="1"/>
  <c r="H390" i="5" a="1"/>
  <c r="H390" i="5" s="1"/>
  <c r="J392" i="5" a="1"/>
  <c r="J392" i="5" s="1"/>
  <c r="L394" i="5" a="1"/>
  <c r="L394" i="5" s="1"/>
  <c r="N397" i="5"/>
  <c r="G397" i="5" a="1"/>
  <c r="G397" i="5" s="1"/>
  <c r="I399" i="5" a="1"/>
  <c r="I399" i="5" s="1"/>
  <c r="K401" i="5" a="1"/>
  <c r="K401" i="5" s="1"/>
  <c r="M403" i="5" a="1"/>
  <c r="M403" i="5" s="1"/>
  <c r="H406" i="5" a="1"/>
  <c r="H406" i="5" s="1"/>
  <c r="J408" i="5" a="1"/>
  <c r="J408" i="5" s="1"/>
  <c r="L410" i="5" a="1"/>
  <c r="L410" i="5" s="1"/>
  <c r="N413" i="5"/>
  <c r="G413" i="5" a="1"/>
  <c r="G413" i="5" s="1"/>
  <c r="I415" i="5" a="1"/>
  <c r="I415" i="5" s="1"/>
  <c r="K417" i="5" a="1"/>
  <c r="K417" i="5" s="1"/>
  <c r="M419" i="5" a="1"/>
  <c r="M419" i="5" s="1"/>
  <c r="H422" i="5" a="1"/>
  <c r="H422" i="5" s="1"/>
  <c r="J424" i="5" a="1"/>
  <c r="J424" i="5" s="1"/>
  <c r="L426" i="5" a="1"/>
  <c r="L426" i="5" s="1"/>
  <c r="N429" i="5"/>
  <c r="G429" i="5" a="1"/>
  <c r="G429" i="5" s="1"/>
  <c r="I431" i="5" a="1"/>
  <c r="I431" i="5" s="1"/>
  <c r="K433" i="5" a="1"/>
  <c r="K433" i="5" s="1"/>
  <c r="M435" i="5" a="1"/>
  <c r="M435" i="5" s="1"/>
  <c r="H438" i="5" a="1"/>
  <c r="H438" i="5" s="1"/>
  <c r="J440" i="5" a="1"/>
  <c r="J440" i="5" s="1"/>
  <c r="L442" i="5" a="1"/>
  <c r="L442" i="5" s="1"/>
  <c r="G445" i="5" a="1"/>
  <c r="G445" i="5" s="1"/>
  <c r="N445" i="5"/>
  <c r="I447" i="5" a="1"/>
  <c r="I447" i="5" s="1"/>
  <c r="K449" i="5" a="1"/>
  <c r="K449" i="5" s="1"/>
  <c r="M451" i="5" a="1"/>
  <c r="M451" i="5" s="1"/>
  <c r="H454" i="5" a="1"/>
  <c r="H454" i="5" s="1"/>
  <c r="J456" i="5" a="1"/>
  <c r="J456" i="5" s="1"/>
  <c r="L458" i="5" a="1"/>
  <c r="L458" i="5" s="1"/>
  <c r="G461" i="5" a="1"/>
  <c r="G461" i="5" s="1"/>
  <c r="N461" i="5"/>
  <c r="I463" i="5" a="1"/>
  <c r="I463" i="5" s="1"/>
  <c r="K465" i="5" a="1"/>
  <c r="K465" i="5" s="1"/>
  <c r="M467" i="5" a="1"/>
  <c r="M467" i="5" s="1"/>
  <c r="H470" i="5" a="1"/>
  <c r="H470" i="5" s="1"/>
  <c r="J472" i="5" a="1"/>
  <c r="J472" i="5" s="1"/>
  <c r="L474" i="5" a="1"/>
  <c r="L474" i="5" s="1"/>
  <c r="G477" i="5" a="1"/>
  <c r="G477" i="5" s="1"/>
  <c r="N477" i="5"/>
  <c r="I479" i="5" a="1"/>
  <c r="I479" i="5" s="1"/>
  <c r="K481" i="5" a="1"/>
  <c r="K481" i="5" s="1"/>
  <c r="M483" i="5" a="1"/>
  <c r="M483" i="5" s="1"/>
  <c r="H486" i="5" a="1"/>
  <c r="H486" i="5" s="1"/>
  <c r="J488" i="5" a="1"/>
  <c r="J488" i="5" s="1"/>
  <c r="L490" i="5" a="1"/>
  <c r="L490" i="5" s="1"/>
  <c r="G493" i="5" a="1"/>
  <c r="G493" i="5" s="1"/>
  <c r="N493" i="5"/>
  <c r="I495" i="5" a="1"/>
  <c r="I495" i="5" s="1"/>
  <c r="K497" i="5" a="1"/>
  <c r="K497" i="5" s="1"/>
  <c r="M499" i="5" a="1"/>
  <c r="M499" i="5" s="1"/>
  <c r="H502" i="5" a="1"/>
  <c r="H502" i="5" s="1"/>
  <c r="J504" i="5" a="1"/>
  <c r="J504" i="5" s="1"/>
  <c r="L506" i="5" a="1"/>
  <c r="L506" i="5" s="1"/>
  <c r="G509" i="5" a="1"/>
  <c r="G509" i="5" s="1"/>
  <c r="N509" i="5"/>
  <c r="I511" i="5" a="1"/>
  <c r="I511" i="5" s="1"/>
  <c r="K513" i="5" a="1"/>
  <c r="K513" i="5" s="1"/>
  <c r="M515" i="5" a="1"/>
  <c r="M515" i="5" s="1"/>
  <c r="H518" i="5" a="1"/>
  <c r="H518" i="5" s="1"/>
  <c r="J520" i="5" a="1"/>
  <c r="J520" i="5" s="1"/>
  <c r="L522" i="5" a="1"/>
  <c r="L522" i="5" s="1"/>
  <c r="N525" i="5"/>
  <c r="G525" i="5" a="1"/>
  <c r="G525" i="5" s="1"/>
  <c r="I527" i="5" a="1"/>
  <c r="I527" i="5" s="1"/>
  <c r="K529" i="5" a="1"/>
  <c r="K529" i="5" s="1"/>
  <c r="M531" i="5" a="1"/>
  <c r="M531" i="5" s="1"/>
  <c r="H534" i="5" a="1"/>
  <c r="H534" i="5" s="1"/>
  <c r="J536" i="5" a="1"/>
  <c r="J536" i="5" s="1"/>
  <c r="L538" i="5" a="1"/>
  <c r="L538" i="5" s="1"/>
  <c r="N541" i="5"/>
  <c r="G541" i="5" a="1"/>
  <c r="G541" i="5" s="1"/>
  <c r="I543" i="5" a="1"/>
  <c r="I543" i="5" s="1"/>
  <c r="K545" i="5" a="1"/>
  <c r="K545" i="5" s="1"/>
  <c r="M547" i="5" a="1"/>
  <c r="M547" i="5" s="1"/>
  <c r="H550" i="5" a="1"/>
  <c r="H550" i="5" s="1"/>
  <c r="J552" i="5" a="1"/>
  <c r="J552" i="5" s="1"/>
  <c r="L554" i="5" a="1"/>
  <c r="L554" i="5" s="1"/>
  <c r="N557" i="5"/>
  <c r="G557" i="5" a="1"/>
  <c r="G557" i="5" s="1"/>
  <c r="I559" i="5" a="1"/>
  <c r="I559" i="5" s="1"/>
  <c r="K561" i="5" a="1"/>
  <c r="K561" i="5" s="1"/>
  <c r="M563" i="5" a="1"/>
  <c r="M563" i="5" s="1"/>
  <c r="H566" i="5" a="1"/>
  <c r="H566" i="5" s="1"/>
  <c r="J568" i="5" a="1"/>
  <c r="J568" i="5" s="1"/>
  <c r="L570" i="5" a="1"/>
  <c r="L570" i="5" s="1"/>
  <c r="N573" i="5"/>
  <c r="G573" i="5" a="1"/>
  <c r="G573" i="5" s="1"/>
  <c r="I575" i="5" a="1"/>
  <c r="I575" i="5" s="1"/>
  <c r="N589" i="5"/>
  <c r="N605" i="5"/>
  <c r="N621" i="5"/>
  <c r="N637" i="5"/>
  <c r="N653" i="5"/>
  <c r="H572" i="5" a="1"/>
  <c r="H572" i="5" s="1"/>
  <c r="H396" i="5" a="1"/>
  <c r="H396" i="5" s="1"/>
  <c r="H204" i="5" a="1"/>
  <c r="H204" i="5" s="1"/>
  <c r="H44" i="5" a="1"/>
  <c r="H44" i="5" s="1"/>
  <c r="I469" i="5" a="1"/>
  <c r="I469" i="5" s="1"/>
  <c r="N615" i="5"/>
  <c r="I27" i="5" a="1"/>
  <c r="I27" i="5" s="1"/>
  <c r="I59" i="5" a="1"/>
  <c r="I59" i="5" s="1"/>
  <c r="I91" i="5" a="1"/>
  <c r="I91" i="5" s="1"/>
  <c r="M127" i="5" a="1"/>
  <c r="M127" i="5" s="1"/>
  <c r="H162" i="5" a="1"/>
  <c r="H162" i="5" s="1"/>
  <c r="L198" i="5" a="1"/>
  <c r="L198" i="5" s="1"/>
  <c r="I235" i="5" a="1"/>
  <c r="I235" i="5" s="1"/>
  <c r="K269" i="5" a="1"/>
  <c r="K269" i="5" s="1"/>
  <c r="K301" i="5" a="1"/>
  <c r="K301" i="5" s="1"/>
  <c r="N329" i="5"/>
  <c r="G329" i="5" a="1"/>
  <c r="G329" i="5" s="1"/>
  <c r="L358" i="5" a="1"/>
  <c r="L358" i="5" s="1"/>
  <c r="M383" i="5" a="1"/>
  <c r="M383" i="5" s="1"/>
  <c r="M415" i="5" a="1"/>
  <c r="M415" i="5" s="1"/>
  <c r="I443" i="5" a="1"/>
  <c r="I443" i="5" s="1"/>
  <c r="K477" i="5" a="1"/>
  <c r="K477" i="5" s="1"/>
  <c r="K509" i="5" a="1"/>
  <c r="K509" i="5" s="1"/>
  <c r="M543" i="5" a="1"/>
  <c r="M543" i="5" s="1"/>
  <c r="M575" i="5" a="1"/>
  <c r="M575" i="5" s="1"/>
  <c r="H443" i="5" a="1"/>
  <c r="H443" i="5" s="1"/>
  <c r="H283" i="5" a="1"/>
  <c r="H283" i="5" s="1"/>
  <c r="H107" i="5" a="1"/>
  <c r="H107" i="5" s="1"/>
  <c r="I516" i="5" a="1"/>
  <c r="I516" i="5" s="1"/>
  <c r="I452" i="5" a="1"/>
  <c r="I452" i="5" s="1"/>
  <c r="N598" i="5"/>
  <c r="N32" i="5"/>
  <c r="G32" i="5" a="1"/>
  <c r="G32" i="5" s="1"/>
  <c r="G64" i="5" a="1"/>
  <c r="G64" i="5" s="1"/>
  <c r="N64" i="5"/>
  <c r="H89" i="5" a="1"/>
  <c r="H89" i="5" s="1"/>
  <c r="I114" i="5" a="1"/>
  <c r="I114" i="5" s="1"/>
  <c r="I146" i="5" a="1"/>
  <c r="I146" i="5" s="1"/>
  <c r="J171" i="5" a="1"/>
  <c r="J171" i="5" s="1"/>
  <c r="J203" i="5" a="1"/>
  <c r="J203" i="5" s="1"/>
  <c r="M230" i="5" a="1"/>
  <c r="M230" i="5" s="1"/>
  <c r="I258" i="5" a="1"/>
  <c r="I258" i="5" s="1"/>
  <c r="J283" i="5" a="1"/>
  <c r="J283" i="5" s="1"/>
  <c r="G320" i="5" a="1"/>
  <c r="G320" i="5" s="1"/>
  <c r="N320" i="5"/>
  <c r="L349" i="5" a="1"/>
  <c r="L349" i="5" s="1"/>
  <c r="N384" i="5"/>
  <c r="G384" i="5" a="1"/>
  <c r="G384" i="5" s="1"/>
  <c r="L413" i="5" a="1"/>
  <c r="L413" i="5" s="1"/>
  <c r="L445" i="5" a="1"/>
  <c r="L445" i="5" s="1"/>
  <c r="L477" i="5" a="1"/>
  <c r="L477" i="5" s="1"/>
  <c r="L509" i="5" a="1"/>
  <c r="L509" i="5" s="1"/>
  <c r="N544" i="5"/>
  <c r="G544" i="5" a="1"/>
  <c r="G544" i="5" s="1"/>
  <c r="L573" i="5" a="1"/>
  <c r="L573" i="5" s="1"/>
  <c r="H575" i="5" a="1"/>
  <c r="H575" i="5" s="1"/>
  <c r="H559" i="5" a="1"/>
  <c r="H559" i="5" s="1"/>
  <c r="H543" i="5" a="1"/>
  <c r="H543" i="5" s="1"/>
  <c r="H527" i="5" a="1"/>
  <c r="H527" i="5" s="1"/>
  <c r="H511" i="5" a="1"/>
  <c r="H511" i="5" s="1"/>
  <c r="H495" i="5" a="1"/>
  <c r="H495" i="5" s="1"/>
  <c r="H479" i="5" a="1"/>
  <c r="H479" i="5" s="1"/>
  <c r="H463" i="5" a="1"/>
  <c r="H463" i="5" s="1"/>
  <c r="H447" i="5" a="1"/>
  <c r="H447" i="5" s="1"/>
  <c r="H431" i="5" a="1"/>
  <c r="H431" i="5" s="1"/>
  <c r="H415" i="5" a="1"/>
  <c r="H415" i="5" s="1"/>
  <c r="H399" i="5" a="1"/>
  <c r="H399" i="5" s="1"/>
  <c r="H383" i="5" a="1"/>
  <c r="H383" i="5" s="1"/>
  <c r="H367" i="5" a="1"/>
  <c r="H367" i="5" s="1"/>
  <c r="H351" i="5" a="1"/>
  <c r="H351" i="5" s="1"/>
  <c r="H335" i="5" a="1"/>
  <c r="H335" i="5" s="1"/>
  <c r="H319" i="5" a="1"/>
  <c r="H319" i="5" s="1"/>
  <c r="H303" i="5" a="1"/>
  <c r="H303" i="5" s="1"/>
  <c r="H287" i="5" a="1"/>
  <c r="H287" i="5" s="1"/>
  <c r="H271" i="5" a="1"/>
  <c r="H271" i="5" s="1"/>
  <c r="H255" i="5" a="1"/>
  <c r="H255" i="5" s="1"/>
  <c r="H239" i="5" a="1"/>
  <c r="H239" i="5" s="1"/>
  <c r="H223" i="5" a="1"/>
  <c r="H223" i="5" s="1"/>
  <c r="H207" i="5" a="1"/>
  <c r="H207" i="5" s="1"/>
  <c r="H191" i="5" a="1"/>
  <c r="H191" i="5" s="1"/>
  <c r="H175" i="5" a="1"/>
  <c r="H175" i="5" s="1"/>
  <c r="H159" i="5" a="1"/>
  <c r="H159" i="5" s="1"/>
  <c r="H143" i="5" a="1"/>
  <c r="H143" i="5" s="1"/>
  <c r="H127" i="5" a="1"/>
  <c r="H127" i="5" s="1"/>
  <c r="H111" i="5" a="1"/>
  <c r="H111" i="5" s="1"/>
  <c r="H95" i="5" a="1"/>
  <c r="H95" i="5" s="1"/>
  <c r="H79" i="5" a="1"/>
  <c r="H79" i="5" s="1"/>
  <c r="H63" i="5" a="1"/>
  <c r="H63" i="5" s="1"/>
  <c r="H47" i="5" a="1"/>
  <c r="H47" i="5" s="1"/>
  <c r="H31" i="5" a="1"/>
  <c r="H31" i="5" s="1"/>
  <c r="H15" i="5" a="1"/>
  <c r="H15" i="5" s="1"/>
  <c r="I568" i="5" a="1"/>
  <c r="I568" i="5" s="1"/>
  <c r="I552" i="5" a="1"/>
  <c r="I552" i="5" s="1"/>
  <c r="I536" i="5" a="1"/>
  <c r="I536" i="5" s="1"/>
  <c r="I520" i="5" a="1"/>
  <c r="I520" i="5" s="1"/>
  <c r="I504" i="5" a="1"/>
  <c r="I504" i="5" s="1"/>
  <c r="I488" i="5" a="1"/>
  <c r="I488" i="5" s="1"/>
  <c r="I472" i="5" a="1"/>
  <c r="I472" i="5" s="1"/>
  <c r="I456" i="5" a="1"/>
  <c r="I456" i="5" s="1"/>
  <c r="I440" i="5" a="1"/>
  <c r="I440" i="5" s="1"/>
  <c r="I424" i="5" a="1"/>
  <c r="I424" i="5" s="1"/>
  <c r="I408" i="5" a="1"/>
  <c r="I408" i="5" s="1"/>
  <c r="J567" i="5" a="1"/>
  <c r="J567" i="5" s="1"/>
  <c r="J551" i="5" a="1"/>
  <c r="J551" i="5" s="1"/>
  <c r="J535" i="5" a="1"/>
  <c r="J535" i="5" s="1"/>
  <c r="J519" i="5" a="1"/>
  <c r="J519" i="5" s="1"/>
  <c r="K566" i="5" a="1"/>
  <c r="K566" i="5" s="1"/>
  <c r="L567" i="5" a="1"/>
  <c r="L567" i="5" s="1"/>
  <c r="M568" i="5" a="1"/>
  <c r="M568" i="5" s="1"/>
  <c r="N650" i="5"/>
  <c r="N634" i="5"/>
  <c r="N618" i="5"/>
  <c r="N602" i="5"/>
  <c r="N586" i="5"/>
  <c r="G4" i="5" a="1"/>
  <c r="G4" i="5" s="1"/>
  <c r="N4" i="5"/>
  <c r="I6" i="5" a="1"/>
  <c r="I6" i="5" s="1"/>
  <c r="K8" i="5" a="1"/>
  <c r="K8" i="5" s="1"/>
  <c r="M10" i="5" a="1"/>
  <c r="M10" i="5" s="1"/>
  <c r="H13" i="5" a="1"/>
  <c r="H13" i="5" s="1"/>
  <c r="J15" i="5" a="1"/>
  <c r="J15" i="5" s="1"/>
  <c r="L17" i="5" a="1"/>
  <c r="L17" i="5" s="1"/>
  <c r="N20" i="5"/>
  <c r="G20" i="5" a="1"/>
  <c r="G20" i="5" s="1"/>
  <c r="I22" i="5" a="1"/>
  <c r="I22" i="5" s="1"/>
  <c r="K24" i="5" a="1"/>
  <c r="K24" i="5" s="1"/>
  <c r="M26" i="5" a="1"/>
  <c r="M26" i="5" s="1"/>
  <c r="H29" i="5" a="1"/>
  <c r="H29" i="5" s="1"/>
  <c r="J31" i="5" a="1"/>
  <c r="J31" i="5" s="1"/>
  <c r="L33" i="5" a="1"/>
  <c r="L33" i="5" s="1"/>
  <c r="N36" i="5"/>
  <c r="G36" i="5" a="1"/>
  <c r="G36" i="5" s="1"/>
  <c r="I38" i="5" a="1"/>
  <c r="I38" i="5" s="1"/>
  <c r="K40" i="5" a="1"/>
  <c r="K40" i="5" s="1"/>
  <c r="M42" i="5" a="1"/>
  <c r="M42" i="5" s="1"/>
  <c r="H45" i="5" a="1"/>
  <c r="H45" i="5" s="1"/>
  <c r="J47" i="5" a="1"/>
  <c r="J47" i="5" s="1"/>
  <c r="L49" i="5" a="1"/>
  <c r="L49" i="5" s="1"/>
  <c r="G52" i="5" a="1"/>
  <c r="G52" i="5" s="1"/>
  <c r="N52" i="5"/>
  <c r="I54" i="5" a="1"/>
  <c r="I54" i="5" s="1"/>
  <c r="K56" i="5" a="1"/>
  <c r="K56" i="5" s="1"/>
  <c r="M58" i="5" a="1"/>
  <c r="M58" i="5" s="1"/>
  <c r="H61" i="5" a="1"/>
  <c r="H61" i="5" s="1"/>
  <c r="J63" i="5" a="1"/>
  <c r="J63" i="5" s="1"/>
  <c r="L65" i="5" a="1"/>
  <c r="L65" i="5" s="1"/>
  <c r="N68" i="5"/>
  <c r="G68" i="5" a="1"/>
  <c r="G68" i="5" s="1"/>
  <c r="I70" i="5" a="1"/>
  <c r="I70" i="5" s="1"/>
  <c r="K72" i="5" a="1"/>
  <c r="K72" i="5" s="1"/>
  <c r="M74" i="5" a="1"/>
  <c r="M74" i="5" s="1"/>
  <c r="H77" i="5" a="1"/>
  <c r="H77" i="5" s="1"/>
  <c r="J79" i="5" a="1"/>
  <c r="J79" i="5" s="1"/>
  <c r="L81" i="5" a="1"/>
  <c r="L81" i="5" s="1"/>
  <c r="N84" i="5"/>
  <c r="G84" i="5" a="1"/>
  <c r="G84" i="5" s="1"/>
  <c r="I86" i="5" a="1"/>
  <c r="I86" i="5" s="1"/>
  <c r="K88" i="5" a="1"/>
  <c r="K88" i="5" s="1"/>
  <c r="M90" i="5" a="1"/>
  <c r="M90" i="5" s="1"/>
  <c r="H93" i="5" a="1"/>
  <c r="H93" i="5" s="1"/>
  <c r="J95" i="5" a="1"/>
  <c r="J95" i="5" s="1"/>
  <c r="L97" i="5" a="1"/>
  <c r="L97" i="5" s="1"/>
  <c r="N100" i="5"/>
  <c r="G100" i="5" a="1"/>
  <c r="G100" i="5" s="1"/>
  <c r="I102" i="5" a="1"/>
  <c r="I102" i="5" s="1"/>
  <c r="K104" i="5" a="1"/>
  <c r="K104" i="5" s="1"/>
  <c r="M106" i="5" a="1"/>
  <c r="M106" i="5" s="1"/>
  <c r="H109" i="5" a="1"/>
  <c r="H109" i="5" s="1"/>
  <c r="J111" i="5" a="1"/>
  <c r="J111" i="5" s="1"/>
  <c r="L113" i="5" a="1"/>
  <c r="L113" i="5" s="1"/>
  <c r="G116" i="5" a="1"/>
  <c r="G116" i="5" s="1"/>
  <c r="N116" i="5"/>
  <c r="I118" i="5" a="1"/>
  <c r="I118" i="5" s="1"/>
  <c r="K120" i="5" a="1"/>
  <c r="K120" i="5" s="1"/>
  <c r="M122" i="5" a="1"/>
  <c r="M122" i="5" s="1"/>
  <c r="H125" i="5" a="1"/>
  <c r="H125" i="5" s="1"/>
  <c r="J127" i="5" a="1"/>
  <c r="J127" i="5" s="1"/>
  <c r="L129" i="5" a="1"/>
  <c r="L129" i="5" s="1"/>
  <c r="N132" i="5"/>
  <c r="G132" i="5" a="1"/>
  <c r="G132" i="5" s="1"/>
  <c r="I134" i="5" a="1"/>
  <c r="I134" i="5" s="1"/>
  <c r="K136" i="5" a="1"/>
  <c r="K136" i="5" s="1"/>
  <c r="M138" i="5" a="1"/>
  <c r="M138" i="5" s="1"/>
  <c r="H141" i="5" a="1"/>
  <c r="H141" i="5" s="1"/>
  <c r="J143" i="5" a="1"/>
  <c r="J143" i="5" s="1"/>
  <c r="L145" i="5" a="1"/>
  <c r="L145" i="5" s="1"/>
  <c r="N148" i="5"/>
  <c r="G148" i="5" a="1"/>
  <c r="G148" i="5" s="1"/>
  <c r="I150" i="5" a="1"/>
  <c r="I150" i="5" s="1"/>
  <c r="K152" i="5" a="1"/>
  <c r="K152" i="5" s="1"/>
  <c r="M154" i="5" a="1"/>
  <c r="M154" i="5" s="1"/>
  <c r="H157" i="5" a="1"/>
  <c r="H157" i="5" s="1"/>
  <c r="J159" i="5" a="1"/>
  <c r="J159" i="5" s="1"/>
  <c r="L161" i="5" a="1"/>
  <c r="L161" i="5" s="1"/>
  <c r="N164" i="5"/>
  <c r="G164" i="5" a="1"/>
  <c r="G164" i="5" s="1"/>
  <c r="I166" i="5" a="1"/>
  <c r="I166" i="5" s="1"/>
  <c r="K168" i="5" a="1"/>
  <c r="K168" i="5" s="1"/>
  <c r="M170" i="5" a="1"/>
  <c r="M170" i="5" s="1"/>
  <c r="H173" i="5" a="1"/>
  <c r="H173" i="5" s="1"/>
  <c r="J175" i="5" a="1"/>
  <c r="J175" i="5" s="1"/>
  <c r="L177" i="5" a="1"/>
  <c r="L177" i="5" s="1"/>
  <c r="N180" i="5"/>
  <c r="G180" i="5" a="1"/>
  <c r="G180" i="5" s="1"/>
  <c r="I182" i="5" a="1"/>
  <c r="I182" i="5" s="1"/>
  <c r="K184" i="5" a="1"/>
  <c r="K184" i="5" s="1"/>
  <c r="M186" i="5" a="1"/>
  <c r="M186" i="5" s="1"/>
  <c r="H189" i="5" a="1"/>
  <c r="H189" i="5" s="1"/>
  <c r="J191" i="5" a="1"/>
  <c r="J191" i="5" s="1"/>
  <c r="L193" i="5" a="1"/>
  <c r="L193" i="5" s="1"/>
  <c r="G196" i="5" a="1"/>
  <c r="G196" i="5" s="1"/>
  <c r="N196" i="5"/>
  <c r="I198" i="5" a="1"/>
  <c r="I198" i="5" s="1"/>
  <c r="K200" i="5" a="1"/>
  <c r="K200" i="5" s="1"/>
  <c r="M202" i="5" a="1"/>
  <c r="M202" i="5" s="1"/>
  <c r="H205" i="5" a="1"/>
  <c r="H205" i="5" s="1"/>
  <c r="J207" i="5" a="1"/>
  <c r="J207" i="5" s="1"/>
  <c r="L209" i="5" a="1"/>
  <c r="L209" i="5" s="1"/>
  <c r="G212" i="5" a="1"/>
  <c r="G212" i="5" s="1"/>
  <c r="N212" i="5"/>
  <c r="I214" i="5" a="1"/>
  <c r="I214" i="5" s="1"/>
  <c r="K216" i="5" a="1"/>
  <c r="K216" i="5" s="1"/>
  <c r="M218" i="5" a="1"/>
  <c r="M218" i="5" s="1"/>
  <c r="H221" i="5" a="1"/>
  <c r="H221" i="5" s="1"/>
  <c r="J223" i="5" a="1"/>
  <c r="J223" i="5" s="1"/>
  <c r="L225" i="5" a="1"/>
  <c r="L225" i="5" s="1"/>
  <c r="N228" i="5"/>
  <c r="G228" i="5" a="1"/>
  <c r="G228" i="5" s="1"/>
  <c r="I230" i="5" a="1"/>
  <c r="I230" i="5" s="1"/>
  <c r="K232" i="5" a="1"/>
  <c r="K232" i="5" s="1"/>
  <c r="M234" i="5" a="1"/>
  <c r="M234" i="5" s="1"/>
  <c r="H237" i="5" a="1"/>
  <c r="H237" i="5" s="1"/>
  <c r="J239" i="5" a="1"/>
  <c r="J239" i="5" s="1"/>
  <c r="L241" i="5" a="1"/>
  <c r="L241" i="5" s="1"/>
  <c r="N244" i="5"/>
  <c r="G244" i="5" a="1"/>
  <c r="G244" i="5" s="1"/>
  <c r="I246" i="5" a="1"/>
  <c r="I246" i="5" s="1"/>
  <c r="K248" i="5" a="1"/>
  <c r="K248" i="5" s="1"/>
  <c r="M250" i="5" a="1"/>
  <c r="M250" i="5" s="1"/>
  <c r="H253" i="5" a="1"/>
  <c r="H253" i="5" s="1"/>
  <c r="J255" i="5" a="1"/>
  <c r="J255" i="5" s="1"/>
  <c r="L257" i="5" a="1"/>
  <c r="L257" i="5" s="1"/>
  <c r="N260" i="5"/>
  <c r="G260" i="5" a="1"/>
  <c r="G260" i="5" s="1"/>
  <c r="I262" i="5" a="1"/>
  <c r="I262" i="5" s="1"/>
  <c r="K264" i="5" a="1"/>
  <c r="K264" i="5" s="1"/>
  <c r="M266" i="5" a="1"/>
  <c r="M266" i="5" s="1"/>
  <c r="H269" i="5" a="1"/>
  <c r="H269" i="5" s="1"/>
  <c r="J271" i="5" a="1"/>
  <c r="J271" i="5" s="1"/>
  <c r="L273" i="5" a="1"/>
  <c r="L273" i="5" s="1"/>
  <c r="G276" i="5" a="1"/>
  <c r="G276" i="5" s="1"/>
  <c r="N276" i="5"/>
  <c r="I278" i="5" a="1"/>
  <c r="I278" i="5" s="1"/>
  <c r="K280" i="5" a="1"/>
  <c r="K280" i="5" s="1"/>
  <c r="M282" i="5" a="1"/>
  <c r="M282" i="5" s="1"/>
  <c r="H285" i="5" a="1"/>
  <c r="H285" i="5" s="1"/>
  <c r="J287" i="5" a="1"/>
  <c r="J287" i="5" s="1"/>
  <c r="L289" i="5" a="1"/>
  <c r="L289" i="5" s="1"/>
  <c r="G292" i="5" a="1"/>
  <c r="G292" i="5" s="1"/>
  <c r="N292" i="5"/>
  <c r="I294" i="5" a="1"/>
  <c r="I294" i="5" s="1"/>
  <c r="K296" i="5" a="1"/>
  <c r="K296" i="5" s="1"/>
  <c r="M298" i="5" a="1"/>
  <c r="M298" i="5" s="1"/>
  <c r="H301" i="5" a="1"/>
  <c r="H301" i="5" s="1"/>
  <c r="J303" i="5" a="1"/>
  <c r="J303" i="5" s="1"/>
  <c r="L305" i="5" a="1"/>
  <c r="L305" i="5" s="1"/>
  <c r="N308" i="5"/>
  <c r="G308" i="5" a="1"/>
  <c r="G308" i="5" s="1"/>
  <c r="I310" i="5" a="1"/>
  <c r="I310" i="5" s="1"/>
  <c r="K312" i="5" a="1"/>
  <c r="K312" i="5" s="1"/>
  <c r="M314" i="5" a="1"/>
  <c r="M314" i="5" s="1"/>
  <c r="H317" i="5" a="1"/>
  <c r="H317" i="5" s="1"/>
  <c r="J319" i="5" a="1"/>
  <c r="J319" i="5" s="1"/>
  <c r="L321" i="5" a="1"/>
  <c r="L321" i="5" s="1"/>
  <c r="G324" i="5" a="1"/>
  <c r="G324" i="5" s="1"/>
  <c r="N324" i="5"/>
  <c r="I326" i="5" a="1"/>
  <c r="I326" i="5" s="1"/>
  <c r="K328" i="5" a="1"/>
  <c r="K328" i="5" s="1"/>
  <c r="M330" i="5" a="1"/>
  <c r="M330" i="5" s="1"/>
  <c r="H333" i="5" a="1"/>
  <c r="H333" i="5" s="1"/>
  <c r="J335" i="5" a="1"/>
  <c r="J335" i="5" s="1"/>
  <c r="L337" i="5" a="1"/>
  <c r="L337" i="5" s="1"/>
  <c r="N340" i="5"/>
  <c r="G340" i="5" a="1"/>
  <c r="G340" i="5" s="1"/>
  <c r="I342" i="5" a="1"/>
  <c r="I342" i="5" s="1"/>
  <c r="K344" i="5" a="1"/>
  <c r="K344" i="5" s="1"/>
  <c r="M346" i="5" a="1"/>
  <c r="M346" i="5" s="1"/>
  <c r="H349" i="5" a="1"/>
  <c r="H349" i="5" s="1"/>
  <c r="J351" i="5" a="1"/>
  <c r="J351" i="5" s="1"/>
  <c r="L353" i="5" a="1"/>
  <c r="L353" i="5" s="1"/>
  <c r="N356" i="5"/>
  <c r="G356" i="5" a="1"/>
  <c r="G356" i="5" s="1"/>
  <c r="I358" i="5" a="1"/>
  <c r="I358" i="5" s="1"/>
  <c r="K360" i="5" a="1"/>
  <c r="K360" i="5" s="1"/>
  <c r="M362" i="5" a="1"/>
  <c r="M362" i="5" s="1"/>
  <c r="H365" i="5" a="1"/>
  <c r="H365" i="5" s="1"/>
  <c r="J367" i="5" a="1"/>
  <c r="J367" i="5" s="1"/>
  <c r="L369" i="5" a="1"/>
  <c r="L369" i="5" s="1"/>
  <c r="G372" i="5" a="1"/>
  <c r="G372" i="5" s="1"/>
  <c r="N372" i="5"/>
  <c r="I374" i="5" a="1"/>
  <c r="I374" i="5" s="1"/>
  <c r="K376" i="5" a="1"/>
  <c r="K376" i="5" s="1"/>
  <c r="M378" i="5" a="1"/>
  <c r="M378" i="5" s="1"/>
  <c r="H381" i="5" a="1"/>
  <c r="H381" i="5" s="1"/>
  <c r="J383" i="5" a="1"/>
  <c r="J383" i="5" s="1"/>
  <c r="L385" i="5" a="1"/>
  <c r="L385" i="5" s="1"/>
  <c r="G388" i="5" a="1"/>
  <c r="G388" i="5" s="1"/>
  <c r="N388" i="5"/>
  <c r="I390" i="5" a="1"/>
  <c r="I390" i="5" s="1"/>
  <c r="K392" i="5" a="1"/>
  <c r="K392" i="5" s="1"/>
  <c r="M394" i="5" a="1"/>
  <c r="M394" i="5" s="1"/>
  <c r="H397" i="5" a="1"/>
  <c r="H397" i="5" s="1"/>
  <c r="J399" i="5" a="1"/>
  <c r="J399" i="5" s="1"/>
  <c r="L401" i="5" a="1"/>
  <c r="L401" i="5" s="1"/>
  <c r="G404" i="5" a="1"/>
  <c r="G404" i="5" s="1"/>
  <c r="N404" i="5"/>
  <c r="I406" i="5" a="1"/>
  <c r="I406" i="5" s="1"/>
  <c r="K408" i="5" a="1"/>
  <c r="K408" i="5" s="1"/>
  <c r="M410" i="5" a="1"/>
  <c r="M410" i="5" s="1"/>
  <c r="H413" i="5" a="1"/>
  <c r="H413" i="5" s="1"/>
  <c r="J415" i="5" a="1"/>
  <c r="J415" i="5" s="1"/>
  <c r="L417" i="5" a="1"/>
  <c r="L417" i="5" s="1"/>
  <c r="N420" i="5"/>
  <c r="G420" i="5" a="1"/>
  <c r="G420" i="5" s="1"/>
  <c r="I422" i="5" a="1"/>
  <c r="I422" i="5" s="1"/>
  <c r="K424" i="5" a="1"/>
  <c r="K424" i="5" s="1"/>
  <c r="M426" i="5" a="1"/>
  <c r="M426" i="5" s="1"/>
  <c r="H429" i="5" a="1"/>
  <c r="H429" i="5" s="1"/>
  <c r="J431" i="5" a="1"/>
  <c r="J431" i="5" s="1"/>
  <c r="L433" i="5" a="1"/>
  <c r="L433" i="5" s="1"/>
  <c r="G436" i="5" a="1"/>
  <c r="G436" i="5" s="1"/>
  <c r="N436" i="5"/>
  <c r="I438" i="5" a="1"/>
  <c r="I438" i="5" s="1"/>
  <c r="K440" i="5" a="1"/>
  <c r="K440" i="5" s="1"/>
  <c r="M442" i="5" a="1"/>
  <c r="M442" i="5" s="1"/>
  <c r="H445" i="5" a="1"/>
  <c r="H445" i="5" s="1"/>
  <c r="J447" i="5" a="1"/>
  <c r="J447" i="5" s="1"/>
  <c r="L449" i="5" a="1"/>
  <c r="L449" i="5" s="1"/>
  <c r="N452" i="5"/>
  <c r="G452" i="5" a="1"/>
  <c r="G452" i="5" s="1"/>
  <c r="I454" i="5" a="1"/>
  <c r="I454" i="5" s="1"/>
  <c r="K456" i="5" a="1"/>
  <c r="K456" i="5" s="1"/>
  <c r="M458" i="5" a="1"/>
  <c r="M458" i="5" s="1"/>
  <c r="H461" i="5" a="1"/>
  <c r="H461" i="5" s="1"/>
  <c r="J463" i="5" a="1"/>
  <c r="J463" i="5" s="1"/>
  <c r="L465" i="5" a="1"/>
  <c r="L465" i="5" s="1"/>
  <c r="G468" i="5" a="1"/>
  <c r="G468" i="5" s="1"/>
  <c r="N468" i="5"/>
  <c r="I470" i="5" a="1"/>
  <c r="I470" i="5" s="1"/>
  <c r="K472" i="5" a="1"/>
  <c r="K472" i="5" s="1"/>
  <c r="M474" i="5" a="1"/>
  <c r="M474" i="5" s="1"/>
  <c r="H477" i="5" a="1"/>
  <c r="H477" i="5" s="1"/>
  <c r="J479" i="5" a="1"/>
  <c r="J479" i="5" s="1"/>
  <c r="L481" i="5" a="1"/>
  <c r="L481" i="5" s="1"/>
  <c r="N484" i="5"/>
  <c r="G484" i="5" a="1"/>
  <c r="G484" i="5" s="1"/>
  <c r="I486" i="5" a="1"/>
  <c r="I486" i="5" s="1"/>
  <c r="K488" i="5" a="1"/>
  <c r="K488" i="5" s="1"/>
  <c r="M490" i="5" a="1"/>
  <c r="M490" i="5" s="1"/>
  <c r="H493" i="5" a="1"/>
  <c r="H493" i="5" s="1"/>
  <c r="J495" i="5" a="1"/>
  <c r="J495" i="5" s="1"/>
  <c r="L497" i="5" a="1"/>
  <c r="L497" i="5" s="1"/>
  <c r="N500" i="5"/>
  <c r="G500" i="5" a="1"/>
  <c r="G500" i="5" s="1"/>
  <c r="I502" i="5" a="1"/>
  <c r="I502" i="5" s="1"/>
  <c r="K504" i="5" a="1"/>
  <c r="K504" i="5" s="1"/>
  <c r="M506" i="5" a="1"/>
  <c r="M506" i="5" s="1"/>
  <c r="H509" i="5" a="1"/>
  <c r="H509" i="5" s="1"/>
  <c r="J511" i="5" a="1"/>
  <c r="J511" i="5" s="1"/>
  <c r="L513" i="5" a="1"/>
  <c r="L513" i="5" s="1"/>
  <c r="G516" i="5" a="1"/>
  <c r="G516" i="5" s="1"/>
  <c r="N516" i="5"/>
  <c r="I518" i="5" a="1"/>
  <c r="I518" i="5" s="1"/>
  <c r="K520" i="5" a="1"/>
  <c r="K520" i="5" s="1"/>
  <c r="M522" i="5" a="1"/>
  <c r="M522" i="5" s="1"/>
  <c r="H525" i="5" a="1"/>
  <c r="H525" i="5" s="1"/>
  <c r="J527" i="5" a="1"/>
  <c r="J527" i="5" s="1"/>
  <c r="L529" i="5" a="1"/>
  <c r="L529" i="5" s="1"/>
  <c r="N532" i="5"/>
  <c r="G532" i="5" a="1"/>
  <c r="G532" i="5" s="1"/>
  <c r="I534" i="5" a="1"/>
  <c r="I534" i="5" s="1"/>
  <c r="K536" i="5" a="1"/>
  <c r="K536" i="5" s="1"/>
  <c r="M538" i="5" a="1"/>
  <c r="M538" i="5" s="1"/>
  <c r="H541" i="5" a="1"/>
  <c r="H541" i="5" s="1"/>
  <c r="J543" i="5" a="1"/>
  <c r="J543" i="5" s="1"/>
  <c r="L545" i="5" a="1"/>
  <c r="L545" i="5" s="1"/>
  <c r="G548" i="5" a="1"/>
  <c r="G548" i="5" s="1"/>
  <c r="N548" i="5"/>
  <c r="I550" i="5" a="1"/>
  <c r="I550" i="5" s="1"/>
  <c r="K552" i="5" a="1"/>
  <c r="K552" i="5" s="1"/>
  <c r="M554" i="5" a="1"/>
  <c r="M554" i="5" s="1"/>
  <c r="H557" i="5" a="1"/>
  <c r="H557" i="5" s="1"/>
  <c r="J559" i="5" a="1"/>
  <c r="J559" i="5" s="1"/>
  <c r="L561" i="5" a="1"/>
  <c r="L561" i="5" s="1"/>
  <c r="N564" i="5"/>
  <c r="G564" i="5" a="1"/>
  <c r="G564" i="5" s="1"/>
  <c r="I566" i="5" a="1"/>
  <c r="I566" i="5" s="1"/>
  <c r="K568" i="5" a="1"/>
  <c r="K568" i="5" s="1"/>
  <c r="M570" i="5" a="1"/>
  <c r="M570" i="5" s="1"/>
  <c r="H573" i="5" a="1"/>
  <c r="H573" i="5" s="1"/>
  <c r="J575" i="5" a="1"/>
  <c r="J575" i="5" s="1"/>
  <c r="N580" i="5"/>
  <c r="N596" i="5"/>
  <c r="N612" i="5"/>
  <c r="N628" i="5"/>
  <c r="N644" i="5"/>
  <c r="H444" i="5" a="1"/>
  <c r="H444" i="5" s="1"/>
  <c r="H300" i="5" a="1"/>
  <c r="H300" i="5" s="1"/>
  <c r="H140" i="5" a="1"/>
  <c r="H140" i="5" s="1"/>
  <c r="I549" i="5" a="1"/>
  <c r="I549" i="5" s="1"/>
  <c r="I437" i="5" a="1"/>
  <c r="I437" i="5" s="1"/>
  <c r="N583" i="5"/>
  <c r="N25" i="5"/>
  <c r="G25" i="5" a="1"/>
  <c r="G25" i="5" s="1"/>
  <c r="M47" i="5" a="1"/>
  <c r="M47" i="5" s="1"/>
  <c r="I75" i="5" a="1"/>
  <c r="I75" i="5" s="1"/>
  <c r="H98" i="5" a="1"/>
  <c r="H98" i="5" s="1"/>
  <c r="I123" i="5" a="1"/>
  <c r="I123" i="5" s="1"/>
  <c r="K141" i="5" a="1"/>
  <c r="K141" i="5" s="1"/>
  <c r="I171" i="5" a="1"/>
  <c r="I171" i="5" s="1"/>
  <c r="M191" i="5" a="1"/>
  <c r="M191" i="5" s="1"/>
  <c r="M223" i="5" a="1"/>
  <c r="M223" i="5" s="1"/>
  <c r="M255" i="5" a="1"/>
  <c r="M255" i="5" s="1"/>
  <c r="I283" i="5" a="1"/>
  <c r="I283" i="5" s="1"/>
  <c r="I315" i="5" a="1"/>
  <c r="I315" i="5" s="1"/>
  <c r="N345" i="5"/>
  <c r="G345" i="5" a="1"/>
  <c r="G345" i="5" s="1"/>
  <c r="K381" i="5" a="1"/>
  <c r="K381" i="5" s="1"/>
  <c r="K413" i="5" a="1"/>
  <c r="K413" i="5" s="1"/>
  <c r="M447" i="5" a="1"/>
  <c r="M447" i="5" s="1"/>
  <c r="M479" i="5" a="1"/>
  <c r="M479" i="5" s="1"/>
  <c r="I507" i="5" a="1"/>
  <c r="I507" i="5" s="1"/>
  <c r="G537" i="5" a="1"/>
  <c r="G537" i="5" s="1"/>
  <c r="N537" i="5"/>
  <c r="J564" i="5" a="1"/>
  <c r="J564" i="5" s="1"/>
  <c r="H411" i="5" a="1"/>
  <c r="H411" i="5" s="1"/>
  <c r="H219" i="5" a="1"/>
  <c r="H219" i="5" s="1"/>
  <c r="I548" i="5" a="1"/>
  <c r="I548" i="5" s="1"/>
  <c r="N646" i="5"/>
  <c r="K20" i="5" a="1"/>
  <c r="K20" i="5" s="1"/>
  <c r="J59" i="5" a="1"/>
  <c r="J59" i="5" s="1"/>
  <c r="J91" i="5" a="1"/>
  <c r="J91" i="5" s="1"/>
  <c r="J123" i="5" a="1"/>
  <c r="J123" i="5" s="1"/>
  <c r="K148" i="5" a="1"/>
  <c r="K148" i="5" s="1"/>
  <c r="I178" i="5" a="1"/>
  <c r="I178" i="5" s="1"/>
  <c r="L205" i="5" a="1"/>
  <c r="L205" i="5" s="1"/>
  <c r="L237" i="5" a="1"/>
  <c r="L237" i="5" s="1"/>
  <c r="J267" i="5" a="1"/>
  <c r="J267" i="5" s="1"/>
  <c r="M294" i="5" a="1"/>
  <c r="M294" i="5" s="1"/>
  <c r="I322" i="5" a="1"/>
  <c r="I322" i="5" s="1"/>
  <c r="I354" i="5" a="1"/>
  <c r="I354" i="5" s="1"/>
  <c r="I386" i="5" a="1"/>
  <c r="I386" i="5" s="1"/>
  <c r="I418" i="5" a="1"/>
  <c r="I418" i="5" s="1"/>
  <c r="I450" i="5" a="1"/>
  <c r="I450" i="5" s="1"/>
  <c r="M486" i="5" a="1"/>
  <c r="M486" i="5" s="1"/>
  <c r="M518" i="5" a="1"/>
  <c r="M518" i="5" s="1"/>
  <c r="J555" i="5" a="1"/>
  <c r="J555" i="5" s="1"/>
  <c r="H574" i="5" a="1"/>
  <c r="H574" i="5" s="1"/>
  <c r="H558" i="5" a="1"/>
  <c r="H558" i="5" s="1"/>
  <c r="H542" i="5" a="1"/>
  <c r="H542" i="5" s="1"/>
  <c r="H526" i="5" a="1"/>
  <c r="H526" i="5" s="1"/>
  <c r="H510" i="5" a="1"/>
  <c r="H510" i="5" s="1"/>
  <c r="H494" i="5" a="1"/>
  <c r="H494" i="5" s="1"/>
  <c r="H478" i="5" a="1"/>
  <c r="H478" i="5" s="1"/>
  <c r="H462" i="5" a="1"/>
  <c r="H462" i="5" s="1"/>
  <c r="H446" i="5" a="1"/>
  <c r="H446" i="5" s="1"/>
  <c r="H430" i="5" a="1"/>
  <c r="H430" i="5" s="1"/>
  <c r="H414" i="5" a="1"/>
  <c r="H414" i="5" s="1"/>
  <c r="H398" i="5" a="1"/>
  <c r="H398" i="5" s="1"/>
  <c r="H382" i="5" a="1"/>
  <c r="H382" i="5" s="1"/>
  <c r="H366" i="5" a="1"/>
  <c r="H366" i="5" s="1"/>
  <c r="H350" i="5" a="1"/>
  <c r="H350" i="5" s="1"/>
  <c r="H334" i="5" a="1"/>
  <c r="H334" i="5" s="1"/>
  <c r="H318" i="5" a="1"/>
  <c r="H318" i="5" s="1"/>
  <c r="H302" i="5" a="1"/>
  <c r="H302" i="5" s="1"/>
  <c r="H286" i="5" a="1"/>
  <c r="H286" i="5" s="1"/>
  <c r="H270" i="5" a="1"/>
  <c r="H270" i="5" s="1"/>
  <c r="H254" i="5" a="1"/>
  <c r="H254" i="5" s="1"/>
  <c r="H238" i="5" a="1"/>
  <c r="H238" i="5" s="1"/>
  <c r="H222" i="5" a="1"/>
  <c r="H222" i="5" s="1"/>
  <c r="H206" i="5" a="1"/>
  <c r="H206" i="5" s="1"/>
  <c r="H190" i="5" a="1"/>
  <c r="H190" i="5" s="1"/>
  <c r="H174" i="5" a="1"/>
  <c r="H174" i="5" s="1"/>
  <c r="H158" i="5" a="1"/>
  <c r="H158" i="5" s="1"/>
  <c r="H142" i="5" a="1"/>
  <c r="H142" i="5" s="1"/>
  <c r="H126" i="5" a="1"/>
  <c r="H126" i="5" s="1"/>
  <c r="H110" i="5" a="1"/>
  <c r="H110" i="5" s="1"/>
  <c r="H94" i="5" a="1"/>
  <c r="H94" i="5" s="1"/>
  <c r="H78" i="5" a="1"/>
  <c r="H78" i="5" s="1"/>
  <c r="H62" i="5" a="1"/>
  <c r="H62" i="5" s="1"/>
  <c r="H46" i="5" a="1"/>
  <c r="H46" i="5" s="1"/>
  <c r="H30" i="5" a="1"/>
  <c r="H30" i="5" s="1"/>
  <c r="H14" i="5" a="1"/>
  <c r="H14" i="5" s="1"/>
  <c r="I567" i="5" a="1"/>
  <c r="I567" i="5" s="1"/>
  <c r="I551" i="5" a="1"/>
  <c r="I551" i="5" s="1"/>
  <c r="I535" i="5" a="1"/>
  <c r="I535" i="5" s="1"/>
  <c r="I519" i="5" a="1"/>
  <c r="I519" i="5" s="1"/>
  <c r="I503" i="5" a="1"/>
  <c r="I503" i="5" s="1"/>
  <c r="I487" i="5" a="1"/>
  <c r="I487" i="5" s="1"/>
  <c r="I471" i="5" a="1"/>
  <c r="I471" i="5" s="1"/>
  <c r="I455" i="5" a="1"/>
  <c r="I455" i="5" s="1"/>
  <c r="I439" i="5" a="1"/>
  <c r="I439" i="5" s="1"/>
  <c r="I423" i="5" a="1"/>
  <c r="I423" i="5" s="1"/>
  <c r="I407" i="5" a="1"/>
  <c r="I407" i="5" s="1"/>
  <c r="K565" i="5" a="1"/>
  <c r="K565" i="5" s="1"/>
  <c r="L566" i="5" a="1"/>
  <c r="L566" i="5" s="1"/>
  <c r="M567" i="5" a="1"/>
  <c r="M567" i="5" s="1"/>
  <c r="N649" i="5"/>
  <c r="N633" i="5"/>
  <c r="N617" i="5"/>
  <c r="N601" i="5"/>
  <c r="N585" i="5"/>
  <c r="H4" i="5" a="1"/>
  <c r="H4" i="5" s="1"/>
  <c r="J6" i="5" a="1"/>
  <c r="J6" i="5" s="1"/>
  <c r="L8" i="5" a="1"/>
  <c r="L8" i="5" s="1"/>
  <c r="N11" i="5"/>
  <c r="G11" i="5" a="1"/>
  <c r="G11" i="5" s="1"/>
  <c r="I13" i="5" a="1"/>
  <c r="I13" i="5" s="1"/>
  <c r="K15" i="5" a="1"/>
  <c r="K15" i="5" s="1"/>
  <c r="M17" i="5" a="1"/>
  <c r="M17" i="5" s="1"/>
  <c r="H20" i="5" a="1"/>
  <c r="H20" i="5" s="1"/>
  <c r="J22" i="5" a="1"/>
  <c r="J22" i="5" s="1"/>
  <c r="L24" i="5" a="1"/>
  <c r="L24" i="5" s="1"/>
  <c r="G27" i="5" a="1"/>
  <c r="G27" i="5" s="1"/>
  <c r="N27" i="5"/>
  <c r="I29" i="5" a="1"/>
  <c r="I29" i="5" s="1"/>
  <c r="K31" i="5" a="1"/>
  <c r="K31" i="5" s="1"/>
  <c r="M33" i="5" a="1"/>
  <c r="M33" i="5" s="1"/>
  <c r="H36" i="5" a="1"/>
  <c r="H36" i="5" s="1"/>
  <c r="J38" i="5" a="1"/>
  <c r="J38" i="5" s="1"/>
  <c r="L40" i="5" a="1"/>
  <c r="L40" i="5" s="1"/>
  <c r="G43" i="5" a="1"/>
  <c r="G43" i="5" s="1"/>
  <c r="N43" i="5"/>
  <c r="I45" i="5" a="1"/>
  <c r="I45" i="5" s="1"/>
  <c r="K47" i="5" a="1"/>
  <c r="K47" i="5" s="1"/>
  <c r="M49" i="5" a="1"/>
  <c r="M49" i="5" s="1"/>
  <c r="H52" i="5" a="1"/>
  <c r="H52" i="5" s="1"/>
  <c r="J54" i="5" a="1"/>
  <c r="J54" i="5" s="1"/>
  <c r="L56" i="5" a="1"/>
  <c r="L56" i="5" s="1"/>
  <c r="N59" i="5"/>
  <c r="G59" i="5" a="1"/>
  <c r="G59" i="5" s="1"/>
  <c r="I61" i="5" a="1"/>
  <c r="I61" i="5" s="1"/>
  <c r="K63" i="5" a="1"/>
  <c r="K63" i="5" s="1"/>
  <c r="M65" i="5" a="1"/>
  <c r="M65" i="5" s="1"/>
  <c r="H68" i="5" a="1"/>
  <c r="H68" i="5" s="1"/>
  <c r="J70" i="5" a="1"/>
  <c r="J70" i="5" s="1"/>
  <c r="L72" i="5" a="1"/>
  <c r="L72" i="5" s="1"/>
  <c r="N75" i="5"/>
  <c r="G75" i="5" a="1"/>
  <c r="G75" i="5" s="1"/>
  <c r="I77" i="5" a="1"/>
  <c r="I77" i="5" s="1"/>
  <c r="K79" i="5" a="1"/>
  <c r="K79" i="5" s="1"/>
  <c r="M81" i="5" a="1"/>
  <c r="M81" i="5" s="1"/>
  <c r="H84" i="5" a="1"/>
  <c r="H84" i="5" s="1"/>
  <c r="J86" i="5" a="1"/>
  <c r="J86" i="5" s="1"/>
  <c r="L88" i="5" a="1"/>
  <c r="L88" i="5" s="1"/>
  <c r="G91" i="5" a="1"/>
  <c r="G91" i="5" s="1"/>
  <c r="N91" i="5"/>
  <c r="I93" i="5" a="1"/>
  <c r="I93" i="5" s="1"/>
  <c r="K95" i="5" a="1"/>
  <c r="K95" i="5" s="1"/>
  <c r="M97" i="5" a="1"/>
  <c r="M97" i="5" s="1"/>
  <c r="H100" i="5" a="1"/>
  <c r="H100" i="5" s="1"/>
  <c r="J102" i="5" a="1"/>
  <c r="J102" i="5" s="1"/>
  <c r="L104" i="5" a="1"/>
  <c r="L104" i="5" s="1"/>
  <c r="G107" i="5" a="1"/>
  <c r="G107" i="5" s="1"/>
  <c r="N107" i="5"/>
  <c r="I109" i="5" a="1"/>
  <c r="I109" i="5" s="1"/>
  <c r="K111" i="5" a="1"/>
  <c r="K111" i="5" s="1"/>
  <c r="M113" i="5" a="1"/>
  <c r="M113" i="5" s="1"/>
  <c r="H116" i="5" a="1"/>
  <c r="H116" i="5" s="1"/>
  <c r="J118" i="5" a="1"/>
  <c r="J118" i="5" s="1"/>
  <c r="L120" i="5" a="1"/>
  <c r="L120" i="5" s="1"/>
  <c r="N123" i="5"/>
  <c r="G123" i="5" a="1"/>
  <c r="G123" i="5" s="1"/>
  <c r="I125" i="5" a="1"/>
  <c r="I125" i="5" s="1"/>
  <c r="K127" i="5" a="1"/>
  <c r="K127" i="5" s="1"/>
  <c r="M129" i="5" a="1"/>
  <c r="M129" i="5" s="1"/>
  <c r="H132" i="5" a="1"/>
  <c r="H132" i="5" s="1"/>
  <c r="J134" i="5" a="1"/>
  <c r="J134" i="5" s="1"/>
  <c r="L136" i="5" a="1"/>
  <c r="L136" i="5" s="1"/>
  <c r="N139" i="5"/>
  <c r="G139" i="5" a="1"/>
  <c r="G139" i="5" s="1"/>
  <c r="I141" i="5" a="1"/>
  <c r="I141" i="5" s="1"/>
  <c r="K143" i="5" a="1"/>
  <c r="K143" i="5" s="1"/>
  <c r="M145" i="5" a="1"/>
  <c r="M145" i="5" s="1"/>
  <c r="H148" i="5" a="1"/>
  <c r="H148" i="5" s="1"/>
  <c r="J150" i="5" a="1"/>
  <c r="J150" i="5" s="1"/>
  <c r="L152" i="5" a="1"/>
  <c r="L152" i="5" s="1"/>
  <c r="N155" i="5"/>
  <c r="G155" i="5" a="1"/>
  <c r="G155" i="5" s="1"/>
  <c r="I157" i="5" a="1"/>
  <c r="I157" i="5" s="1"/>
  <c r="K159" i="5" a="1"/>
  <c r="K159" i="5" s="1"/>
  <c r="M161" i="5" a="1"/>
  <c r="M161" i="5" s="1"/>
  <c r="H164" i="5" a="1"/>
  <c r="H164" i="5" s="1"/>
  <c r="J166" i="5" a="1"/>
  <c r="J166" i="5" s="1"/>
  <c r="L168" i="5" a="1"/>
  <c r="L168" i="5" s="1"/>
  <c r="G171" i="5" a="1"/>
  <c r="G171" i="5" s="1"/>
  <c r="N171" i="5"/>
  <c r="I173" i="5" a="1"/>
  <c r="I173" i="5" s="1"/>
  <c r="K175" i="5" a="1"/>
  <c r="K175" i="5" s="1"/>
  <c r="M177" i="5" a="1"/>
  <c r="M177" i="5" s="1"/>
  <c r="H180" i="5" a="1"/>
  <c r="H180" i="5" s="1"/>
  <c r="J182" i="5" a="1"/>
  <c r="J182" i="5" s="1"/>
  <c r="L184" i="5" a="1"/>
  <c r="L184" i="5" s="1"/>
  <c r="G187" i="5" a="1"/>
  <c r="G187" i="5" s="1"/>
  <c r="N187" i="5"/>
  <c r="I189" i="5" a="1"/>
  <c r="I189" i="5" s="1"/>
  <c r="K191" i="5" a="1"/>
  <c r="K191" i="5" s="1"/>
  <c r="M193" i="5" a="1"/>
  <c r="M193" i="5" s="1"/>
  <c r="H196" i="5" a="1"/>
  <c r="H196" i="5" s="1"/>
  <c r="J198" i="5" a="1"/>
  <c r="J198" i="5" s="1"/>
  <c r="L200" i="5" a="1"/>
  <c r="L200" i="5" s="1"/>
  <c r="G203" i="5" a="1"/>
  <c r="G203" i="5" s="1"/>
  <c r="N203" i="5"/>
  <c r="I205" i="5" a="1"/>
  <c r="I205" i="5" s="1"/>
  <c r="K207" i="5" a="1"/>
  <c r="K207" i="5" s="1"/>
  <c r="M209" i="5" a="1"/>
  <c r="M209" i="5" s="1"/>
  <c r="H212" i="5" a="1"/>
  <c r="H212" i="5" s="1"/>
  <c r="J214" i="5" a="1"/>
  <c r="J214" i="5" s="1"/>
  <c r="L216" i="5" a="1"/>
  <c r="L216" i="5" s="1"/>
  <c r="N219" i="5"/>
  <c r="G219" i="5" a="1"/>
  <c r="G219" i="5" s="1"/>
  <c r="I221" i="5" a="1"/>
  <c r="I221" i="5" s="1"/>
  <c r="K223" i="5" a="1"/>
  <c r="K223" i="5" s="1"/>
  <c r="M225" i="5" a="1"/>
  <c r="M225" i="5" s="1"/>
  <c r="H228" i="5" a="1"/>
  <c r="H228" i="5" s="1"/>
  <c r="J230" i="5" a="1"/>
  <c r="J230" i="5" s="1"/>
  <c r="L232" i="5" a="1"/>
  <c r="L232" i="5" s="1"/>
  <c r="N235" i="5"/>
  <c r="G235" i="5" a="1"/>
  <c r="G235" i="5" s="1"/>
  <c r="I237" i="5" a="1"/>
  <c r="I237" i="5" s="1"/>
  <c r="K239" i="5" a="1"/>
  <c r="K239" i="5" s="1"/>
  <c r="M241" i="5" a="1"/>
  <c r="M241" i="5" s="1"/>
  <c r="H244" i="5" a="1"/>
  <c r="H244" i="5" s="1"/>
  <c r="J246" i="5" a="1"/>
  <c r="J246" i="5" s="1"/>
  <c r="L248" i="5" a="1"/>
  <c r="L248" i="5" s="1"/>
  <c r="G251" i="5" a="1"/>
  <c r="G251" i="5" s="1"/>
  <c r="N251" i="5"/>
  <c r="I253" i="5" a="1"/>
  <c r="I253" i="5" s="1"/>
  <c r="K255" i="5" a="1"/>
  <c r="K255" i="5" s="1"/>
  <c r="M257" i="5" a="1"/>
  <c r="M257" i="5" s="1"/>
  <c r="H260" i="5" a="1"/>
  <c r="H260" i="5" s="1"/>
  <c r="J262" i="5" a="1"/>
  <c r="J262" i="5" s="1"/>
  <c r="L264" i="5" a="1"/>
  <c r="L264" i="5" s="1"/>
  <c r="N267" i="5"/>
  <c r="G267" i="5" a="1"/>
  <c r="G267" i="5" s="1"/>
  <c r="I269" i="5" a="1"/>
  <c r="I269" i="5" s="1"/>
  <c r="K271" i="5" a="1"/>
  <c r="K271" i="5" s="1"/>
  <c r="M273" i="5" a="1"/>
  <c r="M273" i="5" s="1"/>
  <c r="H276" i="5" a="1"/>
  <c r="H276" i="5" s="1"/>
  <c r="J278" i="5" a="1"/>
  <c r="J278" i="5" s="1"/>
  <c r="L280" i="5" a="1"/>
  <c r="L280" i="5" s="1"/>
  <c r="G283" i="5" a="1"/>
  <c r="G283" i="5" s="1"/>
  <c r="N283" i="5"/>
  <c r="I285" i="5" a="1"/>
  <c r="I285" i="5" s="1"/>
  <c r="K287" i="5" a="1"/>
  <c r="K287" i="5" s="1"/>
  <c r="M289" i="5" a="1"/>
  <c r="M289" i="5" s="1"/>
  <c r="H292" i="5" a="1"/>
  <c r="H292" i="5" s="1"/>
  <c r="J294" i="5" a="1"/>
  <c r="J294" i="5" s="1"/>
  <c r="L296" i="5" a="1"/>
  <c r="L296" i="5" s="1"/>
  <c r="N299" i="5"/>
  <c r="G299" i="5" a="1"/>
  <c r="G299" i="5" s="1"/>
  <c r="I301" i="5" a="1"/>
  <c r="I301" i="5" s="1"/>
  <c r="K303" i="5" a="1"/>
  <c r="K303" i="5" s="1"/>
  <c r="M305" i="5" a="1"/>
  <c r="M305" i="5" s="1"/>
  <c r="H308" i="5" a="1"/>
  <c r="H308" i="5" s="1"/>
  <c r="J310" i="5" a="1"/>
  <c r="J310" i="5" s="1"/>
  <c r="L312" i="5" a="1"/>
  <c r="L312" i="5" s="1"/>
  <c r="N315" i="5"/>
  <c r="G315" i="5" a="1"/>
  <c r="G315" i="5" s="1"/>
  <c r="I317" i="5" a="1"/>
  <c r="I317" i="5" s="1"/>
  <c r="K319" i="5" a="1"/>
  <c r="K319" i="5" s="1"/>
  <c r="M321" i="5" a="1"/>
  <c r="M321" i="5" s="1"/>
  <c r="H324" i="5" a="1"/>
  <c r="H324" i="5" s="1"/>
  <c r="J326" i="5" a="1"/>
  <c r="J326" i="5" s="1"/>
  <c r="L328" i="5" a="1"/>
  <c r="L328" i="5" s="1"/>
  <c r="G331" i="5" a="1"/>
  <c r="G331" i="5" s="1"/>
  <c r="N331" i="5"/>
  <c r="I333" i="5" a="1"/>
  <c r="I333" i="5" s="1"/>
  <c r="K335" i="5" a="1"/>
  <c r="K335" i="5" s="1"/>
  <c r="M337" i="5" a="1"/>
  <c r="M337" i="5" s="1"/>
  <c r="H340" i="5" a="1"/>
  <c r="H340" i="5" s="1"/>
  <c r="J342" i="5" a="1"/>
  <c r="J342" i="5" s="1"/>
  <c r="L344" i="5" a="1"/>
  <c r="L344" i="5" s="1"/>
  <c r="N347" i="5"/>
  <c r="G347" i="5" a="1"/>
  <c r="G347" i="5" s="1"/>
  <c r="I349" i="5" a="1"/>
  <c r="I349" i="5" s="1"/>
  <c r="K351" i="5" a="1"/>
  <c r="K351" i="5" s="1"/>
  <c r="M353" i="5" a="1"/>
  <c r="M353" i="5" s="1"/>
  <c r="H356" i="5" a="1"/>
  <c r="H356" i="5" s="1"/>
  <c r="J358" i="5" a="1"/>
  <c r="J358" i="5" s="1"/>
  <c r="L360" i="5" a="1"/>
  <c r="L360" i="5" s="1"/>
  <c r="G363" i="5" a="1"/>
  <c r="G363" i="5" s="1"/>
  <c r="N363" i="5"/>
  <c r="I365" i="5" a="1"/>
  <c r="I365" i="5" s="1"/>
  <c r="K367" i="5" a="1"/>
  <c r="K367" i="5" s="1"/>
  <c r="M369" i="5" a="1"/>
  <c r="M369" i="5" s="1"/>
  <c r="H372" i="5" a="1"/>
  <c r="H372" i="5" s="1"/>
  <c r="J374" i="5" a="1"/>
  <c r="J374" i="5" s="1"/>
  <c r="L376" i="5" a="1"/>
  <c r="L376" i="5" s="1"/>
  <c r="N379" i="5"/>
  <c r="G379" i="5" a="1"/>
  <c r="G379" i="5" s="1"/>
  <c r="I381" i="5" a="1"/>
  <c r="I381" i="5" s="1"/>
  <c r="K383" i="5" a="1"/>
  <c r="K383" i="5" s="1"/>
  <c r="M385" i="5" a="1"/>
  <c r="M385" i="5" s="1"/>
  <c r="H388" i="5" a="1"/>
  <c r="H388" i="5" s="1"/>
  <c r="J390" i="5" a="1"/>
  <c r="J390" i="5" s="1"/>
  <c r="L392" i="5" a="1"/>
  <c r="L392" i="5" s="1"/>
  <c r="N395" i="5"/>
  <c r="G395" i="5" a="1"/>
  <c r="G395" i="5" s="1"/>
  <c r="I397" i="5" a="1"/>
  <c r="I397" i="5" s="1"/>
  <c r="K399" i="5" a="1"/>
  <c r="K399" i="5" s="1"/>
  <c r="M401" i="5" a="1"/>
  <c r="M401" i="5" s="1"/>
  <c r="H404" i="5" a="1"/>
  <c r="H404" i="5" s="1"/>
  <c r="J406" i="5" a="1"/>
  <c r="J406" i="5" s="1"/>
  <c r="L408" i="5" a="1"/>
  <c r="L408" i="5" s="1"/>
  <c r="N411" i="5"/>
  <c r="G411" i="5" a="1"/>
  <c r="G411" i="5" s="1"/>
  <c r="I413" i="5" a="1"/>
  <c r="I413" i="5" s="1"/>
  <c r="K415" i="5" a="1"/>
  <c r="K415" i="5" s="1"/>
  <c r="M417" i="5" a="1"/>
  <c r="M417" i="5" s="1"/>
  <c r="H420" i="5" a="1"/>
  <c r="H420" i="5" s="1"/>
  <c r="J422" i="5" a="1"/>
  <c r="J422" i="5" s="1"/>
  <c r="L424" i="5" a="1"/>
  <c r="L424" i="5" s="1"/>
  <c r="G427" i="5" a="1"/>
  <c r="G427" i="5" s="1"/>
  <c r="N427" i="5"/>
  <c r="I429" i="5" a="1"/>
  <c r="I429" i="5" s="1"/>
  <c r="K431" i="5" a="1"/>
  <c r="K431" i="5" s="1"/>
  <c r="M433" i="5" a="1"/>
  <c r="M433" i="5" s="1"/>
  <c r="H436" i="5" a="1"/>
  <c r="H436" i="5" s="1"/>
  <c r="J438" i="5" a="1"/>
  <c r="J438" i="5" s="1"/>
  <c r="L440" i="5" a="1"/>
  <c r="L440" i="5" s="1"/>
  <c r="N443" i="5"/>
  <c r="G443" i="5" a="1"/>
  <c r="G443" i="5" s="1"/>
  <c r="I445" i="5" a="1"/>
  <c r="I445" i="5" s="1"/>
  <c r="K447" i="5" a="1"/>
  <c r="K447" i="5" s="1"/>
  <c r="M449" i="5" a="1"/>
  <c r="M449" i="5" s="1"/>
  <c r="H452" i="5" a="1"/>
  <c r="H452" i="5" s="1"/>
  <c r="J454" i="5" a="1"/>
  <c r="J454" i="5" s="1"/>
  <c r="L456" i="5" a="1"/>
  <c r="L456" i="5" s="1"/>
  <c r="G459" i="5" a="1"/>
  <c r="G459" i="5" s="1"/>
  <c r="N459" i="5"/>
  <c r="I461" i="5" a="1"/>
  <c r="I461" i="5" s="1"/>
  <c r="K463" i="5" a="1"/>
  <c r="K463" i="5" s="1"/>
  <c r="M465" i="5" a="1"/>
  <c r="M465" i="5" s="1"/>
  <c r="H468" i="5" a="1"/>
  <c r="H468" i="5" s="1"/>
  <c r="J470" i="5" a="1"/>
  <c r="J470" i="5" s="1"/>
  <c r="L472" i="5" a="1"/>
  <c r="L472" i="5" s="1"/>
  <c r="N475" i="5"/>
  <c r="G475" i="5" a="1"/>
  <c r="G475" i="5" s="1"/>
  <c r="I477" i="5" a="1"/>
  <c r="I477" i="5" s="1"/>
  <c r="K479" i="5" a="1"/>
  <c r="K479" i="5" s="1"/>
  <c r="M481" i="5" a="1"/>
  <c r="M481" i="5" s="1"/>
  <c r="H484" i="5" a="1"/>
  <c r="H484" i="5" s="1"/>
  <c r="J486" i="5" a="1"/>
  <c r="J486" i="5" s="1"/>
  <c r="L488" i="5" a="1"/>
  <c r="L488" i="5" s="1"/>
  <c r="N491" i="5"/>
  <c r="G491" i="5" a="1"/>
  <c r="G491" i="5" s="1"/>
  <c r="I493" i="5" a="1"/>
  <c r="I493" i="5" s="1"/>
  <c r="K495" i="5" a="1"/>
  <c r="K495" i="5" s="1"/>
  <c r="M497" i="5" a="1"/>
  <c r="M497" i="5" s="1"/>
  <c r="H500" i="5" a="1"/>
  <c r="H500" i="5" s="1"/>
  <c r="J502" i="5" a="1"/>
  <c r="J502" i="5" s="1"/>
  <c r="L504" i="5" a="1"/>
  <c r="L504" i="5" s="1"/>
  <c r="N507" i="5"/>
  <c r="G507" i="5" a="1"/>
  <c r="G507" i="5" s="1"/>
  <c r="I509" i="5" a="1"/>
  <c r="I509" i="5" s="1"/>
  <c r="K511" i="5" a="1"/>
  <c r="K511" i="5" s="1"/>
  <c r="M513" i="5" a="1"/>
  <c r="M513" i="5" s="1"/>
  <c r="H516" i="5" a="1"/>
  <c r="H516" i="5" s="1"/>
  <c r="J518" i="5" a="1"/>
  <c r="J518" i="5" s="1"/>
  <c r="L520" i="5" a="1"/>
  <c r="L520" i="5" s="1"/>
  <c r="N523" i="5"/>
  <c r="I525" i="5" a="1"/>
  <c r="I525" i="5" s="1"/>
  <c r="K527" i="5" a="1"/>
  <c r="K527" i="5" s="1"/>
  <c r="M529" i="5" a="1"/>
  <c r="M529" i="5" s="1"/>
  <c r="H532" i="5" a="1"/>
  <c r="H532" i="5" s="1"/>
  <c r="J534" i="5" a="1"/>
  <c r="J534" i="5" s="1"/>
  <c r="L536" i="5" a="1"/>
  <c r="L536" i="5" s="1"/>
  <c r="G539" i="5" a="1"/>
  <c r="G539" i="5" s="1"/>
  <c r="N539" i="5"/>
  <c r="I541" i="5" a="1"/>
  <c r="I541" i="5" s="1"/>
  <c r="K543" i="5" a="1"/>
  <c r="K543" i="5" s="1"/>
  <c r="M545" i="5" a="1"/>
  <c r="M545" i="5" s="1"/>
  <c r="H548" i="5" a="1"/>
  <c r="H548" i="5" s="1"/>
  <c r="J550" i="5" a="1"/>
  <c r="J550" i="5" s="1"/>
  <c r="L552" i="5" a="1"/>
  <c r="L552" i="5" s="1"/>
  <c r="N555" i="5"/>
  <c r="G555" i="5" a="1"/>
  <c r="G555" i="5" s="1"/>
  <c r="I557" i="5" a="1"/>
  <c r="I557" i="5" s="1"/>
  <c r="K559" i="5" a="1"/>
  <c r="K559" i="5" s="1"/>
  <c r="M561" i="5" a="1"/>
  <c r="M561" i="5" s="1"/>
  <c r="H564" i="5" a="1"/>
  <c r="H564" i="5" s="1"/>
  <c r="J566" i="5" a="1"/>
  <c r="J566" i="5" s="1"/>
  <c r="L568" i="5" a="1"/>
  <c r="L568" i="5" s="1"/>
  <c r="N571" i="5"/>
  <c r="G571" i="5" a="1"/>
  <c r="G571" i="5" s="1"/>
  <c r="I573" i="5" a="1"/>
  <c r="I573" i="5" s="1"/>
  <c r="K575" i="5" a="1"/>
  <c r="K575" i="5" s="1"/>
  <c r="N587" i="5"/>
  <c r="N603" i="5"/>
  <c r="N619" i="5"/>
  <c r="N635" i="5"/>
  <c r="N651" i="5"/>
  <c r="G1" i="5"/>
  <c r="H1" i="5"/>
  <c r="I1" i="5"/>
  <c r="J1" i="5"/>
  <c r="K1" i="5"/>
  <c r="L1" i="5"/>
  <c r="M1" i="5"/>
  <c r="H569" i="5" a="1"/>
  <c r="H569" i="5" s="1"/>
  <c r="G581" i="4"/>
  <c r="G569" i="5" s="1" a="1"/>
  <c r="G569" i="5" s="1"/>
  <c r="N569" i="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futureMetadata>
  <cellMetadata count="1">
    <bk>
      <rc t="1" v="0"/>
    </bk>
  </cellMetadata>
  <valueMetadata count="3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valueMetadata>
</metadata>
</file>

<file path=xl/sharedStrings.xml><?xml version="1.0" encoding="utf-8"?>
<sst xmlns="http://schemas.openxmlformats.org/spreadsheetml/2006/main" count="9607" uniqueCount="1544">
  <si>
    <t>Dex Number</t>
  </si>
  <si>
    <t>Name</t>
  </si>
  <si>
    <t>Type 1</t>
  </si>
  <si>
    <t>Type 2</t>
  </si>
  <si>
    <t>Ability 1</t>
  </si>
  <si>
    <t>Ability 2</t>
  </si>
  <si>
    <t>HP</t>
  </si>
  <si>
    <t>Attack</t>
  </si>
  <si>
    <t>Defense</t>
  </si>
  <si>
    <t>Sp.Attack</t>
  </si>
  <si>
    <t>Sp.Defense</t>
  </si>
  <si>
    <t>Speed</t>
  </si>
  <si>
    <t>Total</t>
  </si>
  <si>
    <t>Bulbasaur</t>
  </si>
  <si>
    <t>Grass</t>
  </si>
  <si>
    <t>Poison</t>
  </si>
  <si>
    <t>Overgrow</t>
  </si>
  <si>
    <t>Chlorophyll</t>
  </si>
  <si>
    <t>Ivysaur</t>
  </si>
  <si>
    <t>Venusaur</t>
  </si>
  <si>
    <t>Charmander</t>
  </si>
  <si>
    <t>Fire</t>
  </si>
  <si>
    <t>Blaze</t>
  </si>
  <si>
    <t>Drought</t>
  </si>
  <si>
    <t>Charmeleon</t>
  </si>
  <si>
    <t>Charizard</t>
  </si>
  <si>
    <t>Flying</t>
  </si>
  <si>
    <t>Squirtle</t>
  </si>
  <si>
    <t>Water</t>
  </si>
  <si>
    <t>Torrent</t>
  </si>
  <si>
    <t>Filter</t>
  </si>
  <si>
    <t>Wartortle</t>
  </si>
  <si>
    <t>Blastoise</t>
  </si>
  <si>
    <t>Caterpie</t>
  </si>
  <si>
    <t>Bug</t>
  </si>
  <si>
    <t>Metapod</t>
  </si>
  <si>
    <t>Butterfree</t>
  </si>
  <si>
    <t>Weedle</t>
  </si>
  <si>
    <t>Kakuna</t>
  </si>
  <si>
    <t>Beedrill</t>
  </si>
  <si>
    <t>Pidgey</t>
  </si>
  <si>
    <t>Normal</t>
  </si>
  <si>
    <t>Pidgeotto</t>
  </si>
  <si>
    <t>Pidgeot</t>
  </si>
  <si>
    <t>Rattata</t>
  </si>
  <si>
    <t>Raticate</t>
  </si>
  <si>
    <t>Spearow</t>
  </si>
  <si>
    <t>Fearow</t>
  </si>
  <si>
    <t>Ekans</t>
  </si>
  <si>
    <t>Arbok</t>
  </si>
  <si>
    <t>Pikachu</t>
  </si>
  <si>
    <t>Electric</t>
  </si>
  <si>
    <t>Raichu</t>
  </si>
  <si>
    <t>Sandshrew</t>
  </si>
  <si>
    <t>Ground</t>
  </si>
  <si>
    <t>Sandslash</t>
  </si>
  <si>
    <t>Nidoran♀</t>
  </si>
  <si>
    <t>Nidorina</t>
  </si>
  <si>
    <t>Nidoqueen</t>
  </si>
  <si>
    <t>Nidoran♂</t>
  </si>
  <si>
    <t>Nidorino</t>
  </si>
  <si>
    <t>Nidoking</t>
  </si>
  <si>
    <t>Clefairy</t>
  </si>
  <si>
    <t>Clefable</t>
  </si>
  <si>
    <t>Vulpix</t>
  </si>
  <si>
    <t>Ninetales</t>
  </si>
  <si>
    <t>Jigglypuff</t>
  </si>
  <si>
    <t>Wigglytuff</t>
  </si>
  <si>
    <t>Zubat</t>
  </si>
  <si>
    <t>Golbat</t>
  </si>
  <si>
    <t>Oddish</t>
  </si>
  <si>
    <t>Gloom</t>
  </si>
  <si>
    <t>Vileplume</t>
  </si>
  <si>
    <t>Paras</t>
  </si>
  <si>
    <t>Parasect</t>
  </si>
  <si>
    <t>Venonat</t>
  </si>
  <si>
    <t>Venomoth</t>
  </si>
  <si>
    <t>Diglett</t>
  </si>
  <si>
    <t>Dugtrio</t>
  </si>
  <si>
    <t>Meowth</t>
  </si>
  <si>
    <t>Persian</t>
  </si>
  <si>
    <t>Psyduck</t>
  </si>
  <si>
    <t>Golduck</t>
  </si>
  <si>
    <t>Mankey</t>
  </si>
  <si>
    <t>Fighting</t>
  </si>
  <si>
    <t>Primeape</t>
  </si>
  <si>
    <t>Growlithe</t>
  </si>
  <si>
    <t>Arcanine</t>
  </si>
  <si>
    <t>Poliwag</t>
  </si>
  <si>
    <t>Poliwhirl</t>
  </si>
  <si>
    <t>Poliwrath</t>
  </si>
  <si>
    <t>Abra</t>
  </si>
  <si>
    <t>Psychic</t>
  </si>
  <si>
    <t>Kadabra</t>
  </si>
  <si>
    <t>Alakazam</t>
  </si>
  <si>
    <t>Machop</t>
  </si>
  <si>
    <t>Machoke</t>
  </si>
  <si>
    <t>Machamp</t>
  </si>
  <si>
    <t>Bellsprout</t>
  </si>
  <si>
    <t>Weepinbell</t>
  </si>
  <si>
    <t>Victreebel</t>
  </si>
  <si>
    <t>Tentacool</t>
  </si>
  <si>
    <t>Tentacruel</t>
  </si>
  <si>
    <t>Geodude</t>
  </si>
  <si>
    <t>Rock</t>
  </si>
  <si>
    <t>Graveler</t>
  </si>
  <si>
    <t>Golem</t>
  </si>
  <si>
    <t>Ponyta</t>
  </si>
  <si>
    <t>Rapidash</t>
  </si>
  <si>
    <t>Slowpoke</t>
  </si>
  <si>
    <t>Slowbro</t>
  </si>
  <si>
    <t>Magnemite</t>
  </si>
  <si>
    <t>Steel</t>
  </si>
  <si>
    <t>Magneton</t>
  </si>
  <si>
    <t>Farfetch'd</t>
  </si>
  <si>
    <t>Doduo</t>
  </si>
  <si>
    <t>Dodrio</t>
  </si>
  <si>
    <t>Seel</t>
  </si>
  <si>
    <t>Dewgong</t>
  </si>
  <si>
    <t>Ice</t>
  </si>
  <si>
    <t>Grimer</t>
  </si>
  <si>
    <t>Muk</t>
  </si>
  <si>
    <t>Shellder</t>
  </si>
  <si>
    <t>Cloyster</t>
  </si>
  <si>
    <t>Gastly</t>
  </si>
  <si>
    <t>Ghost</t>
  </si>
  <si>
    <t>Haunter</t>
  </si>
  <si>
    <t>Gengar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</si>
  <si>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</si>
  <si>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</si>
  <si>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</si>
  <si>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</si>
  <si>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</si>
  <si>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</si>
  <si>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</si>
  <si>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</si>
  <si>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</si>
  <si>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</si>
  <si>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</si>
  <si>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</si>
  <si>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</si>
  <si>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</si>
  <si>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</si>
  <si>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</si>
  <si>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</si>
  <si>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</si>
  <si>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</si>
  <si>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</si>
  <si>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</si>
  <si>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</si>
  <si>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</si>
  <si>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</si>
  <si>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</si>
  <si>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</si>
  <si>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</si>
  <si>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Mr. Mime</t>
  </si>
  <si>
    <t>Scyther</t>
  </si>
  <si>
    <t>Jynx</t>
  </si>
  <si>
    <t>Electabuzz</t>
  </si>
  <si>
    <t>Magmar</t>
  </si>
  <si>
    <t>Pinsir</t>
  </si>
  <si>
    <t>Tauros</t>
  </si>
  <si>
    <t>Magikarp</t>
  </si>
  <si>
    <t>Gyarados</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</si>
  <si>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</si>
  <si>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</si>
  <si>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</si>
  <si>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</si>
  <si>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</si>
  <si>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</si>
  <si>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</si>
  <si>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</si>
  <si>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</si>
  <si>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</si>
  <si>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</si>
  <si>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</si>
  <si>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</si>
  <si>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</si>
  <si>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</si>
  <si>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</si>
  <si>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</si>
  <si>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Dragon</t>
  </si>
  <si>
    <t>Dragonair</t>
  </si>
  <si>
    <t>Dragonite</t>
  </si>
  <si>
    <t>Mewtwo</t>
  </si>
  <si>
    <t>Mew</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</si>
  <si>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</si>
  <si>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</si>
  <si>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</si>
  <si>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</si>
  <si>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</si>
  <si>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</si>
  <si>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</si>
  <si>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</si>
  <si>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</si>
  <si>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</si>
  <si>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</si>
  <si>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</si>
  <si>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</si>
  <si>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</si>
  <si>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</si>
  <si>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</si>
  <si>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</si>
  <si>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</si>
  <si>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</si>
  <si>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</si>
  <si>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</si>
  <si>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</si>
  <si>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</si>
  <si>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</si>
  <si>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</si>
  <si>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</si>
  <si>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</si>
  <si>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</si>
  <si>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</si>
  <si>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</si>
  <si>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Bellossom</t>
  </si>
  <si>
    <t>Marill</t>
  </si>
  <si>
    <t>Azumarill</t>
  </si>
  <si>
    <t>Sudowoodo</t>
  </si>
  <si>
    <t>Politoed</t>
  </si>
  <si>
    <t>Hoppip</t>
  </si>
  <si>
    <t>Skiploom</t>
  </si>
  <si>
    <t>Jumpluff</t>
  </si>
  <si>
    <t>Aipom</t>
  </si>
  <si>
    <t>Sunkern</t>
  </si>
  <si>
    <t>Sunflora</t>
  </si>
  <si>
    <t>Yanma</t>
  </si>
  <si>
    <t>Wooper</t>
  </si>
  <si>
    <t>Quagsire</t>
  </si>
  <si>
    <t>Espeon</t>
  </si>
  <si>
    <t>Umbreon</t>
  </si>
  <si>
    <t>Dark</t>
  </si>
  <si>
    <t>Murkrow</t>
  </si>
  <si>
    <t>Slowking</t>
  </si>
  <si>
    <t>Misdreavus</t>
  </si>
  <si>
    <t>Unown</t>
  </si>
  <si>
    <t>Wobbuffet</t>
  </si>
  <si>
    <t>Girafarig</t>
  </si>
  <si>
    <t>Pineco</t>
  </si>
  <si>
    <t>Forretress</t>
  </si>
  <si>
    <t>Dunsparce</t>
  </si>
  <si>
    <t>Gligar</t>
  </si>
  <si>
    <t>Steelix</t>
  </si>
  <si>
    <t>Snubbull</t>
  </si>
  <si>
    <t>Granbull</t>
  </si>
  <si>
    <t>Qwilfish</t>
  </si>
  <si>
    <t>Scizor</t>
  </si>
  <si>
    <t>Shuckle</t>
  </si>
  <si>
    <t>Heracross</t>
  </si>
  <si>
    <t>Sneasel</t>
  </si>
  <si>
    <t>Teddiursa</t>
  </si>
  <si>
    <t>Ursaring</t>
  </si>
  <si>
    <t>Slugma</t>
  </si>
  <si>
    <t>Magcargo</t>
  </si>
  <si>
    <t>Swinub</t>
  </si>
  <si>
    <t>Piloswine</t>
  </si>
  <si>
    <t>Corsola</t>
  </si>
  <si>
    <t>Remoraid</t>
  </si>
  <si>
    <t>Octillery</t>
  </si>
  <si>
    <t>Delibird</t>
  </si>
  <si>
    <t>Mantine</t>
  </si>
  <si>
    <t>Skarmory</t>
  </si>
  <si>
    <t>Houndour</t>
  </si>
  <si>
    <t>Houndoom</t>
  </si>
  <si>
    <t>Kingdra</t>
  </si>
  <si>
    <t>Phanpy</t>
  </si>
  <si>
    <t>Donphan</t>
  </si>
  <si>
    <t>Porygon2</t>
  </si>
  <si>
    <t>Stantler</t>
  </si>
  <si>
    <t>Smeargle</t>
  </si>
  <si>
    <t>Tyrogue</t>
  </si>
  <si>
    <t>Hitmontop</t>
  </si>
  <si>
    <t>Smoochum</t>
  </si>
  <si>
    <t>Elekid</t>
  </si>
  <si>
    <t>Magby</t>
  </si>
  <si>
    <t>Miltank</t>
  </si>
  <si>
    <t>Blissey</t>
  </si>
  <si>
    <t>Raikou</t>
  </si>
  <si>
    <t>Entei</t>
  </si>
  <si>
    <t>Suicune</t>
  </si>
  <si>
    <t>Larvitar</t>
  </si>
  <si>
    <t>Pupitar</t>
  </si>
  <si>
    <t>Tyranitar</t>
  </si>
  <si>
    <t>Lugia</t>
  </si>
  <si>
    <t>Ho-oh</t>
  </si>
  <si>
    <t>Celebi</t>
  </si>
  <si>
    <t>Treecko</t>
  </si>
  <si>
    <t>Grovyle</t>
  </si>
  <si>
    <t>Sceptile</t>
  </si>
  <si>
    <t>Torchic</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</si>
  <si>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</si>
  <si>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</si>
  <si>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</si>
  <si>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</si>
  <si>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</si>
  <si>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</si>
  <si>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</si>
  <si>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</si>
  <si>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</si>
  <si>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</si>
  <si>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</si>
  <si>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</si>
  <si>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</si>
  <si>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</si>
  <si>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</si>
  <si>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</si>
  <si>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</si>
  <si>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</si>
  <si>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</si>
  <si>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</si>
  <si>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</si>
  <si>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</si>
  <si>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</si>
  <si>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Pelipper</t>
  </si>
  <si>
    <t>Ralts</t>
  </si>
  <si>
    <t>Kirlia</t>
  </si>
  <si>
    <t>Gardevoir</t>
  </si>
  <si>
    <t>Surskit</t>
  </si>
  <si>
    <t>Masquerain</t>
  </si>
  <si>
    <t>Shroomish</t>
  </si>
  <si>
    <t>Breloom</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</si>
  <si>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</si>
  <si>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</si>
  <si>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</si>
  <si>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</si>
  <si>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</si>
  <si>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</si>
  <si>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</si>
  <si>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</si>
  <si>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</si>
  <si>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</si>
  <si>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</si>
  <si>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</si>
  <si>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</si>
  <si>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</si>
  <si>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</si>
  <si>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</si>
  <si>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</si>
  <si>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</si>
  <si>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</si>
  <si>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</si>
  <si>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</si>
  <si>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</si>
  <si>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</si>
  <si>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</si>
  <si>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</si>
  <si>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</si>
  <si>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</si>
  <si>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</si>
  <si>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</si>
  <si>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Gulpin</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</si>
  <si>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</si>
  <si>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</si>
  <si>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</si>
  <si>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</si>
  <si>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</si>
  <si>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</si>
  <si>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</si>
  <si>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</si>
  <si>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</si>
  <si>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</si>
  <si>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</si>
  <si>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</si>
  <si>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</si>
  <si>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</si>
  <si>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</si>
  <si>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</si>
  <si>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</si>
  <si>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</si>
  <si>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</si>
  <si>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</si>
  <si>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</si>
  <si>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</si>
  <si>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</si>
  <si>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</si>
  <si>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</si>
  <si>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</si>
  <si>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</si>
  <si>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</si>
  <si>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</si>
  <si>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</si>
  <si>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</si>
  <si>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</si>
  <si>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Feebas</t>
  </si>
  <si>
    <t>Milotic</t>
  </si>
  <si>
    <t>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</si>
  <si>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</si>
  <si>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</si>
  <si>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</si>
  <si>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</si>
  <si>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</si>
  <si>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</si>
  <si>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</si>
  <si>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</si>
  <si>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</si>
  <si>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</si>
  <si>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</si>
  <si>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</si>
  <si>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</si>
  <si>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</si>
  <si>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</si>
  <si>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</si>
  <si>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</si>
  <si>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</si>
  <si>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</si>
  <si>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</si>
  <si>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</si>
  <si>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Salamence</t>
  </si>
  <si>
    <t>Beldum</t>
  </si>
  <si>
    <t>Metang</t>
  </si>
  <si>
    <t>Metagross</t>
  </si>
  <si>
    <t>Regirock</t>
  </si>
  <si>
    <t>Regice</t>
  </si>
  <si>
    <t>Registeel</t>
  </si>
  <si>
    <t>Latias</t>
  </si>
  <si>
    <t>Latios</t>
  </si>
  <si>
    <t>Kyogre</t>
  </si>
  <si>
    <t>Groudon</t>
  </si>
  <si>
    <t>Rayquaza</t>
  </si>
  <si>
    <t>Jirachi</t>
  </si>
  <si>
    <t>Deoxys</t>
  </si>
  <si>
    <t>Turtwig</t>
  </si>
  <si>
    <t>Grotle</t>
  </si>
  <si>
    <t>Torterra</t>
  </si>
  <si>
    <t>Chimchar</t>
  </si>
  <si>
    <t>Monferno</t>
  </si>
  <si>
    <t>Infernape</t>
  </si>
  <si>
    <t>Piplup</t>
  </si>
  <si>
    <t>Prinplup</t>
  </si>
  <si>
    <t>Empoleon</t>
  </si>
  <si>
    <t>Starly</t>
  </si>
  <si>
    <t>Staravia</t>
  </si>
  <si>
    <t>Staraptor</t>
  </si>
  <si>
    <t>Bidoof</t>
  </si>
  <si>
    <t>Bibarel</t>
  </si>
  <si>
    <t>Kricketot</t>
  </si>
  <si>
    <t>Kricketune</t>
  </si>
  <si>
    <t>Shinx</t>
  </si>
  <si>
    <t>Luxio</t>
  </si>
  <si>
    <t>Luxray</t>
  </si>
  <si>
    <t>Budew</t>
  </si>
  <si>
    <t>Roserade</t>
  </si>
  <si>
    <t>Cranidos</t>
  </si>
  <si>
    <t>Rampardos</t>
  </si>
  <si>
    <t>Shieldon</t>
  </si>
  <si>
    <t>Bastiodon</t>
  </si>
  <si>
    <t>Burmy</t>
  </si>
  <si>
    <t>Wormadam</t>
  </si>
  <si>
    <t>Mothim</t>
  </si>
  <si>
    <t>Combee</t>
  </si>
  <si>
    <t>Vespiquen</t>
  </si>
  <si>
    <t>Pachirisu</t>
  </si>
  <si>
    <t>Buizel</t>
  </si>
  <si>
    <t>Floatzel</t>
  </si>
  <si>
    <t>Cherubi</t>
  </si>
  <si>
    <t>Cherrim</t>
  </si>
  <si>
    <t>Shellos</t>
  </si>
  <si>
    <t>Gastrodon</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</si>
  <si>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</si>
  <si>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</si>
  <si>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</si>
  <si>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</si>
  <si>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</si>
  <si>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</si>
  <si>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</si>
  <si>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</si>
  <si>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</si>
  <si>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</si>
  <si>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</si>
  <si>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</si>
  <si>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</si>
  <si>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</si>
  <si>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</si>
  <si>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</si>
  <si>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</si>
  <si>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</si>
  <si>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</si>
  <si>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</si>
  <si>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</si>
  <si>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Garchomp</t>
  </si>
  <si>
    <t>Munchlax</t>
  </si>
  <si>
    <t>Riolu</t>
  </si>
  <si>
    <t>Lucario</t>
  </si>
  <si>
    <t>Hippopotas</t>
  </si>
  <si>
    <t>Hippowdon</t>
  </si>
  <si>
    <t>Skorupi</t>
  </si>
  <si>
    <t>Drapion</t>
  </si>
  <si>
    <t>Croagunk</t>
  </si>
  <si>
    <t>Toxicroak</t>
  </si>
  <si>
    <t>Carnivine</t>
  </si>
  <si>
    <t>Finneon</t>
  </si>
  <si>
    <t>Lumineon</t>
  </si>
  <si>
    <t>Mantyke</t>
  </si>
  <si>
    <t>Snover</t>
  </si>
  <si>
    <t>Abomasnow</t>
  </si>
  <si>
    <t>Weavile</t>
  </si>
  <si>
    <t>Magnezone</t>
  </si>
  <si>
    <t>Lickilicky</t>
  </si>
  <si>
    <t>Rhyperior</t>
  </si>
  <si>
    <t>Tangrowth</t>
  </si>
  <si>
    <t>Electivire</t>
  </si>
  <si>
    <t>Magmortar</t>
  </si>
  <si>
    <t>Togekiss</t>
  </si>
  <si>
    <t>Yanmega</t>
  </si>
  <si>
    <t>Leafeon</t>
  </si>
  <si>
    <t>Glaceon</t>
  </si>
  <si>
    <t>Gliscor</t>
  </si>
  <si>
    <t>Mamoswine</t>
  </si>
  <si>
    <t>Porygon-Z</t>
  </si>
  <si>
    <t>Gallade</t>
  </si>
  <si>
    <t>Probopass</t>
  </si>
  <si>
    <t>Dusknoir</t>
  </si>
  <si>
    <t>Froslass</t>
  </si>
  <si>
    <t>Rotom</t>
  </si>
  <si>
    <t>Uxie</t>
  </si>
  <si>
    <t>Mesprit</t>
  </si>
  <si>
    <t>Azelf</t>
  </si>
  <si>
    <t>Dialga</t>
  </si>
  <si>
    <t>Palkia</t>
  </si>
  <si>
    <t>Heatran</t>
  </si>
  <si>
    <t>Regigigas</t>
  </si>
  <si>
    <t>Giratina</t>
  </si>
  <si>
    <t>Cresselia</t>
  </si>
  <si>
    <t>Phione</t>
  </si>
  <si>
    <t>Manaphy</t>
  </si>
  <si>
    <t>Darkrai</t>
  </si>
  <si>
    <t>Shaymin</t>
  </si>
  <si>
    <t>Arceus</t>
  </si>
  <si>
    <t>Originally from Pokemon DB</t>
  </si>
  <si>
    <t>Stat Changes are also accompanied by an arrow, going up or down based on the change.</t>
  </si>
  <si>
    <t>You can only sort by Dex and Name in this.</t>
  </si>
  <si>
    <t>Use the 'Changed' sheet if you want to sort by column.</t>
  </si>
  <si>
    <t>e.g. find the mon with the highest attack</t>
  </si>
  <si>
    <t>If you have a better way of doing this instead of having 3 indentical tables and stuff please lmk</t>
  </si>
  <si>
    <t>Discord: .rizi.</t>
  </si>
  <si>
    <t>Shield Dust</t>
  </si>
  <si>
    <t>Shed Skin</t>
  </si>
  <si>
    <t>Compound Eyes</t>
  </si>
  <si>
    <t>Swarm</t>
  </si>
  <si>
    <t>Keen Eye</t>
  </si>
  <si>
    <t>Tangled Feet</t>
  </si>
  <si>
    <t>Run Away</t>
  </si>
  <si>
    <t>Guts</t>
  </si>
  <si>
    <t xml:space="preserve">Intimidate </t>
  </si>
  <si>
    <t>Static</t>
  </si>
  <si>
    <t>Sand Veil</t>
  </si>
  <si>
    <t>Poison Point</t>
  </si>
  <si>
    <t>Rivalry</t>
  </si>
  <si>
    <t>Cute Charm</t>
  </si>
  <si>
    <t>Magic Guard</t>
  </si>
  <si>
    <t>Flash Fire</t>
  </si>
  <si>
    <t>Inner Focus</t>
  </si>
  <si>
    <t>Effect Spore</t>
  </si>
  <si>
    <t>Dry Skin</t>
  </si>
  <si>
    <t>Tinted Lens</t>
  </si>
  <si>
    <t>Arena Trap</t>
  </si>
  <si>
    <t xml:space="preserve">Pickup </t>
  </si>
  <si>
    <t>Technician</t>
  </si>
  <si>
    <t>Limber</t>
  </si>
  <si>
    <t>Damp</t>
  </si>
  <si>
    <t>Cloud Nine</t>
  </si>
  <si>
    <t>Vital Spirit</t>
  </si>
  <si>
    <t>Anger Point</t>
  </si>
  <si>
    <t>Water Absorb</t>
  </si>
  <si>
    <t xml:space="preserve">Synchronize </t>
  </si>
  <si>
    <t>No Guard</t>
  </si>
  <si>
    <t>Clear Body</t>
  </si>
  <si>
    <t>Liquid Ooze</t>
  </si>
  <si>
    <t>Rock Head</t>
  </si>
  <si>
    <t>Sturdy</t>
  </si>
  <si>
    <t>Oblivious</t>
  </si>
  <si>
    <t>Own Tempo</t>
  </si>
  <si>
    <t>Manget Pull</t>
  </si>
  <si>
    <t>Early Bird</t>
  </si>
  <si>
    <t>Thick Fat</t>
  </si>
  <si>
    <t>Hydration</t>
  </si>
  <si>
    <t>Stench</t>
  </si>
  <si>
    <t>Sticky Hold</t>
  </si>
  <si>
    <t>Shell Armor</t>
  </si>
  <si>
    <t>Skill Link</t>
  </si>
  <si>
    <t>Levitate</t>
  </si>
  <si>
    <t>Insomnia</t>
  </si>
  <si>
    <t>Forewarn</t>
  </si>
  <si>
    <t>Hyper Cutter</t>
  </si>
  <si>
    <t>Soundproof</t>
  </si>
  <si>
    <t>Lightning Rod</t>
  </si>
  <si>
    <t xml:space="preserve">Limber </t>
  </si>
  <si>
    <t>Reckless</t>
  </si>
  <si>
    <t>Iron Fist</t>
  </si>
  <si>
    <t>Natural Cure</t>
  </si>
  <si>
    <t>Serence Grace</t>
  </si>
  <si>
    <t>Leaf Guard</t>
  </si>
  <si>
    <t>Scrappy</t>
  </si>
  <si>
    <t>Swift Swim</t>
  </si>
  <si>
    <t>Sniper</t>
  </si>
  <si>
    <t>Water Veil</t>
  </si>
  <si>
    <t>Illuminate</t>
  </si>
  <si>
    <t>Flame Body</t>
  </si>
  <si>
    <t>Mold Breaker</t>
  </si>
  <si>
    <t>Adaptability</t>
  </si>
  <si>
    <t>Volt Absorb</t>
  </si>
  <si>
    <t>Trace</t>
  </si>
  <si>
    <t>Download</t>
  </si>
  <si>
    <t>Battle Armor</t>
  </si>
  <si>
    <t>Pressure</t>
  </si>
  <si>
    <t>Immunity</t>
  </si>
  <si>
    <t>Shed skin</t>
  </si>
  <si>
    <t>Hustle</t>
  </si>
  <si>
    <t>Huge Power</t>
  </si>
  <si>
    <t>Pickup</t>
  </si>
  <si>
    <t>Solar Power</t>
  </si>
  <si>
    <t>Speed Boost</t>
  </si>
  <si>
    <t>Super Luck</t>
  </si>
  <si>
    <t>Shadow Tag</t>
  </si>
  <si>
    <t>Serene Grace</t>
  </si>
  <si>
    <t>Quick Feet</t>
  </si>
  <si>
    <t>Gluttony</t>
  </si>
  <si>
    <t>Magma Armor</t>
  </si>
  <si>
    <t>Snow Cloak</t>
  </si>
  <si>
    <t>Suction Cups</t>
  </si>
  <si>
    <t>Frisk</t>
  </si>
  <si>
    <t>Steadfast</t>
  </si>
  <si>
    <t>Sand Stream</t>
  </si>
  <si>
    <t>Rain Dish</t>
  </si>
  <si>
    <t>Poison Heal</t>
  </si>
  <si>
    <t>Truant</t>
  </si>
  <si>
    <t>Wonder Guard</t>
  </si>
  <si>
    <t>Magnet Pull</t>
  </si>
  <si>
    <t>Normalize</t>
  </si>
  <si>
    <t>Stall</t>
  </si>
  <si>
    <t>Intimidate</t>
  </si>
  <si>
    <t>Pure Power</t>
  </si>
  <si>
    <t>Plus</t>
  </si>
  <si>
    <t>Minus</t>
  </si>
  <si>
    <t>Rough Skin</t>
  </si>
  <si>
    <t>Simple</t>
  </si>
  <si>
    <t>Solid Rock</t>
  </si>
  <si>
    <t>White Smoke</t>
  </si>
  <si>
    <t>Anticipation</t>
  </si>
  <si>
    <t>Marvel Scale</t>
  </si>
  <si>
    <t>Forecast</t>
  </si>
  <si>
    <t>Color Change</t>
  </si>
  <si>
    <t>Ice Body</t>
  </si>
  <si>
    <t>Drizzle</t>
  </si>
  <si>
    <t>Air Lock</t>
  </si>
  <si>
    <t>Unaware</t>
  </si>
  <si>
    <t>Honey Gather</t>
  </si>
  <si>
    <t>Flower Gift</t>
  </si>
  <si>
    <t>Storm Drain</t>
  </si>
  <si>
    <t>Aftermath</t>
  </si>
  <si>
    <t>Unburden</t>
  </si>
  <si>
    <t>Klutz</t>
  </si>
  <si>
    <t>Heatproof</t>
  </si>
  <si>
    <t>FIlter</t>
  </si>
  <si>
    <t>Snow Warning</t>
  </si>
  <si>
    <t>Motor Drive</t>
  </si>
  <si>
    <t>Slow Start</t>
  </si>
  <si>
    <t>Bad Dreams</t>
  </si>
  <si>
    <t>Multitype</t>
  </si>
  <si>
    <t>386 - 1</t>
  </si>
  <si>
    <t>Deoxys Attack</t>
  </si>
  <si>
    <t>386 - 2</t>
  </si>
  <si>
    <t>Deoxys Defense</t>
  </si>
  <si>
    <t>386 - 3</t>
  </si>
  <si>
    <t>Deoxys Speed</t>
  </si>
  <si>
    <t>413 - 1</t>
  </si>
  <si>
    <t>Wormadam Sandy</t>
  </si>
  <si>
    <t xml:space="preserve">Bug </t>
  </si>
  <si>
    <t>413 - 2</t>
  </si>
  <si>
    <t>Wormadam Trash</t>
  </si>
  <si>
    <t>487 - 1</t>
  </si>
  <si>
    <t>Giratina Origin</t>
  </si>
  <si>
    <t>492 - 1</t>
  </si>
  <si>
    <t>Shaymin Sky</t>
  </si>
  <si>
    <t>479 - 1</t>
  </si>
  <si>
    <t>Rotom Heat</t>
  </si>
  <si>
    <t>479 - 2</t>
  </si>
  <si>
    <t>Rotom Wash</t>
  </si>
  <si>
    <t>479 - 3</t>
  </si>
  <si>
    <t>Rotom Frost</t>
  </si>
  <si>
    <t>479 - 4</t>
  </si>
  <si>
    <t>Rotom Fan</t>
  </si>
  <si>
    <t>479 - 5</t>
  </si>
  <si>
    <t>Rotom Mow</t>
  </si>
  <si>
    <t>This chart is the original Pokedex with no changes</t>
  </si>
  <si>
    <t>Gen 4 Stats from here</t>
  </si>
  <si>
    <t>Defending Type</t>
  </si>
  <si>
    <t>Found from a google search</t>
  </si>
  <si>
    <t>NORMAL</t>
  </si>
  <si>
    <t>FIGHTING</t>
  </si>
  <si>
    <t>FLYING</t>
  </si>
  <si>
    <t>POISON</t>
  </si>
  <si>
    <t>GROUND</t>
  </si>
  <si>
    <t>ROCK</t>
  </si>
  <si>
    <t>BUG</t>
  </si>
  <si>
    <t>GHOST</t>
  </si>
  <si>
    <t>STEEL</t>
  </si>
  <si>
    <t>FIRE</t>
  </si>
  <si>
    <t>WATER</t>
  </si>
  <si>
    <t>GRASS</t>
  </si>
  <si>
    <t>ELECTRIC</t>
  </si>
  <si>
    <t>PSYCHIC</t>
  </si>
  <si>
    <t>ICE</t>
  </si>
  <si>
    <t>DRAGON</t>
  </si>
  <si>
    <t>DARK</t>
  </si>
  <si>
    <t>Attacking Type</t>
  </si>
  <si>
    <t>1×</t>
  </si>
  <si>
    <t>½×</t>
  </si>
  <si>
    <t>0×</t>
  </si>
  <si>
    <t>2×</t>
  </si>
  <si>
    <t>Type</t>
  </si>
  <si>
    <t>Category</t>
  </si>
  <si>
    <t>Power</t>
  </si>
  <si>
    <t>Effect</t>
  </si>
  <si>
    <t>Accuracy</t>
  </si>
  <si>
    <t>PP</t>
  </si>
  <si>
    <t>Target</t>
  </si>
  <si>
    <t>Number</t>
  </si>
  <si>
    <t>Location</t>
  </si>
  <si>
    <t>Mon 1</t>
  </si>
  <si>
    <t>Chance</t>
  </si>
  <si>
    <t>Mon 2</t>
  </si>
  <si>
    <t>Mon 3</t>
  </si>
  <si>
    <t>Mon 4</t>
  </si>
  <si>
    <t>Mon 5</t>
  </si>
  <si>
    <t>Mon 6</t>
  </si>
  <si>
    <t>Mon 7</t>
  </si>
  <si>
    <t>Mon 8</t>
  </si>
  <si>
    <t>Mon 9</t>
  </si>
  <si>
    <t>Mon 10</t>
  </si>
  <si>
    <t>Mon 11</t>
  </si>
  <si>
    <t>Mon 12</t>
  </si>
  <si>
    <t>Area</t>
  </si>
  <si>
    <r>
      <t xml:space="preserve">Any changes are in </t>
    </r>
    <r>
      <rPr>
        <b/>
        <sz val="12"/>
        <color theme="1"/>
        <rFont val="Arial"/>
        <family val="2"/>
      </rPr>
      <t xml:space="preserve">BOLD </t>
    </r>
    <r>
      <rPr>
        <sz val="12"/>
        <color theme="1"/>
        <rFont val="Arial"/>
        <family val="2"/>
      </rPr>
      <t xml:space="preserve">and are </t>
    </r>
    <r>
      <rPr>
        <u/>
        <sz val="12"/>
        <color theme="1"/>
        <rFont val="Arial"/>
        <family val="2"/>
      </rPr>
      <t>Underlined.</t>
    </r>
  </si>
  <si>
    <t>Pokémon</t>
  </si>
  <si>
    <t>Ability</t>
  </si>
  <si>
    <t>Item</t>
  </si>
  <si>
    <t>Move 1</t>
  </si>
  <si>
    <t>Move 2</t>
  </si>
  <si>
    <t>Move 4</t>
  </si>
  <si>
    <t>Level</t>
  </si>
  <si>
    <t>Was gonna use Smeargle's but it was a bit bland for me as you can see</t>
  </si>
  <si>
    <t>Move 3</t>
  </si>
  <si>
    <t>Egg Bomb</t>
  </si>
  <si>
    <t>Special</t>
  </si>
  <si>
    <t>Single</t>
  </si>
  <si>
    <t>N/A</t>
  </si>
  <si>
    <t>Barrage</t>
  </si>
  <si>
    <t>Other</t>
  </si>
  <si>
    <t>Now called "Psychic Barrage". Works like Triple Axel. Now Smart in contests.</t>
  </si>
  <si>
    <t>X-Scissor</t>
  </si>
  <si>
    <t>Physical</t>
  </si>
  <si>
    <t>What changed</t>
  </si>
  <si>
    <t>Snarl</t>
  </si>
  <si>
    <t>Lowers Foe's SPATK</t>
  </si>
  <si>
    <t>Both</t>
  </si>
  <si>
    <t>10+ power</t>
  </si>
  <si>
    <t>Surf</t>
  </si>
  <si>
    <t>-20 power</t>
  </si>
  <si>
    <t>Ice Beam</t>
  </si>
  <si>
    <t>Chance of Freeze</t>
  </si>
  <si>
    <t>Thunderbolt</t>
  </si>
  <si>
    <t>Chance of Para</t>
  </si>
  <si>
    <t>Flamethrower</t>
  </si>
  <si>
    <t>Chance of Burn</t>
  </si>
  <si>
    <t>Fire Spin</t>
  </si>
  <si>
    <t>Binding</t>
  </si>
  <si>
    <t>Clamp</t>
  </si>
  <si>
    <t>Knock Off</t>
  </si>
  <si>
    <t>Knock Off Item</t>
  </si>
  <si>
    <t>Poison Sting</t>
  </si>
  <si>
    <t>Chance of Poison</t>
  </si>
  <si>
    <t>Rage</t>
  </si>
  <si>
    <t>Fighting type +25</t>
  </si>
  <si>
    <t>Razor Wind</t>
  </si>
  <si>
    <t>Status</t>
  </si>
  <si>
    <t>Self</t>
  </si>
  <si>
    <t>All</t>
  </si>
  <si>
    <t>All but User</t>
  </si>
  <si>
    <t>Slam</t>
  </si>
  <si>
    <t>Grass, 90 acc</t>
  </si>
  <si>
    <t>Constrict</t>
  </si>
  <si>
    <t>Bind</t>
  </si>
  <si>
    <t>Infestation</t>
  </si>
  <si>
    <t>Sand Tomb</t>
  </si>
  <si>
    <t>100 acc</t>
  </si>
  <si>
    <t>Whirlpool</t>
  </si>
  <si>
    <t>Snore</t>
  </si>
  <si>
    <t>May Flinch</t>
  </si>
  <si>
    <t xml:space="preserve">Psychic </t>
  </si>
  <si>
    <t>May Enemy SPD-</t>
  </si>
  <si>
    <t>Prevents healing</t>
  </si>
  <si>
    <t>1/2 HP Recoil</t>
  </si>
  <si>
    <t>can't wait to see this nuke in action</t>
  </si>
  <si>
    <t>Synchronoise</t>
  </si>
  <si>
    <t>Octazooka</t>
  </si>
  <si>
    <t>May ACC-</t>
  </si>
  <si>
    <t>Bide</t>
  </si>
  <si>
    <t>is this even gonna help??</t>
  </si>
  <si>
    <t>Submission</t>
  </si>
  <si>
    <t>1/4 DMG Recoil</t>
  </si>
  <si>
    <t xml:space="preserve">Kinesis </t>
  </si>
  <si>
    <t>Sharpen</t>
  </si>
  <si>
    <t>Quiver Dance</t>
  </si>
  <si>
    <t>Thunderclap</t>
  </si>
  <si>
    <t>Hits 2-5 times</t>
  </si>
  <si>
    <t>Pokémon 1</t>
  </si>
  <si>
    <t>???</t>
  </si>
  <si>
    <t>Hardy</t>
  </si>
  <si>
    <t>Splash</t>
  </si>
  <si>
    <t>Pokémon 2</t>
  </si>
  <si>
    <t>Pokémon 4</t>
  </si>
  <si>
    <t>Pokémon 5</t>
  </si>
  <si>
    <t>Pokémon 6</t>
  </si>
  <si>
    <t>Chople Berry</t>
  </si>
  <si>
    <t>Bold</t>
  </si>
  <si>
    <t>Giga Drain</t>
  </si>
  <si>
    <t>Leech Seed</t>
  </si>
  <si>
    <t>Sticky Web</t>
  </si>
  <si>
    <t>Leftovers</t>
  </si>
  <si>
    <t>Jolly</t>
  </si>
  <si>
    <t>Iron Head</t>
  </si>
  <si>
    <t>Zen Headbutt</t>
  </si>
  <si>
    <t>Body Slam</t>
  </si>
  <si>
    <t>Wish</t>
  </si>
  <si>
    <t>Queenly Majesty</t>
  </si>
  <si>
    <t>Air Balloon</t>
  </si>
  <si>
    <t>Hasty</t>
  </si>
  <si>
    <t>Scald</t>
  </si>
  <si>
    <t>Flip Turn</t>
  </si>
  <si>
    <t>Roost</t>
  </si>
  <si>
    <t>Choice Band</t>
  </si>
  <si>
    <t>Adamant</t>
  </si>
  <si>
    <t>Meteor Mash</t>
  </si>
  <si>
    <t>Psychic Fangs</t>
  </si>
  <si>
    <t>Bullet Punch</t>
  </si>
  <si>
    <t>Explosion</t>
  </si>
  <si>
    <t>Sitrus Berry</t>
  </si>
  <si>
    <t>Calm</t>
  </si>
  <si>
    <t>Flash Cannon</t>
  </si>
  <si>
    <t>Mirror Coat</t>
  </si>
  <si>
    <t>Thunder Wave</t>
  </si>
  <si>
    <t>Sheer Force</t>
  </si>
  <si>
    <t>Steelixite</t>
  </si>
  <si>
    <t>Impish</t>
  </si>
  <si>
    <t>Gyro Ball</t>
  </si>
  <si>
    <t>Body Press</t>
  </si>
  <si>
    <t>Earthquake</t>
  </si>
  <si>
    <t>Iron Defense</t>
  </si>
  <si>
    <t>Glalitite</t>
  </si>
  <si>
    <t>Double Edge</t>
  </si>
  <si>
    <t>Freeze Dry</t>
  </si>
  <si>
    <t>Spikes</t>
  </si>
  <si>
    <t>Modest</t>
  </si>
  <si>
    <t>Blizzard</t>
  </si>
  <si>
    <t>Shock Wave</t>
  </si>
  <si>
    <t>Focus Blast</t>
  </si>
  <si>
    <t>Life Orb</t>
  </si>
  <si>
    <t>Ice Shard</t>
  </si>
  <si>
    <t>Dire Claw</t>
  </si>
  <si>
    <t>Fake Out</t>
  </si>
  <si>
    <t>Slush Rush</t>
  </si>
  <si>
    <t>Expert Belt</t>
  </si>
  <si>
    <t>Glacial Lance</t>
  </si>
  <si>
    <t>Headlong Rush</t>
  </si>
  <si>
    <t>Diamond Storm</t>
  </si>
  <si>
    <t>Ice Plate</t>
  </si>
  <si>
    <t>Shadow Ball</t>
  </si>
  <si>
    <t>Instruct</t>
  </si>
  <si>
    <t>Chilly Reception</t>
  </si>
  <si>
    <t>Heavy Boots</t>
  </si>
  <si>
    <t>Bleakwind Storm</t>
  </si>
  <si>
    <t>Aurora Veil</t>
  </si>
  <si>
    <t>Dudunsparce</t>
  </si>
  <si>
    <t>Steamroller</t>
  </si>
  <si>
    <t>Stealth Rock</t>
  </si>
  <si>
    <t>Charizardite X</t>
  </si>
  <si>
    <t>Flare Blitz</t>
  </si>
  <si>
    <t>Dragon Claw</t>
  </si>
  <si>
    <t>Dragon Dance</t>
  </si>
  <si>
    <t>Gentle</t>
  </si>
  <si>
    <t>Draco Meteor</t>
  </si>
  <si>
    <t>Magical Torque</t>
  </si>
  <si>
    <t>Defog</t>
  </si>
  <si>
    <t>Rest</t>
  </si>
  <si>
    <t>Aerilate</t>
  </si>
  <si>
    <t>Heavy Duty Boots</t>
  </si>
  <si>
    <t>Double-Edge</t>
  </si>
  <si>
    <t>Glaive Rush</t>
  </si>
  <si>
    <t>Extreme Speed</t>
  </si>
  <si>
    <t>Dragon Ascent</t>
  </si>
  <si>
    <t>V-Create</t>
  </si>
  <si>
    <t>Lum Berry</t>
  </si>
  <si>
    <t>Hydro Steam</t>
  </si>
  <si>
    <t>Rain Dance</t>
  </si>
  <si>
    <t>Magic Bounce</t>
  </si>
  <si>
    <t>Psychic Seed</t>
  </si>
  <si>
    <t>Expanding Force</t>
  </si>
  <si>
    <t>U-Turn</t>
  </si>
  <si>
    <t>Psychic Surge</t>
  </si>
  <si>
    <t>Terrarin Extender</t>
  </si>
  <si>
    <t>Signal Beam</t>
  </si>
  <si>
    <t>Reflect</t>
  </si>
  <si>
    <t>Light Screen</t>
  </si>
  <si>
    <t>Sharpness</t>
  </si>
  <si>
    <t>Sacred Sword</t>
  </si>
  <si>
    <t>Psycho Cut</t>
  </si>
  <si>
    <t>Bitter Blade</t>
  </si>
  <si>
    <t>Swords Dance</t>
  </si>
  <si>
    <t>Future Sight</t>
  </si>
  <si>
    <t>Helping Hand</t>
  </si>
  <si>
    <t>Lunar Blessing</t>
  </si>
  <si>
    <t>Harvest</t>
  </si>
  <si>
    <t>Tanga Berry</t>
  </si>
  <si>
    <t>Psyshock</t>
  </si>
  <si>
    <t>Thunder Bolt</t>
  </si>
  <si>
    <t>Healing Wish</t>
  </si>
  <si>
    <t>Regenerator</t>
  </si>
  <si>
    <t>Slowbronite</t>
  </si>
  <si>
    <t>Sassy</t>
  </si>
  <si>
    <t>Sludge Bomb</t>
  </si>
  <si>
    <t>Toxic Spikes</t>
  </si>
  <si>
    <t>Close Combat</t>
  </si>
  <si>
    <t>Sucker Punch</t>
  </si>
  <si>
    <t>Triple Axel</t>
  </si>
  <si>
    <t>Stunktank</t>
  </si>
  <si>
    <t>Custap Berry</t>
  </si>
  <si>
    <t>Gunk Shot</t>
  </si>
  <si>
    <t>Recover</t>
  </si>
  <si>
    <t>Corrosion</t>
  </si>
  <si>
    <t>Black Sludge</t>
  </si>
  <si>
    <t>Careful</t>
  </si>
  <si>
    <t>Drain Punch</t>
  </si>
  <si>
    <t>Toxic</t>
  </si>
  <si>
    <t>Baneful Bunker</t>
  </si>
  <si>
    <t>Toxic Orb</t>
  </si>
  <si>
    <t>Haze</t>
  </si>
  <si>
    <t>Protect</t>
  </si>
  <si>
    <t>Malignant Chain</t>
  </si>
  <si>
    <t>Bug Buzz</t>
  </si>
  <si>
    <t>Fiery Dance</t>
  </si>
  <si>
    <t>Sirfetch'd</t>
  </si>
  <si>
    <t>First Impression</t>
  </si>
  <si>
    <t>Meteor Assault</t>
  </si>
  <si>
    <t>Brave Bird</t>
  </si>
  <si>
    <t>Mega Launcher</t>
  </si>
  <si>
    <t>Choice Specs</t>
  </si>
  <si>
    <t>Timid</t>
  </si>
  <si>
    <t>Aura Sphere</t>
  </si>
  <si>
    <t>Dark Pulse</t>
  </si>
  <si>
    <t>Energy Ball</t>
  </si>
  <si>
    <t>Cud Chew</t>
  </si>
  <si>
    <t>Wave Crush</t>
  </si>
  <si>
    <t>Trailblaze</t>
  </si>
  <si>
    <t>Swamperite</t>
  </si>
  <si>
    <t>Waterfall</t>
  </si>
  <si>
    <t>Ice Punch</t>
  </si>
  <si>
    <t>Annihilape</t>
  </si>
  <si>
    <t>Defiant</t>
  </si>
  <si>
    <t>Rage Fist</t>
  </si>
  <si>
    <t>Bulk Up</t>
  </si>
  <si>
    <t>Assault Vest</t>
  </si>
  <si>
    <t>Dynamic Punch</t>
  </si>
  <si>
    <t>Stone Edge</t>
  </si>
  <si>
    <t>Darkest Lariat</t>
  </si>
  <si>
    <t>Prankster</t>
  </si>
  <si>
    <t>Focus Sash</t>
  </si>
  <si>
    <t>Aeroblast</t>
  </si>
  <si>
    <t>Encore</t>
  </si>
  <si>
    <t>Tailwind</t>
  </si>
  <si>
    <t>Poison Jab</t>
  </si>
  <si>
    <t>Pursuit</t>
  </si>
  <si>
    <t>Absolite</t>
  </si>
  <si>
    <t>Mighty Cleave</t>
  </si>
  <si>
    <t>Psyblade</t>
  </si>
  <si>
    <t>Fiery Wrath</t>
  </si>
  <si>
    <t>Will-O-Wisp</t>
  </si>
  <si>
    <t>Ivy Cudgel</t>
  </si>
  <si>
    <t>Spore</t>
  </si>
  <si>
    <t>Wicked Torque</t>
  </si>
  <si>
    <t>Nasty Plot</t>
  </si>
  <si>
    <t>Wave Crash</t>
  </si>
  <si>
    <t xml:space="preserve">Aerodactylite </t>
  </si>
  <si>
    <t>Flying Press</t>
  </si>
  <si>
    <t>Double Iron Bash</t>
  </si>
  <si>
    <t>Salt Cure</t>
  </si>
  <si>
    <t>Fire Punch</t>
  </si>
  <si>
    <t>Liquid Voice</t>
  </si>
  <si>
    <t>Hyper Voice</t>
  </si>
  <si>
    <t>Psychic Noise</t>
  </si>
  <si>
    <t>Heal Bell</t>
  </si>
  <si>
    <t>Moxie</t>
  </si>
  <si>
    <t>White Herb</t>
  </si>
  <si>
    <t>Ice Spinner</t>
  </si>
  <si>
    <t>Rapid Spin</t>
  </si>
  <si>
    <t>Multiscale</t>
  </si>
  <si>
    <t>Superpower</t>
  </si>
  <si>
    <t>Foul Play</t>
  </si>
  <si>
    <t>Hadron Engine</t>
  </si>
  <si>
    <t>Volt Switch</t>
  </si>
  <si>
    <t>Damp Rock</t>
  </si>
  <si>
    <t xml:space="preserve">Thunder </t>
  </si>
  <si>
    <t>Manetricite</t>
  </si>
  <si>
    <t>Mild</t>
  </si>
  <si>
    <t>Windbolt Stream</t>
  </si>
  <si>
    <t xml:space="preserve">Raichu </t>
  </si>
  <si>
    <t>Surge Surfer</t>
  </si>
  <si>
    <t>Rising Voltage</t>
  </si>
  <si>
    <t>Grass Knot</t>
  </si>
  <si>
    <t>Transitor</t>
  </si>
  <si>
    <t>Zap Cannon</t>
  </si>
  <si>
    <t>Steel Beam</t>
  </si>
  <si>
    <t>Core Enforcer</t>
  </si>
  <si>
    <t>Weather Ball</t>
  </si>
  <si>
    <t>Shell Bell</t>
  </si>
  <si>
    <t>Plasma Fists</t>
  </si>
  <si>
    <t>Cross Chop</t>
  </si>
  <si>
    <t>Electroshot</t>
  </si>
  <si>
    <t>Hex</t>
  </si>
  <si>
    <t>Sap Sipper</t>
  </si>
  <si>
    <t>Relaxed</t>
  </si>
  <si>
    <t>Hurricane</t>
  </si>
  <si>
    <t>Chesto Berry</t>
  </si>
  <si>
    <t>Calm Mind</t>
  </si>
  <si>
    <t>Hydro Pump</t>
  </si>
  <si>
    <t>Light Ball</t>
  </si>
  <si>
    <t>Zippy Zap</t>
  </si>
  <si>
    <t>Floaty Fall</t>
  </si>
  <si>
    <t>Charizardite Y</t>
  </si>
  <si>
    <t>Solar Beam</t>
  </si>
  <si>
    <t>Scorching Sands</t>
  </si>
  <si>
    <t>Synthesis</t>
  </si>
  <si>
    <t>Stun Spore</t>
  </si>
  <si>
    <t>Dragon Pulse</t>
  </si>
  <si>
    <t>Crunch</t>
  </si>
  <si>
    <t>Self-Destruct</t>
  </si>
  <si>
    <t>Beast Boost</t>
  </si>
  <si>
    <t>Psystrike</t>
  </si>
  <si>
    <t>Mind Blown</t>
  </si>
  <si>
    <t>Taunt</t>
  </si>
  <si>
    <t>Garchompite</t>
  </si>
  <si>
    <t>Naughty</t>
  </si>
  <si>
    <t>Fire Blast</t>
  </si>
  <si>
    <t>Refresh</t>
  </si>
  <si>
    <t>Light Clay</t>
  </si>
  <si>
    <t>Lustrous Orb</t>
  </si>
  <si>
    <t>Spacial Rend</t>
  </si>
  <si>
    <t>Origin Pulse</t>
  </si>
  <si>
    <t>Adamant Orb</t>
  </si>
  <si>
    <t>Roar of Time</t>
  </si>
  <si>
    <t>Armor Cannon</t>
  </si>
  <si>
    <t>Telepathy</t>
  </si>
  <si>
    <t>Poltergeist</t>
  </si>
  <si>
    <t>Dragon Tail</t>
  </si>
  <si>
    <t>Nature</t>
  </si>
  <si>
    <t>IVs</t>
  </si>
  <si>
    <t>Trainer</t>
  </si>
  <si>
    <t>EVs</t>
  </si>
  <si>
    <t>Role</t>
  </si>
  <si>
    <t>Falkner</t>
  </si>
  <si>
    <t>Gym Leader</t>
  </si>
  <si>
    <t>Bugsy</t>
  </si>
  <si>
    <t>Whitney</t>
  </si>
  <si>
    <t>Morty</t>
  </si>
  <si>
    <t>Chuck</t>
  </si>
  <si>
    <t>Jasmine</t>
  </si>
  <si>
    <t>Pryce</t>
  </si>
  <si>
    <t>Double</t>
  </si>
  <si>
    <t>Clair</t>
  </si>
  <si>
    <t>Will</t>
  </si>
  <si>
    <t>Elite Four</t>
  </si>
  <si>
    <t>Koga</t>
  </si>
  <si>
    <t>Bruno</t>
  </si>
  <si>
    <t>Karen</t>
  </si>
  <si>
    <t>Lance</t>
  </si>
  <si>
    <t>Champion</t>
  </si>
  <si>
    <t>Lt. Surge</t>
  </si>
  <si>
    <t xml:space="preserve">Sabrina </t>
  </si>
  <si>
    <t>Erika</t>
  </si>
  <si>
    <t>Misty</t>
  </si>
  <si>
    <t>Janine</t>
  </si>
  <si>
    <t>Blaine</t>
  </si>
  <si>
    <t>Blue</t>
  </si>
  <si>
    <t>Red</t>
  </si>
  <si>
    <t>Final Boss</t>
  </si>
  <si>
    <t>Cynthia</t>
  </si>
  <si>
    <t>Pokémon 3</t>
  </si>
  <si>
    <t>Header Palette generated by PokémonPallete.com</t>
  </si>
  <si>
    <t>why do they make such a niche move in concept so bad</t>
  </si>
  <si>
    <t>why porygon sucks as it is why give it a useless signature</t>
  </si>
  <si>
    <t>the age of special coverage doing insane coverage has come to an end</t>
  </si>
  <si>
    <t>I always felt like because of these moves, special attackers had a much bigger advantage over physical attackers</t>
  </si>
  <si>
    <t>I hate hydro pump because surf is already so powerful + hitting both is insane for such a solid defensive type</t>
  </si>
  <si>
    <t>a dark special attack that isnt dark pulse is neat as I want to reduce the amount of overall coverage to nerf choice users</t>
  </si>
  <si>
    <t>such a common starting move just to suck that much</t>
  </si>
  <si>
    <t>turning this move into a nuclear bomb was the worst move change of all time</t>
  </si>
  <si>
    <t>Hidden Power</t>
  </si>
  <si>
    <t>you know what it does</t>
  </si>
  <si>
    <t xml:space="preserve">imo 70 is too strong, 60 is too weak </t>
  </si>
  <si>
    <t>Hit 3 times, Power+ per hit</t>
  </si>
  <si>
    <t>+SPA, +SPD, +SPE</t>
  </si>
  <si>
    <t>+PRIO if Target ATK</t>
  </si>
  <si>
    <t>Ally +ATK, Enemy -DEF</t>
  </si>
  <si>
    <t>+ATK on being Hit</t>
  </si>
  <si>
    <t>-SPE</t>
  </si>
  <si>
    <t>-5 power</t>
  </si>
  <si>
    <t>-5 power, 100 acc</t>
  </si>
  <si>
    <t>Grass, -5 pp</t>
  </si>
  <si>
    <t>+5 power, 100 acc</t>
  </si>
  <si>
    <t>+35 power, 100 acc</t>
  </si>
  <si>
    <t>Poison, +15 power 100 acc</t>
  </si>
  <si>
    <t>+10 power, Psychic Noise</t>
  </si>
  <si>
    <t>-15 power, -15 pp</t>
  </si>
  <si>
    <t>+15 power</t>
  </si>
  <si>
    <t>+60 power, -5 pp</t>
  </si>
  <si>
    <t>+40 power, +10 acc</t>
  </si>
  <si>
    <t>+30 power, 100 acc</t>
  </si>
  <si>
    <t>+5 power</t>
  </si>
  <si>
    <t>Rework</t>
  </si>
  <si>
    <t>Special, Grass, 100 acc</t>
  </si>
  <si>
    <t>Fly</t>
  </si>
  <si>
    <t>2 Turn</t>
  </si>
  <si>
    <t>+20 Power</t>
  </si>
  <si>
    <t>trapping moves SUCK and geniuenly have no purpose</t>
  </si>
  <si>
    <t>they are used less than the base 40 power moves because of their lack of consistency and you end having less damage overall</t>
  </si>
  <si>
    <t>Changes</t>
  </si>
  <si>
    <t>Attacking</t>
  </si>
  <si>
    <t>Defending</t>
  </si>
  <si>
    <t>Outcome</t>
  </si>
  <si>
    <t>Crush Claw</t>
  </si>
  <si>
    <t>50% -DEF</t>
  </si>
  <si>
    <t>+10 Power</t>
  </si>
  <si>
    <t>Spicy Extract</t>
  </si>
  <si>
    <t>Protean</t>
  </si>
  <si>
    <t>Transistor</t>
  </si>
  <si>
    <t>None</t>
  </si>
  <si>
    <t>Defeatist</t>
  </si>
  <si>
    <t>Imposter</t>
  </si>
  <si>
    <t>Cherrim Sunshine</t>
  </si>
  <si>
    <t>Tough Claws</t>
  </si>
  <si>
    <t>Heart Stamp</t>
  </si>
  <si>
    <t>30% Confuse</t>
  </si>
  <si>
    <t>+30 Power, Special</t>
  </si>
  <si>
    <t>40% Sleep</t>
  </si>
  <si>
    <t>Darkrai signature</t>
  </si>
  <si>
    <t>+30% chance effect, Special</t>
  </si>
  <si>
    <t>Punk Rock</t>
  </si>
  <si>
    <t>Parental Bond</t>
  </si>
  <si>
    <t>Spike Cannon</t>
  </si>
  <si>
    <t>Spit Up</t>
  </si>
  <si>
    <t>100-300 Stockpiles Power</t>
  </si>
  <si>
    <t>Desolate Land</t>
  </si>
  <si>
    <t>Prism Armor</t>
  </si>
  <si>
    <t>Power Spot</t>
  </si>
  <si>
    <t>Stamina</t>
  </si>
  <si>
    <t>Splishy Splash</t>
  </si>
  <si>
    <t>Stage 1</t>
  </si>
  <si>
    <t>Method</t>
  </si>
  <si>
    <t>Stage 2</t>
  </si>
  <si>
    <t>Stage 3</t>
  </si>
  <si>
    <t>You will only have access to the regional dex during the game. The regional dex contains all Pokémon.</t>
  </si>
  <si>
    <t>I would have liked to use the Johto dex as the baseline but I think that would cause more harm than good</t>
  </si>
  <si>
    <t>normal</t>
  </si>
  <si>
    <t>Kleavor</t>
  </si>
  <si>
    <t>Farigiraf</t>
  </si>
  <si>
    <t>Armor Tail</t>
  </si>
  <si>
    <t>Ursaluna</t>
  </si>
  <si>
    <t>Bulletproof</t>
  </si>
  <si>
    <t>Wyrdeer</t>
  </si>
  <si>
    <t>453 - 1</t>
  </si>
  <si>
    <t>382 - 1</t>
  </si>
  <si>
    <t>382 - 2</t>
  </si>
  <si>
    <t>382 - 3</t>
  </si>
  <si>
    <t>Castform Sunny</t>
  </si>
  <si>
    <t>Castform Rainy</t>
  </si>
  <si>
    <t>Castform Snowy</t>
  </si>
  <si>
    <t>455 - 1</t>
  </si>
  <si>
    <t>Gastrodon East</t>
  </si>
  <si>
    <t>454 - 1</t>
  </si>
  <si>
    <t>Shellos East</t>
  </si>
  <si>
    <t>Overqwuil</t>
  </si>
  <si>
    <t>Cursola</t>
  </si>
  <si>
    <t>Weak Armor</t>
  </si>
  <si>
    <t>Obstagoon</t>
  </si>
  <si>
    <t>The regional dex will follow the national dex order bar for the change stated below.</t>
  </si>
  <si>
    <t>Dex entries have been moved around to match the evolutions in the game. E.g. Pichu before Pikachu, Espeon after Flareon</t>
  </si>
  <si>
    <t xml:space="preserve">Tangling Hair </t>
  </si>
  <si>
    <t>Neutralizing Gas</t>
  </si>
  <si>
    <t>Use</t>
  </si>
  <si>
    <t>Wacan Berry</t>
  </si>
  <si>
    <t>Terrain Extender</t>
  </si>
  <si>
    <t>Gardevoirite</t>
  </si>
  <si>
    <t>Rare Candy</t>
  </si>
  <si>
    <t>Fire Stone</t>
  </si>
  <si>
    <t>Water Stone</t>
  </si>
  <si>
    <t>Thunder Stone</t>
  </si>
  <si>
    <t>Leaf Stone</t>
  </si>
  <si>
    <t>Moon Stone</t>
  </si>
  <si>
    <t>Sun Stone</t>
  </si>
  <si>
    <t>Shiny Stone</t>
  </si>
  <si>
    <t>Dusk Stone</t>
  </si>
  <si>
    <t>Dawn Stone</t>
  </si>
  <si>
    <t>Ice Stone</t>
  </si>
  <si>
    <t>King's Rock</t>
  </si>
  <si>
    <t>Linking Cord</t>
  </si>
  <si>
    <t>Upgrade</t>
  </si>
  <si>
    <t>Dubious Disc</t>
  </si>
  <si>
    <t>or</t>
  </si>
  <si>
    <t>Power Anklet</t>
  </si>
  <si>
    <t>Power Bracer</t>
  </si>
  <si>
    <t>Power Weight</t>
  </si>
  <si>
    <t>I think it suits them</t>
  </si>
  <si>
    <t>Soothe Bell</t>
  </si>
  <si>
    <t>Water Bubble</t>
  </si>
  <si>
    <t>Grassy Surge</t>
  </si>
  <si>
    <t>Brock</t>
  </si>
  <si>
    <t>Rindo Berry</t>
  </si>
  <si>
    <t>Muddy Water</t>
  </si>
  <si>
    <t>Sludge Wave</t>
  </si>
  <si>
    <t>Clear Smog</t>
  </si>
  <si>
    <t>Head Smash</t>
  </si>
  <si>
    <t>Megahorn</t>
  </si>
  <si>
    <t>Lumenion</t>
  </si>
  <si>
    <t>Ominous Wind</t>
  </si>
  <si>
    <t>Alluring Voice</t>
  </si>
  <si>
    <t>Water Spout</t>
  </si>
  <si>
    <t>Heavy Slam</t>
  </si>
  <si>
    <t>Heat Crash</t>
  </si>
  <si>
    <t>Safe Guard</t>
  </si>
  <si>
    <t>Gastrodon West</t>
  </si>
  <si>
    <t>Earth Power</t>
  </si>
  <si>
    <t>Pain Split</t>
  </si>
  <si>
    <t>Strong Jaw</t>
  </si>
  <si>
    <t>Sand Rush</t>
  </si>
  <si>
    <t>Friend Guard</t>
  </si>
  <si>
    <t xml:space="preserve">Infiltrator </t>
  </si>
  <si>
    <t>Healer</t>
  </si>
  <si>
    <t>Galvanize</t>
  </si>
  <si>
    <t>Victory Star</t>
  </si>
  <si>
    <t>Thermal Exchange</t>
  </si>
  <si>
    <t>Purifying Salt</t>
  </si>
  <si>
    <t>Mind's Eye</t>
  </si>
  <si>
    <t>Refrigerate</t>
  </si>
  <si>
    <t>502 - 1</t>
  </si>
  <si>
    <t>Alakazam Mega</t>
  </si>
  <si>
    <t>Gengar Mega</t>
  </si>
  <si>
    <t>Charizard Mega X</t>
  </si>
  <si>
    <t>Venusaur Mega X</t>
  </si>
  <si>
    <t>Venusaur Mega Y</t>
  </si>
  <si>
    <t>Charizard Mega Y</t>
  </si>
  <si>
    <t>Blastoise Mega X</t>
  </si>
  <si>
    <t>Blastoise Mega Y</t>
  </si>
  <si>
    <t>Butterfree Mega</t>
  </si>
  <si>
    <t>Beedrill Mega</t>
  </si>
  <si>
    <t>Slowbro Mega</t>
  </si>
  <si>
    <t>Pidgeot Mega</t>
  </si>
  <si>
    <t>Kangaskhan Mega</t>
  </si>
  <si>
    <t>Pinsir Mega</t>
  </si>
  <si>
    <t>Gyarados Mega</t>
  </si>
  <si>
    <t>Lapras Mega</t>
  </si>
  <si>
    <t>Eevee Mega</t>
  </si>
  <si>
    <t>Aerodactyl Mega</t>
  </si>
  <si>
    <t>Mewto Mega X</t>
  </si>
  <si>
    <t>Mewtwo Mega Y</t>
  </si>
  <si>
    <t>Ampharos Mega</t>
  </si>
  <si>
    <t>Scizor Mega</t>
  </si>
  <si>
    <t>Heracross  Mega</t>
  </si>
  <si>
    <t>Houndoom Mega</t>
  </si>
  <si>
    <t>Tyranitar Mega</t>
  </si>
  <si>
    <t>Blaziken Mega</t>
  </si>
  <si>
    <t>Gardevoir Mega</t>
  </si>
  <si>
    <t>Mawile Mega</t>
  </si>
  <si>
    <t>Aggron Mega</t>
  </si>
  <si>
    <t>Medicham Mega</t>
  </si>
  <si>
    <t>Banette Mega</t>
  </si>
  <si>
    <t>Absol Mega</t>
  </si>
  <si>
    <t>Latias Mega</t>
  </si>
  <si>
    <t>Latios Mega</t>
  </si>
  <si>
    <t>Garchomp Mega</t>
  </si>
  <si>
    <t>Lucario Mega</t>
  </si>
  <si>
    <t>Abomasnow Mega</t>
  </si>
  <si>
    <t>Sceptile Mega</t>
  </si>
  <si>
    <t>Swampert Mega</t>
  </si>
  <si>
    <t>Sableye Mega</t>
  </si>
  <si>
    <t>Gallade Mega</t>
  </si>
  <si>
    <t>Manectric Mega</t>
  </si>
  <si>
    <t>Sharpedo Mega</t>
  </si>
  <si>
    <t>Camerupt Mega</t>
  </si>
  <si>
    <t>Altaria Mega</t>
  </si>
  <si>
    <t>Glalie Mega</t>
  </si>
  <si>
    <t>Salamence Mega</t>
  </si>
  <si>
    <t>Metagross Mega</t>
  </si>
  <si>
    <t>Kingler Mega</t>
  </si>
  <si>
    <t>Steelix Mega</t>
  </si>
  <si>
    <t xml:space="preserve">Fire </t>
  </si>
  <si>
    <t xml:space="preserve">Water </t>
  </si>
  <si>
    <t>Kyogre Primal</t>
  </si>
  <si>
    <t>Groudon Primal</t>
  </si>
  <si>
    <t>Rayquaza Mega</t>
  </si>
  <si>
    <t>001 - 1</t>
  </si>
  <si>
    <t>001 - 2</t>
  </si>
  <si>
    <t>002 - 1</t>
  </si>
  <si>
    <t>003 - 1</t>
  </si>
  <si>
    <t>003 - 2</t>
  </si>
  <si>
    <t>012 - 1</t>
  </si>
  <si>
    <t>015 - 1</t>
  </si>
  <si>
    <t>070 - 1</t>
  </si>
  <si>
    <t>018 - 1</t>
  </si>
  <si>
    <t>085 - 1</t>
  </si>
  <si>
    <t>102 - 1</t>
  </si>
  <si>
    <t>104 - 1</t>
  </si>
  <si>
    <t>108 - 1</t>
  </si>
  <si>
    <t>131 - 1</t>
  </si>
  <si>
    <t>152 - 1</t>
  </si>
  <si>
    <t>155 - 1</t>
  </si>
  <si>
    <t>156 - 1</t>
  </si>
  <si>
    <t>158 - 1</t>
  </si>
  <si>
    <t>180 - 1</t>
  </si>
  <si>
    <t>185 - 1</t>
  </si>
  <si>
    <t>185 - 2</t>
  </si>
  <si>
    <t xml:space="preserve">213 -1 </t>
  </si>
  <si>
    <t>142 - 1</t>
  </si>
  <si>
    <t>250 - 1</t>
  </si>
  <si>
    <t>269 - 1</t>
  </si>
  <si>
    <t>281 - 1</t>
  </si>
  <si>
    <t>287 - 1</t>
  </si>
  <si>
    <t>290 - 1</t>
  </si>
  <si>
    <t>293 - 1</t>
  </si>
  <si>
    <t>316 - 1</t>
  </si>
  <si>
    <t>317 -1</t>
  </si>
  <si>
    <t>337 - 1</t>
  </si>
  <si>
    <t>338 - 1</t>
  </si>
  <si>
    <t>341 - 1</t>
  </si>
  <si>
    <t>343 - 1</t>
  </si>
  <si>
    <t>356 - 1</t>
  </si>
  <si>
    <t>360 - 1</t>
  </si>
  <si>
    <t>345 - 1</t>
  </si>
  <si>
    <t>371 - 1</t>
  </si>
  <si>
    <t xml:space="preserve">391 -1 </t>
  </si>
  <si>
    <t>398 - 1</t>
  </si>
  <si>
    <t>400 -1</t>
  </si>
  <si>
    <t>412 - 1</t>
  </si>
  <si>
    <t>415 - 1</t>
  </si>
  <si>
    <t>419 - 1</t>
  </si>
  <si>
    <t>420 - 1</t>
  </si>
  <si>
    <t>421 - 1</t>
  </si>
  <si>
    <t xml:space="preserve">422 - 1 </t>
  </si>
  <si>
    <t>423 - 1</t>
  </si>
  <si>
    <t>475 - 1</t>
  </si>
  <si>
    <t>477 - 1</t>
  </si>
  <si>
    <t>488 - 1</t>
  </si>
  <si>
    <t>497 - 1</t>
  </si>
  <si>
    <t>489 - 3</t>
  </si>
  <si>
    <t>489 - 4</t>
  </si>
  <si>
    <t>489 - 2</t>
  </si>
  <si>
    <t>489 - 1</t>
  </si>
  <si>
    <t>489 - 5</t>
  </si>
  <si>
    <t>458 - 1</t>
  </si>
  <si>
    <t>459 - 1</t>
  </si>
  <si>
    <t>460 - 1</t>
  </si>
  <si>
    <t>450 - 2</t>
  </si>
  <si>
    <t>450 - 1</t>
  </si>
  <si>
    <t>425 - 1</t>
  </si>
  <si>
    <t>425 - 2</t>
  </si>
  <si>
    <t>425 - 3</t>
  </si>
  <si>
    <t>388 - 1</t>
  </si>
  <si>
    <t>388 - 2</t>
  </si>
  <si>
    <t>388 - 3</t>
  </si>
  <si>
    <t>002 - 2</t>
  </si>
  <si>
    <t>Hold</t>
  </si>
  <si>
    <t>Appliance</t>
  </si>
  <si>
    <t>Light of Ruin</t>
  </si>
  <si>
    <t>Moonblast</t>
  </si>
  <si>
    <t>May -SPATK Enemy</t>
  </si>
  <si>
    <t>Lunatone :)</t>
  </si>
  <si>
    <t>31 All</t>
  </si>
  <si>
    <t>Move</t>
  </si>
  <si>
    <t>Total Diff</t>
  </si>
  <si>
    <t>Pixilate</t>
  </si>
  <si>
    <t>Sand Force</t>
  </si>
  <si>
    <t>Primordial Sea</t>
  </si>
  <si>
    <t>Delta Stream</t>
  </si>
  <si>
    <t>Lopunny Mega</t>
  </si>
  <si>
    <t>464 - 1</t>
  </si>
  <si>
    <t xml:space="preserve">464 - 1 </t>
  </si>
  <si>
    <t>Grim Neigh</t>
  </si>
  <si>
    <t>Notes</t>
  </si>
  <si>
    <t>Will be Soul-Heart once implemented</t>
  </si>
  <si>
    <t>Rocky Payload</t>
  </si>
  <si>
    <t>Freeze Shock</t>
  </si>
  <si>
    <t>Pachirishu</t>
  </si>
  <si>
    <t>ice volt tackle</t>
  </si>
  <si>
    <t>Volt Tacke</t>
  </si>
  <si>
    <t>-5 PP, +20% para</t>
  </si>
  <si>
    <t>30% Para, 30% Recoil</t>
  </si>
  <si>
    <t>30% Para, 25% recoil</t>
  </si>
  <si>
    <t>Teravolt</t>
  </si>
  <si>
    <t>999.99kg</t>
  </si>
  <si>
    <t>Full Metal Body</t>
  </si>
  <si>
    <t>Rattled</t>
  </si>
  <si>
    <t>Self faints</t>
  </si>
  <si>
    <t xml:space="preserve">electrode </t>
  </si>
  <si>
    <t>Zapplosion</t>
  </si>
  <si>
    <t>the rock sucks</t>
  </si>
  <si>
    <t>the mouse sucks</t>
  </si>
  <si>
    <t>the ball sucks</t>
  </si>
  <si>
    <t>Bonemerang</t>
  </si>
  <si>
    <t>Hits twice</t>
  </si>
  <si>
    <t>+5 power, +5 acc</t>
  </si>
  <si>
    <t>30% Recoil</t>
  </si>
  <si>
    <t>This mon ignores Shadow Tag, Arena Trap, Magnet Pull</t>
  </si>
  <si>
    <t>Want to include to trapping moves e.g. whirlpool</t>
  </si>
  <si>
    <t>Present</t>
  </si>
  <si>
    <t>rework</t>
  </si>
  <si>
    <t>Heals User Half of Damage</t>
  </si>
  <si>
    <t>no reason over eq</t>
  </si>
  <si>
    <r>
      <rPr>
        <b/>
        <sz val="12"/>
        <color theme="1"/>
        <rFont val="Arial"/>
        <family val="2"/>
      </rPr>
      <t xml:space="preserve">Bold </t>
    </r>
    <r>
      <rPr>
        <sz val="12"/>
        <color theme="1"/>
        <rFont val="Arial"/>
        <family val="2"/>
      </rPr>
      <t>moves mean they are new moves</t>
    </r>
  </si>
  <si>
    <t>I also feel like ice, water and fire types are underappreciated for their stab cause the coverage is just so good</t>
  </si>
  <si>
    <t>Im open to reverting these, psychic is probably the most likely to revert anyway</t>
  </si>
  <si>
    <t>neat coverage + variance</t>
  </si>
  <si>
    <t>pointless move, trying to give purpose, open to ideas (with all of these)</t>
  </si>
  <si>
    <t>delibird, get it cause like the present is for deliberd itself idk, delibird needs some love</t>
  </si>
  <si>
    <t xml:space="preserve">Rework </t>
  </si>
  <si>
    <t>Unevere</t>
  </si>
  <si>
    <t>Gale Wings</t>
  </si>
  <si>
    <t>Fluffy</t>
  </si>
  <si>
    <t>Dragon's Maw</t>
  </si>
  <si>
    <t>Cursed Body</t>
  </si>
  <si>
    <t>basically swapped steelix w/ aggron in atk + def cause I think a massive fucking snake should do more than a thing 1/4th its size</t>
  </si>
  <si>
    <t>Guillotine</t>
  </si>
  <si>
    <t>50% HP recoil</t>
  </si>
  <si>
    <t>Sheer Cold</t>
  </si>
  <si>
    <t>kingler, crawdaunt, gliscor</t>
  </si>
  <si>
    <t>regice, glalie</t>
  </si>
  <si>
    <t>Fury Attack</t>
  </si>
  <si>
    <t>Comet Punch</t>
  </si>
  <si>
    <t xml:space="preserve">Fighting </t>
  </si>
  <si>
    <t>Cut</t>
  </si>
  <si>
    <t>Strength</t>
  </si>
  <si>
    <t>Flash</t>
  </si>
  <si>
    <t>Rock Climb</t>
  </si>
  <si>
    <t>Rock Smash</t>
  </si>
  <si>
    <t>20% Confuse</t>
  </si>
  <si>
    <t>50% -ACC</t>
  </si>
  <si>
    <t>1/8 Crit</t>
  </si>
  <si>
    <t>unown, solrock</t>
  </si>
  <si>
    <t>the rock and letters suck</t>
  </si>
  <si>
    <t>Draining Kiss</t>
  </si>
  <si>
    <t>1/3 DMG Recoil</t>
  </si>
  <si>
    <t>the bird sucks</t>
  </si>
  <si>
    <t>the child sucks</t>
  </si>
  <si>
    <t>the ice sucks</t>
  </si>
  <si>
    <t>the crabs suck</t>
  </si>
  <si>
    <t>Fortress Face</t>
  </si>
  <si>
    <t>Immune to Fighting Type Moves</t>
  </si>
  <si>
    <t>Want to make it deal recoil but can't work out how</t>
  </si>
  <si>
    <t>Signature</t>
  </si>
  <si>
    <t>Cephalalgia Surge</t>
  </si>
  <si>
    <t>Doubles SPA.</t>
  </si>
  <si>
    <t>Special Huge Power</t>
  </si>
  <si>
    <r>
      <rPr>
        <b/>
        <sz val="12"/>
        <color theme="1"/>
        <rFont val="Arial"/>
        <family val="2"/>
      </rPr>
      <t xml:space="preserve">Bold </t>
    </r>
    <r>
      <rPr>
        <sz val="12"/>
        <color theme="1"/>
        <rFont val="Arial"/>
        <family val="2"/>
      </rPr>
      <t>abilites mean they are new abilities</t>
    </r>
  </si>
  <si>
    <t>will change the % based on feedback</t>
  </si>
  <si>
    <t>Toxic Boost</t>
  </si>
  <si>
    <t>30%+ ATK, 30%+ SPE</t>
  </si>
  <si>
    <t>Multiply ACC by 1.3</t>
  </si>
  <si>
    <t>Multiply ACC by 1.5</t>
  </si>
  <si>
    <t>Wonderskin</t>
  </si>
  <si>
    <t>ACC of Status Moves  0%</t>
  </si>
  <si>
    <t>will be 2x vs steel when i can work out how</t>
  </si>
  <si>
    <t>Choice Scarf</t>
  </si>
  <si>
    <t>30% SPE boost</t>
  </si>
  <si>
    <t>30% ATK boost</t>
  </si>
  <si>
    <t>30% SPA boost</t>
  </si>
  <si>
    <t>Deep Sea Tooth</t>
  </si>
  <si>
    <t>Deep Sea Scale</t>
  </si>
  <si>
    <t>Move power 50% boost</t>
  </si>
  <si>
    <t>Who</t>
  </si>
  <si>
    <t>Clamperl, Huntail</t>
  </si>
  <si>
    <t>Clamperl, Gorebyss</t>
  </si>
  <si>
    <t>DEF, SPD 50% boost</t>
  </si>
  <si>
    <t>Battery</t>
  </si>
  <si>
    <t>Steam Eurption</t>
  </si>
  <si>
    <t>Grassy Terrain</t>
  </si>
  <si>
    <t>Change</t>
  </si>
  <si>
    <t>Reduce Ground + Flying move damage by 20%. Removed the earthquake stuff</t>
  </si>
  <si>
    <t>3 Turns to 'Get it going'</t>
  </si>
  <si>
    <t>50% Boost in Rain. Null Type reduction.</t>
  </si>
  <si>
    <t>maybe 85 if it too strong</t>
  </si>
  <si>
    <t>Big Pecks</t>
  </si>
  <si>
    <t>Prevents lower of ATK and DEF</t>
  </si>
  <si>
    <t>30% Boost on Slicing Moves</t>
  </si>
  <si>
    <t>30% Boost on Punching Moves</t>
  </si>
  <si>
    <t>Ally SPA+ 40%</t>
  </si>
  <si>
    <t>40% ATK Boost</t>
  </si>
  <si>
    <t xml:space="preserve">Buffed cause mostly util that gets 99% </t>
  </si>
  <si>
    <t>purifying salt at home</t>
  </si>
  <si>
    <t>Harvest Winds</t>
  </si>
  <si>
    <t>125% vs same gender, 75% vs opposite gender</t>
  </si>
  <si>
    <t>Regi can't learn Protect</t>
  </si>
  <si>
    <t>Lethal Legs</t>
  </si>
  <si>
    <t>30% Boost on Kicking Moves</t>
  </si>
  <si>
    <t>25% Boost on Grass &amp; Flying Moves</t>
  </si>
  <si>
    <t>Eurptive Might</t>
  </si>
  <si>
    <t>+1 PRIO on Fire Moves when Full HP</t>
  </si>
  <si>
    <t>Eruptive Might</t>
  </si>
  <si>
    <t>Overcoat</t>
  </si>
  <si>
    <t>Merciless</t>
  </si>
  <si>
    <t>Perma drizzle</t>
  </si>
  <si>
    <t>Perma ice</t>
  </si>
  <si>
    <t>"bloody water leak in my gym" and the town is perma raining</t>
  </si>
  <si>
    <t>Brick Break</t>
  </si>
  <si>
    <t>Sleep Powder</t>
  </si>
  <si>
    <t>Psywave</t>
  </si>
  <si>
    <t>Air Slash</t>
  </si>
  <si>
    <t>Ancient Power</t>
  </si>
  <si>
    <t>prio, 1 PP</t>
  </si>
  <si>
    <t>N/'A</t>
  </si>
  <si>
    <t>+1 Prio</t>
  </si>
  <si>
    <t>40% -DEF</t>
  </si>
  <si>
    <t xml:space="preserve">trainer recently discovered elemental stone evolves the fearow </t>
  </si>
  <si>
    <t>"yo how did no one try this before"</t>
  </si>
  <si>
    <t>Charizard Mega Z</t>
  </si>
  <si>
    <t>002 - 3</t>
  </si>
  <si>
    <t>MEGAS PROVIDE +55 STATS</t>
  </si>
  <si>
    <t>Raichu Mega X</t>
  </si>
  <si>
    <t>Raichu Mega Y</t>
  </si>
  <si>
    <t>Clefable Mega</t>
  </si>
  <si>
    <t>Victreebell</t>
  </si>
  <si>
    <t>Starmie Mega</t>
  </si>
  <si>
    <t>Dragonite Mega</t>
  </si>
  <si>
    <t>Feraligatr Mega</t>
  </si>
  <si>
    <t>Meganium Mega</t>
  </si>
  <si>
    <t>Skarmory Mega</t>
  </si>
  <si>
    <t>Chimecho Mega</t>
  </si>
  <si>
    <t>Absol Mega Z</t>
  </si>
  <si>
    <t>Staraptor Mega</t>
  </si>
  <si>
    <t>Garchomp Mega Z</t>
  </si>
  <si>
    <t>Lucario Mega Z</t>
  </si>
  <si>
    <t>Froslass Mega</t>
  </si>
  <si>
    <t>Heatran Mega</t>
  </si>
  <si>
    <t>Darkrai Mega</t>
  </si>
  <si>
    <t>eevee gets + 125 stats</t>
  </si>
  <si>
    <t>Mewtwo Mega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</si>
</sst>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4" x14ac:knownFonts="1">
    <font>
      <sz val="11"/>
      <color theme="1"/>
      <name val="Aptos Narrow"/>
      <family val="2"/>
      <scheme val="minor"/>
    </font>
    <font>
      <b/>
      <sz val="12"/>
      <color theme="2"/>
      <name val="Arial"/>
      <family val="2"/>
    </font>
    <font>
      <b/>
      <sz val="12"/>
      <color theme="1"/>
      <name val="Arial"/>
      <family val="2"/>
    </font>
    <font>
      <sz val="12"/>
      <color theme="2"/>
      <name val="Arial"/>
      <family val="2"/>
    </font>
    <font>
      <sz val="12"/>
      <color theme="1"/>
      <name val="Arial"/>
      <family val="2"/>
    </font>
    <font>
      <sz val="11"/>
      <color theme="2"/>
      <name val="Arial"/>
      <family val="2"/>
    </font>
    <font>
      <sz val="11"/>
      <color theme="1"/>
      <name val="Arial"/>
      <family val="2"/>
    </font>
    <font>
      <u/>
      <sz val="11"/>
      <color theme="10"/>
      <name val="Aptos Narrow"/>
      <family val="2"/>
      <scheme val="minor"/>
    </font>
    <font>
      <u/>
      <sz val="12"/>
      <color rgb="FF0070C0"/>
      <name val="Arial"/>
      <family val="2"/>
    </font>
    <font>
      <sz val="12"/>
      <color theme="0"/>
      <name val="Arial"/>
      <family val="2"/>
    </font>
    <font>
      <b/>
      <sz val="12"/>
      <color theme="0"/>
      <name val="Arial"/>
      <family val="2"/>
    </font>
    <font>
      <u/>
      <sz val="12"/>
      <color theme="1"/>
      <name val="Arial"/>
      <family val="2"/>
    </font>
    <font>
      <u/>
      <sz val="12"/>
      <color theme="10"/>
      <name val="Arial"/>
      <family val="2"/>
    </font>
    <font>
      <sz val="11"/>
      <color rgb="FF9C5700"/>
      <name val="Aptos Narrow"/>
      <family val="2"/>
      <scheme val="minor"/>
    </font>
    <font>
      <b/>
      <sz val="12"/>
      <name val="Arial"/>
      <family val="2"/>
    </font>
    <font>
      <sz val="8"/>
      <name val="Aptos Narrow"/>
      <family val="2"/>
      <scheme val="minor"/>
    </font>
    <font>
      <sz val="11"/>
      <color rgb="FF9C0006"/>
      <name val="Aptos Narrow"/>
      <family val="2"/>
      <scheme val="minor"/>
    </font>
    <font>
      <sz val="12"/>
      <color rgb="FF9C0006"/>
      <name val="Arial"/>
      <family val="2"/>
    </font>
    <font>
      <u/>
      <sz val="18"/>
      <color theme="1"/>
      <name val="Arial"/>
      <family val="2"/>
    </font>
    <font>
      <sz val="12"/>
      <color rgb="FF000000"/>
      <name val="Arial"/>
      <family val="2"/>
    </font>
    <font>
      <sz val="16"/>
      <color theme="1"/>
      <name val="Arial"/>
      <family val="2"/>
    </font>
    <font>
      <b/>
      <sz val="16"/>
      <color theme="2"/>
      <name val="Arial"/>
      <family val="2"/>
    </font>
    <font>
      <sz val="16"/>
      <color theme="2"/>
      <name val="Arial"/>
      <family val="2"/>
    </font>
    <font>
      <sz val="11"/>
      <color theme="0"/>
      <name val="Aptos Narrow"/>
      <family val="2"/>
      <scheme val="minor"/>
    </font>
  </fonts>
  <fills count="194">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434343"/>
        <bgColor indexed="64"/>
      </patternFill>
    </fill>
    <fill>
      <patternFill patternType="solid">
        <fgColor rgb="FF1C4587"/>
        <bgColor indexed="64"/>
      </patternFill>
    </fill>
    <fill>
      <patternFill patternType="solid">
        <fgColor rgb="FFA8A87C"/>
        <bgColor indexed="64"/>
      </patternFill>
    </fill>
    <fill>
      <patternFill patternType="solid">
        <fgColor rgb="FFC32D29"/>
        <bgColor indexed="64"/>
      </patternFill>
    </fill>
    <fill>
      <patternFill patternType="solid">
        <fgColor rgb="FFA990EB"/>
        <bgColor indexed="64"/>
      </patternFill>
    </fill>
    <fill>
      <patternFill patternType="solid">
        <fgColor rgb="FFA33F9C"/>
        <bgColor indexed="64"/>
      </patternFill>
    </fill>
    <fill>
      <patternFill patternType="solid">
        <fgColor rgb="FFE1C071"/>
        <bgColor indexed="64"/>
      </patternFill>
    </fill>
    <fill>
      <patternFill patternType="solid">
        <fgColor rgb="FFB9A045"/>
        <bgColor indexed="64"/>
      </patternFill>
    </fill>
    <fill>
      <patternFill patternType="solid">
        <fgColor rgb="FFA7B83C"/>
        <bgColor indexed="64"/>
      </patternFill>
    </fill>
    <fill>
      <patternFill patternType="solid">
        <fgColor rgb="FF715895"/>
        <bgColor indexed="64"/>
      </patternFill>
    </fill>
    <fill>
      <patternFill patternType="solid">
        <fgColor rgb="FFB8B8CF"/>
        <bgColor indexed="64"/>
      </patternFill>
    </fill>
    <fill>
      <patternFill patternType="solid">
        <fgColor rgb="FFF37F3A"/>
        <bgColor indexed="64"/>
      </patternFill>
    </fill>
    <fill>
      <patternFill patternType="solid">
        <fgColor rgb="FF6590EB"/>
        <bgColor indexed="64"/>
      </patternFill>
    </fill>
    <fill>
      <patternFill patternType="solid">
        <fgColor rgb="FF73C85E"/>
        <bgColor indexed="64"/>
      </patternFill>
    </fill>
    <fill>
      <patternFill patternType="solid">
        <fgColor rgb="FFFAD04A"/>
        <bgColor indexed="64"/>
      </patternFill>
    </fill>
    <fill>
      <patternFill patternType="solid">
        <fgColor rgb="FFFC5586"/>
        <bgColor indexed="64"/>
      </patternFill>
    </fill>
    <fill>
      <patternFill patternType="solid">
        <fgColor rgb="FF94D8D8"/>
        <bgColor indexed="64"/>
      </patternFill>
    </fill>
    <fill>
      <patternFill patternType="solid">
        <fgColor rgb="FF7138F1"/>
        <bgColor indexed="64"/>
      </patternFill>
    </fill>
    <fill>
      <patternFill patternType="solid">
        <fgColor rgb="FF715849"/>
        <bgColor indexed="64"/>
      </patternFill>
    </fill>
    <fill>
      <patternFill patternType="solid">
        <fgColor rgb="FF660000"/>
        <bgColor indexed="64"/>
      </patternFill>
    </fill>
    <fill>
      <patternFill patternType="solid">
        <fgColor rgb="FFFF0000"/>
        <bgColor indexed="64"/>
      </patternFill>
    </fill>
    <fill>
      <patternFill patternType="solid">
        <fgColor rgb="FF000000"/>
        <bgColor indexed="64"/>
      </patternFill>
    </fill>
    <fill>
      <patternFill patternType="solid">
        <fgColor rgb="FF38761D"/>
        <bgColor indexed="64"/>
      </patternFill>
    </fill>
    <fill>
      <patternFill patternType="solid">
        <fgColor rgb="FFEFC074"/>
        <bgColor indexed="64"/>
      </patternFill>
    </fill>
    <fill>
      <patternFill patternType="solid">
        <fgColor rgb="FFAC5F2C"/>
        <bgColor indexed="64"/>
      </patternFill>
    </fill>
    <fill>
      <patternFill patternType="solid">
        <fgColor rgb="FFFFEB9C"/>
      </patternFill>
    </fill>
    <fill>
      <patternFill patternType="solid">
        <fgColor rgb="FFDEDEBD"/>
        <bgColor indexed="64"/>
      </patternFill>
    </fill>
    <fill>
      <patternFill patternType="solid">
        <fgColor rgb="FFACAC8B"/>
        <bgColor indexed="64"/>
      </patternFill>
    </fill>
    <fill>
      <patternFill patternType="solid">
        <fgColor rgb="FF6ADE41"/>
        <bgColor indexed="64"/>
      </patternFill>
    </fill>
    <fill>
      <patternFill patternType="solid">
        <fgColor rgb="FF493910"/>
        <bgColor indexed="64"/>
      </patternFill>
    </fill>
    <fill>
      <patternFill patternType="solid">
        <fgColor rgb="FF6A5A31"/>
        <bgColor indexed="64"/>
      </patternFill>
    </fill>
    <fill>
      <patternFill patternType="solid">
        <fgColor rgb="FF8B8352"/>
        <bgColor indexed="64"/>
      </patternFill>
    </fill>
    <fill>
      <patternFill patternType="solid">
        <fgColor rgb="FFAAAA91"/>
        <bgColor indexed="64"/>
      </patternFill>
    </fill>
    <fill>
      <patternFill patternType="solid">
        <fgColor rgb="FFFFC7CE"/>
      </patternFill>
    </fill>
    <fill>
      <patternFill patternType="solid">
        <fgColor rgb="FF082850"/>
        <bgColor indexed="64"/>
      </patternFill>
    </fill>
    <fill>
      <patternFill patternType="solid">
        <fgColor rgb="FF401020"/>
        <bgColor indexed="64"/>
      </patternFill>
    </fill>
    <fill>
      <patternFill patternType="solid">
        <fgColor rgb="FF081838"/>
        <bgColor indexed="64"/>
      </patternFill>
    </fill>
    <fill>
      <patternFill patternType="solid">
        <fgColor rgb="FF682038"/>
        <bgColor indexed="64"/>
      </patternFill>
    </fill>
    <fill>
      <patternFill patternType="solid">
        <fgColor rgb="FFD88040"/>
        <bgColor indexed="64"/>
      </patternFill>
    </fill>
    <fill>
      <patternFill patternType="solid">
        <fgColor rgb="FF6080A8"/>
        <bgColor indexed="64"/>
      </patternFill>
    </fill>
    <fill>
      <patternFill patternType="solid">
        <fgColor rgb="FF98B0E0"/>
        <bgColor indexed="64"/>
      </patternFill>
    </fill>
    <fill>
      <patternFill patternType="solid">
        <fgColor rgb="FFA88020"/>
        <bgColor indexed="64"/>
      </patternFill>
    </fill>
    <fill>
      <patternFill patternType="solid">
        <fgColor rgb="FFE8C848"/>
        <bgColor indexed="64"/>
      </patternFill>
    </fill>
    <fill>
      <patternFill patternType="solid">
        <fgColor rgb="FFD0D8E0"/>
        <bgColor indexed="64"/>
      </patternFill>
    </fill>
    <fill>
      <patternFill patternType="solid">
        <fgColor rgb="FFF8F8F8"/>
        <bgColor indexed="64"/>
      </patternFill>
    </fill>
    <fill>
      <patternFill patternType="solid">
        <fgColor rgb="FFD0D0E0"/>
        <bgColor indexed="64"/>
      </patternFill>
    </fill>
    <fill>
      <patternFill patternType="solid">
        <fgColor rgb="FF282838"/>
        <bgColor indexed="64"/>
      </patternFill>
    </fill>
    <fill>
      <patternFill patternType="solid">
        <fgColor rgb="FF384058"/>
        <bgColor indexed="64"/>
      </patternFill>
    </fill>
    <fill>
      <patternFill patternType="solid">
        <fgColor rgb="FFD8A078"/>
        <bgColor indexed="64"/>
      </patternFill>
    </fill>
    <fill>
      <patternFill patternType="solid">
        <fgColor rgb="FFF8D0B8"/>
        <bgColor indexed="64"/>
      </patternFill>
    </fill>
    <fill>
      <patternFill patternType="solid">
        <fgColor rgb="FF784858"/>
        <bgColor indexed="64"/>
      </patternFill>
    </fill>
    <fill>
      <patternFill patternType="solid">
        <fgColor rgb="FFB87860"/>
        <bgColor indexed="64"/>
      </patternFill>
    </fill>
    <fill>
      <patternFill patternType="solid">
        <fgColor rgb="FFB04060"/>
        <bgColor indexed="64"/>
      </patternFill>
    </fill>
    <fill>
      <patternFill patternType="solid">
        <fgColor rgb="FF282828"/>
        <bgColor indexed="64"/>
      </patternFill>
    </fill>
    <fill>
      <patternFill patternType="solid">
        <fgColor rgb="FF909098"/>
        <bgColor indexed="64"/>
      </patternFill>
    </fill>
    <fill>
      <patternFill patternType="solid">
        <fgColor rgb="FF784898"/>
        <bgColor indexed="64"/>
      </patternFill>
    </fill>
    <fill>
      <patternFill patternType="solid">
        <fgColor rgb="FF503060"/>
        <bgColor indexed="64"/>
      </patternFill>
    </fill>
    <fill>
      <patternFill patternType="solid">
        <fgColor rgb="FF31314A"/>
        <bgColor indexed="64"/>
      </patternFill>
    </fill>
    <fill>
      <patternFill patternType="solid">
        <fgColor rgb="FF52C5D6"/>
        <bgColor indexed="64"/>
      </patternFill>
    </fill>
    <fill>
      <patternFill patternType="solid">
        <fgColor rgb="FF4A9CCE"/>
        <bgColor indexed="64"/>
      </patternFill>
    </fill>
    <fill>
      <patternFill patternType="solid">
        <fgColor rgb="FFFFDE8C"/>
        <bgColor indexed="64"/>
      </patternFill>
    </fill>
    <fill>
      <patternFill patternType="solid">
        <fgColor rgb="FFDEA57B"/>
        <bgColor indexed="64"/>
      </patternFill>
    </fill>
    <fill>
      <patternFill patternType="solid">
        <fgColor rgb="FFEFF7FF"/>
        <bgColor indexed="64"/>
      </patternFill>
    </fill>
    <fill>
      <patternFill patternType="solid">
        <fgColor rgb="FFC5D6FF"/>
        <bgColor indexed="64"/>
      </patternFill>
    </fill>
    <fill>
      <patternFill patternType="solid">
        <fgColor rgb="FF296B8C"/>
        <bgColor indexed="64"/>
      </patternFill>
    </fill>
    <fill>
      <patternFill patternType="solid">
        <fgColor rgb="FF4A8CA5"/>
        <bgColor indexed="64"/>
      </patternFill>
    </fill>
    <fill>
      <patternFill patternType="solid">
        <fgColor rgb="FF73735A"/>
        <bgColor indexed="64"/>
      </patternFill>
    </fill>
    <fill>
      <patternFill patternType="solid">
        <fgColor rgb="FF7B4A5A"/>
        <bgColor indexed="64"/>
      </patternFill>
    </fill>
    <fill>
      <patternFill patternType="solid">
        <fgColor rgb="FF9DDFBE"/>
        <bgColor indexed="64"/>
      </patternFill>
    </fill>
    <fill>
      <patternFill patternType="solid">
        <fgColor rgb="FF7BB595"/>
        <bgColor indexed="64"/>
      </patternFill>
    </fill>
    <fill>
      <patternFill patternType="solid">
        <fgColor rgb="FFB5BEBE"/>
        <bgColor indexed="64"/>
      </patternFill>
    </fill>
    <fill>
      <patternFill patternType="solid">
        <fgColor rgb="FFF79573"/>
        <bgColor indexed="64"/>
      </patternFill>
    </fill>
    <fill>
      <patternFill patternType="solid">
        <fgColor rgb="FFC6624A"/>
        <bgColor indexed="64"/>
      </patternFill>
    </fill>
    <fill>
      <patternFill patternType="solid">
        <fgColor rgb="FF633152"/>
        <bgColor indexed="64"/>
      </patternFill>
    </fill>
    <fill>
      <patternFill patternType="solid">
        <fgColor rgb="FF9C4A63"/>
        <bgColor indexed="64"/>
      </patternFill>
    </fill>
    <fill>
      <patternFill patternType="solid">
        <fgColor rgb="FF7B737B"/>
        <bgColor indexed="64"/>
      </patternFill>
    </fill>
    <fill>
      <patternFill patternType="solid">
        <fgColor rgb="FFADADC5"/>
        <bgColor indexed="64"/>
      </patternFill>
    </fill>
    <fill>
      <patternFill patternType="solid">
        <fgColor rgb="FF4A3A31"/>
        <bgColor indexed="64"/>
      </patternFill>
    </fill>
    <fill>
      <patternFill patternType="solid">
        <fgColor rgb="FF6B5A4A"/>
        <bgColor indexed="64"/>
      </patternFill>
    </fill>
    <fill>
      <patternFill patternType="solid">
        <fgColor rgb="FF783030"/>
        <bgColor indexed="64"/>
      </patternFill>
    </fill>
    <fill>
      <patternFill patternType="solid">
        <fgColor rgb="FF9060A0"/>
        <bgColor indexed="64"/>
      </patternFill>
    </fill>
    <fill>
      <patternFill patternType="solid">
        <fgColor rgb="FFA03878"/>
        <bgColor indexed="64"/>
      </patternFill>
    </fill>
    <fill>
      <patternFill patternType="solid">
        <fgColor rgb="FF303030"/>
        <bgColor indexed="64"/>
      </patternFill>
    </fill>
    <fill>
      <patternFill patternType="solid">
        <fgColor rgb="FF505050"/>
        <bgColor indexed="64"/>
      </patternFill>
    </fill>
    <fill>
      <patternFill patternType="solid">
        <fgColor rgb="FFE0C010"/>
        <bgColor indexed="64"/>
      </patternFill>
    </fill>
    <fill>
      <patternFill patternType="solid">
        <fgColor rgb="FF807850"/>
        <bgColor indexed="64"/>
      </patternFill>
    </fill>
    <fill>
      <patternFill patternType="solid">
        <fgColor rgb="FF634A8C"/>
        <bgColor indexed="64"/>
      </patternFill>
    </fill>
    <fill>
      <patternFill patternType="solid">
        <fgColor rgb="FF3A293A"/>
        <bgColor indexed="64"/>
      </patternFill>
    </fill>
    <fill>
      <patternFill patternType="solid">
        <fgColor rgb="FFB5B5C5"/>
        <bgColor indexed="64"/>
      </patternFill>
    </fill>
    <fill>
      <patternFill patternType="solid">
        <fgColor rgb="FFEFEFFF"/>
        <bgColor indexed="64"/>
      </patternFill>
    </fill>
    <fill>
      <patternFill patternType="solid">
        <fgColor rgb="FFC5C56A"/>
        <bgColor indexed="64"/>
      </patternFill>
    </fill>
    <fill>
      <patternFill patternType="solid">
        <fgColor rgb="FFFFFFFE"/>
        <bgColor indexed="64"/>
      </patternFill>
    </fill>
    <fill>
      <patternFill patternType="solid">
        <fgColor rgb="FFCECECE"/>
        <bgColor indexed="64"/>
      </patternFill>
    </fill>
    <fill>
      <patternFill patternType="solid">
        <fgColor rgb="FFAD3A63"/>
        <bgColor indexed="64"/>
      </patternFill>
    </fill>
    <fill>
      <patternFill patternType="solid">
        <fgColor rgb="FF7B293A"/>
        <bgColor indexed="64"/>
      </patternFill>
    </fill>
    <fill>
      <patternFill patternType="solid">
        <fgColor rgb="FFEFB521"/>
        <bgColor indexed="64"/>
      </patternFill>
    </fill>
    <fill>
      <patternFill patternType="solid">
        <fgColor rgb="FF315A8C"/>
        <bgColor indexed="64"/>
      </patternFill>
    </fill>
    <fill>
      <patternFill patternType="solid">
        <fgColor rgb="FF84D694"/>
        <bgColor indexed="64"/>
      </patternFill>
    </fill>
    <fill>
      <patternFill patternType="solid">
        <fgColor rgb="FF315242"/>
        <bgColor indexed="64"/>
      </patternFill>
    </fill>
    <fill>
      <patternFill patternType="solid">
        <fgColor rgb="FF6B528C"/>
        <bgColor indexed="64"/>
      </patternFill>
    </fill>
    <fill>
      <patternFill patternType="solid">
        <fgColor rgb="FF9473BD"/>
        <bgColor indexed="64"/>
      </patternFill>
    </fill>
    <fill>
      <patternFill patternType="solid">
        <fgColor rgb="FFEFDE63"/>
        <bgColor indexed="64"/>
      </patternFill>
    </fill>
    <fill>
      <patternFill patternType="solid">
        <fgColor rgb="FF52B5BD"/>
        <bgColor indexed="64"/>
      </patternFill>
    </fill>
    <fill>
      <patternFill patternType="solid">
        <fgColor rgb="FF1073A5"/>
        <bgColor indexed="64"/>
      </patternFill>
    </fill>
    <fill>
      <patternFill patternType="solid">
        <fgColor rgb="FF105A8C"/>
        <bgColor indexed="64"/>
      </patternFill>
    </fill>
    <fill>
      <patternFill patternType="solid">
        <fgColor rgb="FFB5BDC5"/>
        <bgColor indexed="64"/>
      </patternFill>
    </fill>
    <fill>
      <patternFill patternType="solid">
        <fgColor rgb="FF6B7384"/>
        <bgColor indexed="64"/>
      </patternFill>
    </fill>
    <fill>
      <patternFill patternType="solid">
        <fgColor rgb="FF989878"/>
        <bgColor indexed="64"/>
      </patternFill>
    </fill>
    <fill>
      <patternFill patternType="solid">
        <fgColor rgb="FF807060"/>
        <bgColor indexed="64"/>
      </patternFill>
    </fill>
    <fill>
      <patternFill patternType="solid">
        <fgColor rgb="FFC0C0B8"/>
        <bgColor indexed="64"/>
      </patternFill>
    </fill>
    <fill>
      <patternFill patternType="solid">
        <fgColor rgb="FFD8D078"/>
        <bgColor indexed="64"/>
      </patternFill>
    </fill>
    <fill>
      <patternFill patternType="solid">
        <fgColor rgb="FFA89040"/>
        <bgColor indexed="64"/>
      </patternFill>
    </fill>
    <fill>
      <patternFill patternType="solid">
        <fgColor rgb="FF303850"/>
        <bgColor indexed="64"/>
      </patternFill>
    </fill>
    <fill>
      <patternFill patternType="solid">
        <fgColor rgb="FFA5426B"/>
        <bgColor indexed="64"/>
      </patternFill>
    </fill>
    <fill>
      <patternFill patternType="solid">
        <fgColor rgb="FFCE6393"/>
        <bgColor indexed="64"/>
      </patternFill>
    </fill>
    <fill>
      <patternFill patternType="solid">
        <fgColor rgb="FF19DE73"/>
        <bgColor indexed="64"/>
      </patternFill>
    </fill>
    <fill>
      <patternFill patternType="solid">
        <fgColor rgb="FF638494"/>
        <bgColor indexed="64"/>
      </patternFill>
    </fill>
    <fill>
      <patternFill patternType="solid">
        <fgColor rgb="FF3A525A"/>
        <bgColor indexed="64"/>
      </patternFill>
    </fill>
    <fill>
      <patternFill patternType="solid">
        <fgColor rgb="FF525252"/>
        <bgColor indexed="64"/>
      </patternFill>
    </fill>
    <fill>
      <patternFill patternType="solid">
        <fgColor rgb="FFD6C563"/>
        <bgColor indexed="64"/>
      </patternFill>
    </fill>
    <fill>
      <patternFill patternType="solid">
        <fgColor rgb="FF94195A"/>
        <bgColor indexed="64"/>
      </patternFill>
    </fill>
    <fill>
      <patternFill patternType="solid">
        <fgColor rgb="FFC5524A"/>
        <bgColor indexed="64"/>
      </patternFill>
    </fill>
    <fill>
      <patternFill patternType="solid">
        <fgColor rgb="FFEF8C5A"/>
        <bgColor indexed="64"/>
      </patternFill>
    </fill>
    <fill>
      <patternFill patternType="solid">
        <fgColor rgb="FF313131"/>
        <bgColor indexed="64"/>
      </patternFill>
    </fill>
    <fill>
      <patternFill patternType="solid">
        <fgColor rgb="FF5A5A5A"/>
        <bgColor indexed="64"/>
      </patternFill>
    </fill>
    <fill>
      <patternFill patternType="solid">
        <fgColor rgb="FFB0E0F0"/>
        <bgColor indexed="64"/>
      </patternFill>
    </fill>
    <fill>
      <patternFill patternType="solid">
        <fgColor rgb="FF80A8C0"/>
        <bgColor indexed="64"/>
      </patternFill>
    </fill>
    <fill>
      <patternFill patternType="solid">
        <fgColor rgb="FF3890A8"/>
        <bgColor indexed="64"/>
      </patternFill>
    </fill>
    <fill>
      <patternFill patternType="solid">
        <fgColor rgb="FFE8F0F8"/>
        <bgColor indexed="64"/>
      </patternFill>
    </fill>
    <fill>
      <patternFill patternType="solid">
        <fgColor rgb="FFC88848"/>
        <bgColor indexed="64"/>
      </patternFill>
    </fill>
    <fill>
      <patternFill patternType="solid">
        <fgColor rgb="FFE8B078"/>
        <bgColor indexed="64"/>
      </patternFill>
    </fill>
    <fill>
      <patternFill patternType="solid">
        <fgColor rgb="FFCE3A7B"/>
        <bgColor indexed="64"/>
      </patternFill>
    </fill>
    <fill>
      <patternFill patternType="solid">
        <fgColor rgb="FF292931"/>
        <bgColor indexed="64"/>
      </patternFill>
    </fill>
    <fill>
      <patternFill patternType="solid">
        <fgColor rgb="FF735A9C"/>
        <bgColor indexed="64"/>
      </patternFill>
    </fill>
    <fill>
      <patternFill patternType="solid">
        <fgColor rgb="FF634A7B"/>
        <bgColor indexed="64"/>
      </patternFill>
    </fill>
    <fill>
      <patternFill patternType="solid">
        <fgColor rgb="FFBDB521"/>
        <bgColor indexed="64"/>
      </patternFill>
    </fill>
    <fill>
      <patternFill patternType="solid">
        <fgColor rgb="FFBD7B63"/>
        <bgColor indexed="64"/>
      </patternFill>
    </fill>
    <fill>
      <patternFill patternType="solid">
        <fgColor rgb="FF841931"/>
        <bgColor indexed="64"/>
      </patternFill>
    </fill>
    <fill>
      <patternFill patternType="solid">
        <fgColor rgb="FFCECEDE"/>
        <bgColor indexed="64"/>
      </patternFill>
    </fill>
    <fill>
      <patternFill patternType="solid">
        <fgColor rgb="FF9C2942"/>
        <bgColor indexed="64"/>
      </patternFill>
    </fill>
    <fill>
      <patternFill patternType="solid">
        <fgColor rgb="FFAD8452"/>
        <bgColor indexed="64"/>
      </patternFill>
    </fill>
    <fill>
      <patternFill patternType="solid">
        <fgColor rgb="FF8C633A"/>
        <bgColor indexed="64"/>
      </patternFill>
    </fill>
    <fill>
      <patternFill patternType="solid">
        <fgColor rgb="FFD6843A"/>
        <bgColor indexed="64"/>
      </patternFill>
    </fill>
    <fill>
      <patternFill patternType="solid">
        <fgColor rgb="FF845A19"/>
        <bgColor indexed="64"/>
      </patternFill>
    </fill>
    <fill>
      <patternFill patternType="solid">
        <fgColor rgb="FF293A42"/>
        <bgColor indexed="64"/>
      </patternFill>
    </fill>
    <fill>
      <patternFill patternType="solid">
        <fgColor rgb="FF4A5A63"/>
        <bgColor indexed="64"/>
      </patternFill>
    </fill>
    <fill>
      <patternFill patternType="solid">
        <fgColor rgb="FFBD7B42"/>
        <bgColor indexed="64"/>
      </patternFill>
    </fill>
    <fill>
      <patternFill patternType="solid">
        <fgColor rgb="FFFF635A"/>
        <bgColor indexed="64"/>
      </patternFill>
    </fill>
    <fill>
      <patternFill patternType="solid">
        <fgColor rgb="FFC54242"/>
        <bgColor indexed="64"/>
      </patternFill>
    </fill>
    <fill>
      <patternFill patternType="solid">
        <fgColor rgb="FFC5BD52"/>
        <bgColor indexed="64"/>
      </patternFill>
    </fill>
    <fill>
      <patternFill patternType="solid">
        <fgColor rgb="FF529CB5"/>
        <bgColor indexed="64"/>
      </patternFill>
    </fill>
    <fill>
      <patternFill patternType="solid">
        <fgColor rgb="FF317B84"/>
        <bgColor indexed="64"/>
      </patternFill>
    </fill>
    <fill>
      <patternFill patternType="solid">
        <fgColor rgb="FFD6D6DE"/>
        <bgColor indexed="64"/>
      </patternFill>
    </fill>
    <fill>
      <patternFill patternType="solid">
        <fgColor rgb="FF3A3A3A"/>
        <bgColor indexed="64"/>
      </patternFill>
    </fill>
    <fill>
      <patternFill patternType="solid">
        <fgColor rgb="FFF7E6BD"/>
        <bgColor indexed="64"/>
      </patternFill>
    </fill>
    <fill>
      <patternFill patternType="solid">
        <fgColor rgb="FFEFC584"/>
        <bgColor indexed="64"/>
      </patternFill>
    </fill>
    <fill>
      <patternFill patternType="solid">
        <fgColor rgb="FFBD9C5A"/>
        <bgColor indexed="64"/>
      </patternFill>
    </fill>
    <fill>
      <patternFill patternType="solid">
        <fgColor rgb="FFFF5A10"/>
        <bgColor indexed="64"/>
      </patternFill>
    </fill>
    <fill>
      <patternFill patternType="solid">
        <fgColor rgb="FFBD4110"/>
        <bgColor indexed="64"/>
      </patternFill>
    </fill>
    <fill>
      <patternFill patternType="solid">
        <fgColor rgb="FFB4FFBD"/>
        <bgColor indexed="64"/>
      </patternFill>
    </fill>
    <fill>
      <patternFill patternType="solid">
        <fgColor rgb="FF41D552"/>
        <bgColor indexed="64"/>
      </patternFill>
    </fill>
    <fill>
      <patternFill patternType="solid">
        <fgColor rgb="FFC5C5C5"/>
        <bgColor indexed="64"/>
      </patternFill>
    </fill>
    <fill>
      <patternFill patternType="solid">
        <fgColor rgb="FFFFDE00"/>
        <bgColor indexed="64"/>
      </patternFill>
    </fill>
    <fill>
      <patternFill patternType="solid">
        <fgColor rgb="FFFFEE83"/>
        <bgColor indexed="64"/>
      </patternFill>
    </fill>
    <fill>
      <patternFill patternType="solid">
        <fgColor rgb="FFDEAC00"/>
        <bgColor indexed="64"/>
      </patternFill>
    </fill>
    <fill>
      <patternFill patternType="solid">
        <fgColor rgb="FFD5E6F6"/>
        <bgColor indexed="64"/>
      </patternFill>
    </fill>
    <fill>
      <patternFill patternType="solid">
        <fgColor rgb="FF9CACE6"/>
        <bgColor indexed="64"/>
      </patternFill>
    </fill>
    <fill>
      <patternFill patternType="solid">
        <fgColor rgb="FF5A73FF"/>
        <bgColor indexed="64"/>
      </patternFill>
    </fill>
    <fill>
      <patternFill patternType="solid">
        <fgColor rgb="FF29318B"/>
        <bgColor indexed="64"/>
      </patternFill>
    </fill>
    <fill>
      <patternFill patternType="solid">
        <fgColor rgb="FF61737A"/>
        <bgColor indexed="64"/>
      </patternFill>
    </fill>
    <fill>
      <patternFill patternType="solid">
        <fgColor rgb="FFDCEAF7"/>
        <bgColor indexed="64"/>
      </patternFill>
    </fill>
    <fill>
      <patternFill patternType="solid">
        <fgColor rgb="FFB4C5F6"/>
        <bgColor indexed="64"/>
      </patternFill>
    </fill>
    <fill>
      <patternFill patternType="solid">
        <fgColor rgb="FF3D459B"/>
        <bgColor indexed="64"/>
      </patternFill>
    </fill>
    <fill>
      <patternFill patternType="solid">
        <fgColor rgb="FFEE83B4"/>
        <bgColor indexed="64"/>
      </patternFill>
    </fill>
    <fill>
      <patternFill patternType="solid">
        <fgColor rgb="FF5A2951"/>
        <bgColor indexed="64"/>
      </patternFill>
    </fill>
    <fill>
      <patternFill patternType="solid">
        <fgColor rgb="FF0E0E0E"/>
        <bgColor indexed="64"/>
      </patternFill>
    </fill>
    <fill>
      <patternFill patternType="solid">
        <fgColor rgb="FFF5EABD"/>
        <bgColor rgb="FF000000"/>
      </patternFill>
    </fill>
    <fill>
      <patternFill patternType="solid">
        <fgColor rgb="FFC55A08"/>
        <bgColor indexed="64"/>
      </patternFill>
    </fill>
    <fill>
      <patternFill patternType="solid">
        <fgColor rgb="FFE68452"/>
        <bgColor indexed="64"/>
      </patternFill>
    </fill>
    <fill>
      <patternFill patternType="solid">
        <fgColor rgb="FF528463"/>
        <bgColor indexed="64"/>
      </patternFill>
    </fill>
    <fill>
      <patternFill patternType="solid">
        <fgColor rgb="FF7BA56B"/>
        <bgColor indexed="64"/>
      </patternFill>
    </fill>
    <fill>
      <patternFill patternType="solid">
        <fgColor rgb="FF7B634A"/>
        <bgColor indexed="64"/>
      </patternFill>
    </fill>
    <fill>
      <patternFill patternType="solid">
        <fgColor rgb="FF9C845A"/>
        <bgColor indexed="64"/>
      </patternFill>
    </fill>
    <fill>
      <patternFill patternType="solid">
        <fgColor rgb="FFFF9933"/>
        <bgColor indexed="64"/>
      </patternFill>
    </fill>
    <fill>
      <patternFill patternType="solid">
        <fgColor rgb="FF6A319C"/>
        <bgColor indexed="64"/>
      </patternFill>
    </fill>
    <fill>
      <patternFill patternType="solid">
        <fgColor rgb="FF837B9C"/>
        <bgColor indexed="64"/>
      </patternFill>
    </fill>
    <fill>
      <patternFill patternType="solid">
        <fgColor rgb="FFB4ACC5"/>
        <bgColor indexed="64"/>
      </patternFill>
    </fill>
    <fill>
      <patternFill patternType="solid">
        <fgColor rgb="FF383851"/>
        <bgColor indexed="64"/>
      </patternFill>
    </fill>
    <fill>
      <patternFill patternType="solid">
        <fgColor rgb="FFEEE6EE"/>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diagonal/>
    </border>
    <border>
      <left/>
      <right style="medium">
        <color rgb="FFCCCCCC"/>
      </right>
      <top style="medium">
        <color rgb="FFCCCCCC"/>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top/>
      <bottom style="medium">
        <color rgb="FFCCCCCC"/>
      </bottom>
      <diagonal/>
    </border>
    <border>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4">
    <xf numFmtId="0" fontId="0" fillId="0" borderId="0"/>
    <xf numFmtId="0" fontId="7" fillId="0" borderId="0" applyNumberFormat="0" applyFill="0" applyBorder="0" applyAlignment="0" applyProtection="0"/>
    <xf numFmtId="0" fontId="13" fillId="30" borderId="0" applyNumberFormat="0" applyBorder="0" applyAlignment="0" applyProtection="0"/>
    <xf numFmtId="0" fontId="16" fillId="38" borderId="0" applyNumberFormat="0" applyBorder="0" applyAlignment="0" applyProtection="0"/>
  </cellStyleXfs>
  <cellXfs count="294">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vertical="center"/>
    </xf>
    <xf numFmtId="164" fontId="3" fillId="2" borderId="0" xfId="0" applyNumberFormat="1"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1" fontId="4" fillId="3" borderId="0" xfId="0" applyNumberFormat="1" applyFont="1" applyFill="1" applyAlignment="1">
      <alignment horizontal="center" vertical="center"/>
    </xf>
    <xf numFmtId="0" fontId="3" fillId="3" borderId="0" xfId="0" applyFont="1" applyFill="1" applyAlignment="1">
      <alignment horizontal="center" vertical="center"/>
    </xf>
    <xf numFmtId="0" fontId="6" fillId="0" borderId="0" xfId="0" applyFont="1"/>
    <xf numFmtId="1" fontId="6" fillId="3" borderId="0" xfId="0" applyNumberFormat="1" applyFont="1" applyFill="1"/>
    <xf numFmtId="0" fontId="2" fillId="4" borderId="1" xfId="0" applyFont="1" applyFill="1" applyBorder="1" applyAlignment="1">
      <alignment horizontal="center" vertical="center"/>
    </xf>
    <xf numFmtId="0" fontId="8" fillId="0" borderId="0" xfId="1" applyFont="1"/>
    <xf numFmtId="0" fontId="4" fillId="3" borderId="0" xfId="0" applyFont="1" applyFill="1" applyAlignment="1">
      <alignment horizontal="center" vertical="center"/>
    </xf>
    <xf numFmtId="0" fontId="0" fillId="0" borderId="0" xfId="0" applyAlignment="1">
      <alignment horizontal="center" vertical="center"/>
    </xf>
    <xf numFmtId="164" fontId="5" fillId="2" borderId="0" xfId="0" applyNumberFormat="1" applyFont="1" applyFill="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1" fontId="6" fillId="3" borderId="0" xfId="0" applyNumberFormat="1" applyFont="1" applyFill="1" applyAlignment="1">
      <alignment horizontal="center" vertical="center"/>
    </xf>
    <xf numFmtId="1" fontId="4" fillId="0" borderId="0" xfId="0" applyNumberFormat="1" applyFont="1" applyAlignment="1">
      <alignment horizontal="center" vertical="center"/>
    </xf>
    <xf numFmtId="0" fontId="10" fillId="7" borderId="8"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10" fillId="9" borderId="8" xfId="0" applyFont="1" applyFill="1" applyBorder="1" applyAlignment="1">
      <alignment horizontal="center" vertical="center" wrapText="1"/>
    </xf>
    <xf numFmtId="0" fontId="10" fillId="10" borderId="8" xfId="0" applyFont="1" applyFill="1" applyBorder="1" applyAlignment="1">
      <alignment horizontal="center" vertical="center" wrapText="1"/>
    </xf>
    <xf numFmtId="0" fontId="10" fillId="11" borderId="8" xfId="0" applyFont="1" applyFill="1" applyBorder="1" applyAlignment="1">
      <alignment horizontal="center" vertical="center" wrapText="1"/>
    </xf>
    <xf numFmtId="0" fontId="10" fillId="12" borderId="8" xfId="0" applyFont="1" applyFill="1" applyBorder="1" applyAlignment="1">
      <alignment horizontal="center" vertical="center" wrapText="1"/>
    </xf>
    <xf numFmtId="0" fontId="10" fillId="13" borderId="8" xfId="0" applyFont="1" applyFill="1" applyBorder="1" applyAlignment="1">
      <alignment horizontal="center" vertical="center" wrapText="1"/>
    </xf>
    <xf numFmtId="0" fontId="10" fillId="14" borderId="8" xfId="0" applyFont="1" applyFill="1" applyBorder="1" applyAlignment="1">
      <alignment horizontal="center" vertical="center" wrapText="1"/>
    </xf>
    <xf numFmtId="0" fontId="10" fillId="15" borderId="8" xfId="0" applyFont="1" applyFill="1" applyBorder="1" applyAlignment="1">
      <alignment horizontal="center" vertical="center" wrapText="1"/>
    </xf>
    <xf numFmtId="0" fontId="10" fillId="16" borderId="8" xfId="0" applyFont="1" applyFill="1" applyBorder="1" applyAlignment="1">
      <alignment horizontal="center" vertical="center" wrapText="1"/>
    </xf>
    <xf numFmtId="0" fontId="10" fillId="17" borderId="8" xfId="0" applyFont="1" applyFill="1" applyBorder="1" applyAlignment="1">
      <alignment horizontal="center" vertical="center" wrapText="1"/>
    </xf>
    <xf numFmtId="0" fontId="10" fillId="18" borderId="8" xfId="0" applyFont="1" applyFill="1" applyBorder="1" applyAlignment="1">
      <alignment horizontal="center" vertical="center" wrapText="1"/>
    </xf>
    <xf numFmtId="0" fontId="10" fillId="19" borderId="8" xfId="0" applyFont="1" applyFill="1" applyBorder="1" applyAlignment="1">
      <alignment horizontal="center" vertical="center" wrapText="1"/>
    </xf>
    <xf numFmtId="0" fontId="10" fillId="20" borderId="8" xfId="0" applyFont="1" applyFill="1" applyBorder="1" applyAlignment="1">
      <alignment horizontal="center" vertical="center" wrapText="1"/>
    </xf>
    <xf numFmtId="0" fontId="10" fillId="21" borderId="8" xfId="0" applyFont="1" applyFill="1" applyBorder="1" applyAlignment="1">
      <alignment horizontal="center" vertical="center" wrapText="1"/>
    </xf>
    <xf numFmtId="0" fontId="10" fillId="22" borderId="8" xfId="0" applyFont="1" applyFill="1" applyBorder="1" applyAlignment="1">
      <alignment horizontal="center" vertical="center" wrapText="1"/>
    </xf>
    <xf numFmtId="0" fontId="9" fillId="0" borderId="8" xfId="0" applyFont="1" applyBorder="1" applyAlignment="1">
      <alignment horizontal="center" vertical="center" wrapText="1"/>
    </xf>
    <xf numFmtId="0" fontId="9" fillId="25" borderId="8" xfId="0" applyFont="1" applyFill="1" applyBorder="1" applyAlignment="1">
      <alignment horizontal="center" vertical="center" wrapText="1"/>
    </xf>
    <xf numFmtId="0" fontId="9" fillId="26" borderId="8" xfId="0" applyFont="1" applyFill="1" applyBorder="1" applyAlignment="1">
      <alignment horizontal="center" vertical="center" wrapText="1"/>
    </xf>
    <xf numFmtId="0" fontId="9" fillId="27" borderId="8" xfId="0" applyFont="1" applyFill="1" applyBorder="1" applyAlignment="1">
      <alignment horizontal="center" vertical="center" wrapText="1"/>
    </xf>
    <xf numFmtId="0" fontId="4" fillId="0" borderId="0" xfId="0" applyFont="1"/>
    <xf numFmtId="0" fontId="11" fillId="0" borderId="0" xfId="1" applyFont="1"/>
    <xf numFmtId="0" fontId="12" fillId="0" borderId="0" xfId="1" applyFont="1"/>
    <xf numFmtId="0" fontId="10" fillId="0" borderId="0" xfId="0" applyFont="1" applyAlignment="1">
      <alignment horizontal="center" vertical="center"/>
    </xf>
    <xf numFmtId="0" fontId="2" fillId="0" borderId="0" xfId="0" applyFont="1" applyAlignment="1">
      <alignment horizontal="center" vertical="center"/>
    </xf>
    <xf numFmtId="0" fontId="9" fillId="0" borderId="0" xfId="0" applyFont="1" applyAlignment="1">
      <alignment horizontal="center" vertical="center"/>
    </xf>
    <xf numFmtId="0" fontId="14" fillId="0" borderId="0" xfId="0" applyFont="1" applyAlignment="1">
      <alignment horizontal="center" vertical="center"/>
    </xf>
    <xf numFmtId="0" fontId="8" fillId="0" borderId="0" xfId="1" applyFont="1" applyAlignment="1">
      <alignment horizontal="center" vertical="center"/>
    </xf>
    <xf numFmtId="0" fontId="14" fillId="30" borderId="1" xfId="2" applyFont="1" applyBorder="1" applyAlignment="1">
      <alignment horizontal="center" vertical="center"/>
    </xf>
    <xf numFmtId="0" fontId="4" fillId="31" borderId="0" xfId="0" applyFont="1" applyFill="1" applyAlignment="1">
      <alignment horizontal="center" vertical="center"/>
    </xf>
    <xf numFmtId="0" fontId="4" fillId="32" borderId="0" xfId="0" applyFont="1" applyFill="1" applyAlignment="1">
      <alignment horizontal="center" vertical="center"/>
    </xf>
    <xf numFmtId="0" fontId="4" fillId="33" borderId="0" xfId="0" applyFont="1" applyFill="1" applyAlignment="1">
      <alignment horizontal="center" vertical="center"/>
    </xf>
    <xf numFmtId="0" fontId="4" fillId="37" borderId="0" xfId="0" applyFont="1" applyFill="1" applyAlignment="1">
      <alignment horizontal="center" vertical="center"/>
    </xf>
    <xf numFmtId="1" fontId="17" fillId="0" borderId="0" xfId="3" applyNumberFormat="1" applyFont="1" applyFill="1" applyAlignment="1">
      <alignment horizontal="center" vertical="center"/>
    </xf>
    <xf numFmtId="49" fontId="2" fillId="0" borderId="0" xfId="0" applyNumberFormat="1" applyFont="1" applyAlignment="1">
      <alignment horizontal="center" vertical="center"/>
    </xf>
    <xf numFmtId="49" fontId="4" fillId="0" borderId="0" xfId="0" applyNumberFormat="1" applyFont="1" applyAlignment="1">
      <alignment horizontal="center" vertical="center"/>
    </xf>
    <xf numFmtId="49" fontId="2" fillId="28" borderId="1" xfId="0" applyNumberFormat="1" applyFont="1" applyFill="1" applyBorder="1" applyAlignment="1">
      <alignment horizontal="center" vertical="center"/>
    </xf>
    <xf numFmtId="49" fontId="9" fillId="0" borderId="0" xfId="0" applyNumberFormat="1" applyFont="1" applyAlignment="1">
      <alignment horizontal="center" vertical="center"/>
    </xf>
    <xf numFmtId="49" fontId="10" fillId="29" borderId="1" xfId="0" applyNumberFormat="1" applyFont="1" applyFill="1" applyBorder="1" applyAlignment="1">
      <alignment horizontal="center" vertical="center"/>
    </xf>
    <xf numFmtId="49" fontId="11" fillId="0" borderId="0" xfId="1" applyNumberFormat="1" applyFont="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2" fillId="0" borderId="11" xfId="0" applyFont="1" applyBorder="1" applyAlignment="1">
      <alignment horizontal="center" vertical="center"/>
    </xf>
    <xf numFmtId="0" fontId="10" fillId="41" borderId="11" xfId="0" applyFont="1" applyFill="1" applyBorder="1" applyAlignment="1">
      <alignment horizontal="center" vertical="center"/>
    </xf>
    <xf numFmtId="0" fontId="10" fillId="39" borderId="11" xfId="0" applyFont="1" applyFill="1" applyBorder="1" applyAlignment="1">
      <alignment horizontal="center" vertical="center"/>
    </xf>
    <xf numFmtId="0" fontId="10" fillId="40" borderId="11" xfId="0" applyFont="1" applyFill="1" applyBorder="1" applyAlignment="1">
      <alignment horizontal="center" vertical="center"/>
    </xf>
    <xf numFmtId="0" fontId="10" fillId="42" borderId="11" xfId="0" applyFont="1" applyFill="1" applyBorder="1" applyAlignment="1">
      <alignment horizontal="center" vertical="center"/>
    </xf>
    <xf numFmtId="0" fontId="10" fillId="43" borderId="12" xfId="0" applyFont="1" applyFill="1" applyBorder="1" applyAlignment="1">
      <alignment horizontal="center" vertical="center"/>
    </xf>
    <xf numFmtId="0" fontId="2" fillId="44" borderId="11" xfId="0" applyFont="1" applyFill="1" applyBorder="1" applyAlignment="1">
      <alignment horizontal="center" vertical="center"/>
    </xf>
    <xf numFmtId="0" fontId="2" fillId="45" borderId="11" xfId="0" applyFont="1" applyFill="1" applyBorder="1" applyAlignment="1">
      <alignment horizontal="center" vertical="center"/>
    </xf>
    <xf numFmtId="0" fontId="2" fillId="46" borderId="11" xfId="0" applyFont="1" applyFill="1" applyBorder="1" applyAlignment="1">
      <alignment horizontal="center" vertical="center"/>
    </xf>
    <xf numFmtId="0" fontId="2" fillId="47" borderId="11" xfId="0" applyFont="1" applyFill="1" applyBorder="1" applyAlignment="1">
      <alignment horizontal="center" vertical="center"/>
    </xf>
    <xf numFmtId="0" fontId="2" fillId="48" borderId="11" xfId="0" applyFont="1" applyFill="1" applyBorder="1" applyAlignment="1">
      <alignment horizontal="center" vertical="center"/>
    </xf>
    <xf numFmtId="0" fontId="2" fillId="49" borderId="12" xfId="0" applyFont="1" applyFill="1" applyBorder="1" applyAlignment="1">
      <alignment horizontal="center" vertical="center"/>
    </xf>
    <xf numFmtId="0" fontId="10" fillId="56" borderId="11" xfId="0" applyFont="1" applyFill="1" applyBorder="1" applyAlignment="1">
      <alignment horizontal="center" vertical="center"/>
    </xf>
    <xf numFmtId="0" fontId="2" fillId="49" borderId="11" xfId="0" applyFont="1" applyFill="1" applyBorder="1" applyAlignment="1">
      <alignment horizontal="center" vertical="center"/>
    </xf>
    <xf numFmtId="0" fontId="2" fillId="50" borderId="11" xfId="0" applyFont="1" applyFill="1" applyBorder="1" applyAlignment="1">
      <alignment horizontal="center" vertical="center"/>
    </xf>
    <xf numFmtId="0" fontId="10" fillId="51" borderId="11" xfId="0" applyFont="1" applyFill="1" applyBorder="1" applyAlignment="1">
      <alignment horizontal="center" vertical="center"/>
    </xf>
    <xf numFmtId="0" fontId="10" fillId="52" borderId="11" xfId="0" applyFont="1" applyFill="1" applyBorder="1" applyAlignment="1">
      <alignment horizontal="center" vertical="center"/>
    </xf>
    <xf numFmtId="0" fontId="2" fillId="53" borderId="11" xfId="0" applyFont="1" applyFill="1" applyBorder="1" applyAlignment="1">
      <alignment horizontal="center" vertical="center"/>
    </xf>
    <xf numFmtId="0" fontId="2" fillId="54" borderId="12" xfId="0" applyFont="1" applyFill="1" applyBorder="1" applyAlignment="1">
      <alignment horizontal="center" vertical="center"/>
    </xf>
    <xf numFmtId="0" fontId="2" fillId="63" borderId="11" xfId="0" applyFont="1" applyFill="1" applyBorder="1" applyAlignment="1">
      <alignment horizontal="center" vertical="center"/>
    </xf>
    <xf numFmtId="0" fontId="2" fillId="64" borderId="11" xfId="0" applyFont="1" applyFill="1" applyBorder="1" applyAlignment="1">
      <alignment horizontal="center" vertical="center"/>
    </xf>
    <xf numFmtId="0" fontId="10" fillId="62" borderId="11" xfId="0" applyFont="1" applyFill="1" applyBorder="1" applyAlignment="1">
      <alignment horizontal="center" vertical="center"/>
    </xf>
    <xf numFmtId="0" fontId="2" fillId="66" borderId="11" xfId="0" applyFont="1" applyFill="1" applyBorder="1" applyAlignment="1">
      <alignment horizontal="center" vertical="center"/>
    </xf>
    <xf numFmtId="0" fontId="2" fillId="65" borderId="12" xfId="0" applyFont="1" applyFill="1" applyBorder="1" applyAlignment="1">
      <alignment horizontal="center" vertical="center"/>
    </xf>
    <xf numFmtId="0" fontId="10" fillId="55" borderId="11" xfId="0" applyFont="1" applyFill="1" applyBorder="1" applyAlignment="1">
      <alignment horizontal="center" vertical="center"/>
    </xf>
    <xf numFmtId="0" fontId="10" fillId="58" borderId="11" xfId="0" applyFont="1" applyFill="1" applyBorder="1" applyAlignment="1">
      <alignment horizontal="center" vertical="center"/>
    </xf>
    <xf numFmtId="0" fontId="10" fillId="60" borderId="11" xfId="0" applyFont="1" applyFill="1" applyBorder="1" applyAlignment="1">
      <alignment horizontal="center" vertical="center"/>
    </xf>
    <xf numFmtId="0" fontId="10" fillId="57" borderId="11" xfId="0" applyFont="1" applyFill="1" applyBorder="1" applyAlignment="1">
      <alignment horizontal="center" vertical="center"/>
    </xf>
    <xf numFmtId="0" fontId="2" fillId="68" borderId="11" xfId="0" applyFont="1" applyFill="1" applyBorder="1" applyAlignment="1">
      <alignment horizontal="center" vertical="center"/>
    </xf>
    <xf numFmtId="0" fontId="2" fillId="67" borderId="11" xfId="0" applyFont="1" applyFill="1" applyBorder="1" applyAlignment="1">
      <alignment horizontal="center" vertical="center"/>
    </xf>
    <xf numFmtId="0" fontId="2" fillId="71" borderId="11" xfId="0" applyFont="1" applyFill="1" applyBorder="1" applyAlignment="1">
      <alignment horizontal="center" vertical="center"/>
    </xf>
    <xf numFmtId="0" fontId="10" fillId="69" borderId="11" xfId="0" applyFont="1" applyFill="1" applyBorder="1" applyAlignment="1">
      <alignment horizontal="center" vertical="center"/>
    </xf>
    <xf numFmtId="0" fontId="10" fillId="70" borderId="11" xfId="0" applyFont="1" applyFill="1" applyBorder="1" applyAlignment="1">
      <alignment horizontal="center" vertical="center"/>
    </xf>
    <xf numFmtId="0" fontId="10" fillId="72" borderId="12" xfId="0" applyFont="1" applyFill="1" applyBorder="1" applyAlignment="1">
      <alignment horizontal="center" vertical="center"/>
    </xf>
    <xf numFmtId="0" fontId="2" fillId="73" borderId="11" xfId="0" applyFont="1" applyFill="1" applyBorder="1" applyAlignment="1">
      <alignment horizontal="center" vertical="center"/>
    </xf>
    <xf numFmtId="0" fontId="2" fillId="74" borderId="11" xfId="0" applyFont="1" applyFill="1" applyBorder="1" applyAlignment="1">
      <alignment horizontal="center" vertical="center"/>
    </xf>
    <xf numFmtId="0" fontId="2" fillId="75" borderId="11" xfId="0" applyFont="1" applyFill="1" applyBorder="1" applyAlignment="1">
      <alignment horizontal="center" vertical="center"/>
    </xf>
    <xf numFmtId="0" fontId="2" fillId="76" borderId="11" xfId="0" applyFont="1" applyFill="1" applyBorder="1" applyAlignment="1">
      <alignment horizontal="center" vertical="center"/>
    </xf>
    <xf numFmtId="0" fontId="2" fillId="77" borderId="12" xfId="0" applyFont="1" applyFill="1" applyBorder="1" applyAlignment="1">
      <alignment horizontal="center" vertical="center"/>
    </xf>
    <xf numFmtId="0" fontId="2" fillId="85" borderId="11" xfId="0" applyFont="1" applyFill="1" applyBorder="1" applyAlignment="1">
      <alignment horizontal="center" vertical="center"/>
    </xf>
    <xf numFmtId="0" fontId="10" fillId="88" borderId="11" xfId="0" applyFont="1" applyFill="1" applyBorder="1" applyAlignment="1">
      <alignment horizontal="center" vertical="center"/>
    </xf>
    <xf numFmtId="0" fontId="10" fillId="87" borderId="11" xfId="0" applyFont="1" applyFill="1" applyBorder="1" applyAlignment="1">
      <alignment horizontal="center" vertical="center"/>
    </xf>
    <xf numFmtId="0" fontId="10" fillId="86" borderId="11" xfId="0" applyFont="1" applyFill="1" applyBorder="1" applyAlignment="1">
      <alignment horizontal="center" vertical="center"/>
    </xf>
    <xf numFmtId="0" fontId="2" fillId="89" borderId="12" xfId="0" applyFont="1" applyFill="1" applyBorder="1" applyAlignment="1">
      <alignment horizontal="center" vertical="center"/>
    </xf>
    <xf numFmtId="0" fontId="10" fillId="90" borderId="11" xfId="0" applyFont="1" applyFill="1" applyBorder="1" applyAlignment="1">
      <alignment horizontal="center" vertical="center"/>
    </xf>
    <xf numFmtId="0" fontId="2" fillId="95" borderId="12" xfId="0" applyFont="1" applyFill="1" applyBorder="1" applyAlignment="1">
      <alignment horizontal="center" vertical="center"/>
    </xf>
    <xf numFmtId="0" fontId="2" fillId="91" borderId="11" xfId="0" applyFont="1" applyFill="1" applyBorder="1" applyAlignment="1">
      <alignment horizontal="center" vertical="center"/>
    </xf>
    <xf numFmtId="0" fontId="10" fillId="84" borderId="11" xfId="0" applyFont="1" applyFill="1" applyBorder="1" applyAlignment="1">
      <alignment horizontal="center" vertical="center"/>
    </xf>
    <xf numFmtId="0" fontId="10" fillId="92" borderId="11" xfId="0" applyFont="1" applyFill="1" applyBorder="1" applyAlignment="1">
      <alignment horizontal="center" vertical="center"/>
    </xf>
    <xf numFmtId="0" fontId="2" fillId="93" borderId="11" xfId="0" applyFont="1" applyFill="1" applyBorder="1" applyAlignment="1">
      <alignment horizontal="center" vertical="center"/>
    </xf>
    <xf numFmtId="0" fontId="2" fillId="94" borderId="11" xfId="0" applyFont="1" applyFill="1" applyBorder="1" applyAlignment="1">
      <alignment horizontal="center" vertical="center"/>
    </xf>
    <xf numFmtId="0" fontId="10" fillId="78" borderId="11" xfId="0" applyFont="1" applyFill="1" applyBorder="1" applyAlignment="1">
      <alignment horizontal="center" vertical="center"/>
    </xf>
    <xf numFmtId="0" fontId="10" fillId="79" borderId="11" xfId="0" applyFont="1" applyFill="1" applyBorder="1" applyAlignment="1">
      <alignment horizontal="center" vertical="center"/>
    </xf>
    <xf numFmtId="0" fontId="10" fillId="80" borderId="11" xfId="0" applyFont="1" applyFill="1" applyBorder="1" applyAlignment="1">
      <alignment horizontal="center" vertical="center"/>
    </xf>
    <xf numFmtId="0" fontId="10" fillId="81" borderId="11" xfId="0" applyFont="1" applyFill="1" applyBorder="1" applyAlignment="1">
      <alignment horizontal="center" vertical="center"/>
    </xf>
    <xf numFmtId="0" fontId="10" fillId="82" borderId="11" xfId="0" applyFont="1" applyFill="1" applyBorder="1" applyAlignment="1">
      <alignment horizontal="center" vertical="center"/>
    </xf>
    <xf numFmtId="0" fontId="10" fillId="83" borderId="12" xfId="0" applyFont="1" applyFill="1" applyBorder="1" applyAlignment="1">
      <alignment horizontal="center" vertical="center"/>
    </xf>
    <xf numFmtId="0" fontId="2" fillId="107" borderId="11" xfId="0" applyFont="1" applyFill="1" applyBorder="1" applyAlignment="1">
      <alignment horizontal="center" vertical="center"/>
    </xf>
    <xf numFmtId="0" fontId="2" fillId="108" borderId="11" xfId="0" applyFont="1" applyFill="1" applyBorder="1" applyAlignment="1">
      <alignment horizontal="center" vertical="center"/>
    </xf>
    <xf numFmtId="0" fontId="2" fillId="109" borderId="11" xfId="0" applyFont="1" applyFill="1" applyBorder="1" applyAlignment="1">
      <alignment horizontal="center" vertical="center"/>
    </xf>
    <xf numFmtId="0" fontId="2" fillId="110" borderId="11" xfId="0" applyFont="1" applyFill="1" applyBorder="1" applyAlignment="1">
      <alignment horizontal="center" vertical="center"/>
    </xf>
    <xf numFmtId="0" fontId="2" fillId="102" borderId="11" xfId="0" applyFont="1" applyFill="1" applyBorder="1" applyAlignment="1">
      <alignment horizontal="center" vertical="center"/>
    </xf>
    <xf numFmtId="0" fontId="2" fillId="105" borderId="11" xfId="0" applyFont="1" applyFill="1" applyBorder="1" applyAlignment="1">
      <alignment horizontal="center" vertical="center"/>
    </xf>
    <xf numFmtId="0" fontId="2" fillId="106" borderId="11" xfId="0" applyFont="1" applyFill="1" applyBorder="1" applyAlignment="1">
      <alignment horizontal="center" vertical="center"/>
    </xf>
    <xf numFmtId="0" fontId="2" fillId="0" borderId="12" xfId="0" applyFont="1" applyBorder="1" applyAlignment="1">
      <alignment horizontal="center" vertical="center"/>
    </xf>
    <xf numFmtId="0" fontId="2" fillId="96" borderId="11" xfId="0" applyFont="1" applyFill="1" applyBorder="1" applyAlignment="1">
      <alignment horizontal="center" vertical="center"/>
    </xf>
    <xf numFmtId="0" fontId="2" fillId="97" borderId="11" xfId="0" applyFont="1" applyFill="1" applyBorder="1" applyAlignment="1">
      <alignment horizontal="center" vertical="center"/>
    </xf>
    <xf numFmtId="0" fontId="2" fillId="98" borderId="11" xfId="0" applyFont="1" applyFill="1" applyBorder="1" applyAlignment="1">
      <alignment horizontal="center" vertical="center"/>
    </xf>
    <xf numFmtId="0" fontId="2" fillId="99" borderId="11" xfId="0" applyFont="1" applyFill="1" applyBorder="1" applyAlignment="1">
      <alignment horizontal="center" vertical="center"/>
    </xf>
    <xf numFmtId="0" fontId="2" fillId="100" borderId="11" xfId="0" applyFont="1" applyFill="1" applyBorder="1" applyAlignment="1">
      <alignment horizontal="center" vertical="center"/>
    </xf>
    <xf numFmtId="0" fontId="2" fillId="101" borderId="12" xfId="0" applyFont="1" applyFill="1" applyBorder="1" applyAlignment="1">
      <alignment horizontal="center" vertical="center"/>
    </xf>
    <xf numFmtId="0" fontId="10" fillId="103" borderId="11" xfId="0" applyFont="1" applyFill="1" applyBorder="1" applyAlignment="1">
      <alignment horizontal="center" vertical="center"/>
    </xf>
    <xf numFmtId="0" fontId="10" fillId="104" borderId="11" xfId="0" applyFont="1" applyFill="1" applyBorder="1" applyAlignment="1">
      <alignment horizontal="center" vertical="center"/>
    </xf>
    <xf numFmtId="0" fontId="2" fillId="115" borderId="11" xfId="0" applyFont="1" applyFill="1" applyBorder="1" applyAlignment="1">
      <alignment horizontal="center" vertical="center"/>
    </xf>
    <xf numFmtId="0" fontId="2" fillId="116" borderId="11" xfId="0" applyFont="1" applyFill="1" applyBorder="1" applyAlignment="1">
      <alignment horizontal="center" vertical="center"/>
    </xf>
    <xf numFmtId="0" fontId="2" fillId="112" borderId="11" xfId="0" applyFont="1" applyFill="1" applyBorder="1" applyAlignment="1">
      <alignment horizontal="center" vertical="center"/>
    </xf>
    <xf numFmtId="0" fontId="2" fillId="113" borderId="11" xfId="0" applyFont="1" applyFill="1" applyBorder="1" applyAlignment="1">
      <alignment horizontal="center" vertical="center"/>
    </xf>
    <xf numFmtId="0" fontId="2" fillId="114" borderId="11" xfId="0" applyFont="1" applyFill="1" applyBorder="1" applyAlignment="1">
      <alignment horizontal="center" vertical="center"/>
    </xf>
    <xf numFmtId="0" fontId="10" fillId="117" borderId="12" xfId="0" applyFont="1" applyFill="1" applyBorder="1" applyAlignment="1">
      <alignment horizontal="center" vertical="center"/>
    </xf>
    <xf numFmtId="0" fontId="2" fillId="118" borderId="11" xfId="0" applyFont="1" applyFill="1" applyBorder="1" applyAlignment="1">
      <alignment horizontal="center" vertical="center"/>
    </xf>
    <xf numFmtId="0" fontId="2" fillId="119" borderId="11" xfId="0" applyFont="1" applyFill="1" applyBorder="1" applyAlignment="1">
      <alignment horizontal="center" vertical="center"/>
    </xf>
    <xf numFmtId="0" fontId="2" fillId="120" borderId="11" xfId="0" applyFont="1" applyFill="1" applyBorder="1" applyAlignment="1">
      <alignment horizontal="center" vertical="center"/>
    </xf>
    <xf numFmtId="0" fontId="10" fillId="121" borderId="11" xfId="0" applyFont="1" applyFill="1" applyBorder="1" applyAlignment="1">
      <alignment horizontal="center" vertical="center"/>
    </xf>
    <xf numFmtId="0" fontId="10" fillId="122" borderId="11" xfId="0" applyFont="1" applyFill="1" applyBorder="1" applyAlignment="1">
      <alignment horizontal="center" vertical="center"/>
    </xf>
    <xf numFmtId="0" fontId="10" fillId="123" borderId="12" xfId="0" applyFont="1" applyFill="1" applyBorder="1" applyAlignment="1">
      <alignment horizontal="center" vertical="center"/>
    </xf>
    <xf numFmtId="0" fontId="2" fillId="124" borderId="11" xfId="0" applyFont="1" applyFill="1" applyBorder="1" applyAlignment="1">
      <alignment horizontal="center" vertical="center"/>
    </xf>
    <xf numFmtId="0" fontId="2" fillId="125" borderId="11" xfId="0" applyFont="1" applyFill="1" applyBorder="1" applyAlignment="1">
      <alignment horizontal="center" vertical="center"/>
    </xf>
    <xf numFmtId="0" fontId="2" fillId="126" borderId="11" xfId="0" applyFont="1" applyFill="1" applyBorder="1" applyAlignment="1">
      <alignment horizontal="center" vertical="center"/>
    </xf>
    <xf numFmtId="0" fontId="10" fillId="127" borderId="11" xfId="0" applyFont="1" applyFill="1" applyBorder="1" applyAlignment="1">
      <alignment horizontal="center" vertical="center"/>
    </xf>
    <xf numFmtId="0" fontId="10" fillId="129" borderId="11" xfId="0" applyFont="1" applyFill="1" applyBorder="1" applyAlignment="1">
      <alignment horizontal="center" vertical="center"/>
    </xf>
    <xf numFmtId="0" fontId="10" fillId="128" borderId="12" xfId="0" applyFont="1" applyFill="1" applyBorder="1" applyAlignment="1">
      <alignment horizontal="center" vertical="center"/>
    </xf>
    <xf numFmtId="0" fontId="2" fillId="130" borderId="11" xfId="0" applyFont="1" applyFill="1" applyBorder="1" applyAlignment="1">
      <alignment horizontal="center" vertical="center"/>
    </xf>
    <xf numFmtId="0" fontId="2" fillId="131" borderId="11" xfId="0" applyFont="1" applyFill="1" applyBorder="1" applyAlignment="1">
      <alignment horizontal="center" vertical="center"/>
    </xf>
    <xf numFmtId="0" fontId="2" fillId="132" borderId="11" xfId="0" applyFont="1" applyFill="1" applyBorder="1" applyAlignment="1">
      <alignment horizontal="center" vertical="center"/>
    </xf>
    <xf numFmtId="0" fontId="2" fillId="133" borderId="11" xfId="0" applyFont="1" applyFill="1" applyBorder="1" applyAlignment="1">
      <alignment horizontal="center" vertical="center"/>
    </xf>
    <xf numFmtId="0" fontId="2" fillId="134" borderId="11" xfId="0" applyFont="1" applyFill="1" applyBorder="1" applyAlignment="1">
      <alignment horizontal="center" vertical="center"/>
    </xf>
    <xf numFmtId="0" fontId="2" fillId="135" borderId="12" xfId="0" applyFont="1" applyFill="1" applyBorder="1" applyAlignment="1">
      <alignment horizontal="center" vertical="center"/>
    </xf>
    <xf numFmtId="0" fontId="2" fillId="136" borderId="11" xfId="0" applyFont="1" applyFill="1" applyBorder="1" applyAlignment="1">
      <alignment horizontal="center" vertical="center"/>
    </xf>
    <xf numFmtId="0" fontId="2" fillId="138" borderId="11" xfId="0" applyFont="1" applyFill="1" applyBorder="1" applyAlignment="1">
      <alignment horizontal="center" vertical="center"/>
    </xf>
    <xf numFmtId="0" fontId="10" fillId="137" borderId="11" xfId="0" applyFont="1" applyFill="1" applyBorder="1" applyAlignment="1">
      <alignment horizontal="center" vertical="center"/>
    </xf>
    <xf numFmtId="0" fontId="2" fillId="141" borderId="11" xfId="0" applyFont="1" applyFill="1" applyBorder="1" applyAlignment="1">
      <alignment horizontal="center" vertical="center"/>
    </xf>
    <xf numFmtId="0" fontId="2" fillId="140" borderId="12" xfId="0" applyFont="1" applyFill="1" applyBorder="1" applyAlignment="1">
      <alignment horizontal="center" vertical="center"/>
    </xf>
    <xf numFmtId="0" fontId="10" fillId="139" borderId="11" xfId="0" applyFont="1" applyFill="1" applyBorder="1" applyAlignment="1">
      <alignment horizontal="center" vertical="center"/>
    </xf>
    <xf numFmtId="0" fontId="10" fillId="61" borderId="11" xfId="0" applyFont="1" applyFill="1" applyBorder="1" applyAlignment="1">
      <alignment horizontal="center" vertical="center"/>
    </xf>
    <xf numFmtId="0" fontId="10" fillId="59" borderId="12" xfId="0" applyFont="1" applyFill="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2" fillId="143" borderId="11" xfId="0" applyFont="1" applyFill="1" applyBorder="1" applyAlignment="1">
      <alignment horizontal="center" vertical="center"/>
    </xf>
    <xf numFmtId="0" fontId="10" fillId="142" borderId="11" xfId="0" applyFont="1" applyFill="1" applyBorder="1" applyAlignment="1">
      <alignment horizontal="center" vertical="center"/>
    </xf>
    <xf numFmtId="0" fontId="10" fillId="144" borderId="11" xfId="0" applyFont="1" applyFill="1" applyBorder="1" applyAlignment="1">
      <alignment horizontal="center" vertical="center"/>
    </xf>
    <xf numFmtId="0" fontId="10" fillId="145" borderId="11" xfId="0" applyFont="1" applyFill="1" applyBorder="1" applyAlignment="1">
      <alignment horizontal="center" vertical="center"/>
    </xf>
    <xf numFmtId="0" fontId="10" fillId="146" borderId="12" xfId="0" applyFont="1" applyFill="1" applyBorder="1" applyAlignment="1">
      <alignment horizontal="center" vertical="center"/>
    </xf>
    <xf numFmtId="0" fontId="10" fillId="150" borderId="11" xfId="0" applyFont="1" applyFill="1" applyBorder="1" applyAlignment="1">
      <alignment horizontal="center" vertical="center"/>
    </xf>
    <xf numFmtId="0" fontId="10" fillId="149" borderId="11" xfId="0" applyFont="1" applyFill="1" applyBorder="1" applyAlignment="1">
      <alignment horizontal="center" vertical="center"/>
    </xf>
    <xf numFmtId="0" fontId="10" fillId="147" borderId="11" xfId="0" applyFont="1" applyFill="1" applyBorder="1" applyAlignment="1">
      <alignment horizontal="center" vertical="center"/>
    </xf>
    <xf numFmtId="0" fontId="10" fillId="148" borderId="11" xfId="0" applyFont="1" applyFill="1" applyBorder="1" applyAlignment="1">
      <alignment horizontal="center" vertical="center"/>
    </xf>
    <xf numFmtId="0" fontId="10" fillId="151" borderId="11" xfId="0" applyFont="1" applyFill="1" applyBorder="1" applyAlignment="1">
      <alignment horizontal="center" vertical="center"/>
    </xf>
    <xf numFmtId="0" fontId="10" fillId="148" borderId="12" xfId="0" applyFont="1" applyFill="1" applyBorder="1" applyAlignment="1">
      <alignment horizontal="center" vertical="center"/>
    </xf>
    <xf numFmtId="0" fontId="2" fillId="152" borderId="11" xfId="0" applyFont="1" applyFill="1" applyBorder="1" applyAlignment="1">
      <alignment horizontal="center" vertical="center"/>
    </xf>
    <xf numFmtId="0" fontId="2" fillId="153" borderId="11" xfId="0" applyFont="1" applyFill="1" applyBorder="1" applyAlignment="1">
      <alignment horizontal="center" vertical="center"/>
    </xf>
    <xf numFmtId="0" fontId="2" fillId="154" borderId="11" xfId="0" applyFont="1" applyFill="1" applyBorder="1" applyAlignment="1">
      <alignment horizontal="center" vertical="center"/>
    </xf>
    <xf numFmtId="0" fontId="2" fillId="156" borderId="11" xfId="0" applyFont="1" applyFill="1" applyBorder="1" applyAlignment="1">
      <alignment horizontal="center" vertical="center"/>
    </xf>
    <xf numFmtId="0" fontId="2" fillId="155" borderId="11" xfId="0" applyFont="1" applyFill="1" applyBorder="1" applyAlignment="1">
      <alignment horizontal="center" vertical="center"/>
    </xf>
    <xf numFmtId="0" fontId="2" fillId="157" borderId="12" xfId="0" applyFont="1" applyFill="1" applyBorder="1" applyAlignment="1">
      <alignment horizontal="center" vertical="center"/>
    </xf>
    <xf numFmtId="0" fontId="10" fillId="123" borderId="11" xfId="0" applyFont="1" applyFill="1" applyBorder="1" applyAlignment="1">
      <alignment horizontal="center" vertical="center"/>
    </xf>
    <xf numFmtId="0" fontId="10" fillId="158" borderId="11" xfId="0" applyFont="1" applyFill="1" applyBorder="1" applyAlignment="1">
      <alignment horizontal="center" vertical="center"/>
    </xf>
    <xf numFmtId="0" fontId="10" fillId="26" borderId="11" xfId="0" applyFont="1" applyFill="1" applyBorder="1" applyAlignment="1">
      <alignment horizontal="center" vertical="center"/>
    </xf>
    <xf numFmtId="0" fontId="2" fillId="159" borderId="11" xfId="0" applyFont="1" applyFill="1" applyBorder="1" applyAlignment="1">
      <alignment horizontal="center" vertical="center"/>
    </xf>
    <xf numFmtId="0" fontId="2" fillId="160" borderId="11" xfId="0" applyFont="1" applyFill="1" applyBorder="1" applyAlignment="1">
      <alignment horizontal="center" vertical="center"/>
    </xf>
    <xf numFmtId="0" fontId="2" fillId="161" borderId="12" xfId="0" applyFont="1" applyFill="1" applyBorder="1" applyAlignment="1">
      <alignment horizontal="center" vertical="center"/>
    </xf>
    <xf numFmtId="0" fontId="2" fillId="162" borderId="1" xfId="0" applyFont="1" applyFill="1" applyBorder="1" applyAlignment="1">
      <alignment horizontal="center" vertical="center"/>
    </xf>
    <xf numFmtId="0" fontId="2" fillId="163" borderId="1" xfId="0" applyFont="1" applyFill="1" applyBorder="1" applyAlignment="1">
      <alignment horizontal="center" vertical="center"/>
    </xf>
    <xf numFmtId="0" fontId="2" fillId="165" borderId="1" xfId="0" applyFont="1" applyFill="1" applyBorder="1" applyAlignment="1">
      <alignment horizontal="center" vertical="center"/>
    </xf>
    <xf numFmtId="0" fontId="2" fillId="166" borderId="1" xfId="0" applyFont="1" applyFill="1" applyBorder="1" applyAlignment="1">
      <alignment horizontal="center" vertical="center"/>
    </xf>
    <xf numFmtId="0" fontId="2" fillId="167" borderId="1" xfId="0" applyFont="1" applyFill="1" applyBorder="1" applyAlignment="1">
      <alignment horizontal="center" vertical="center"/>
    </xf>
    <xf numFmtId="0" fontId="2" fillId="168" borderId="1" xfId="0" applyFont="1" applyFill="1" applyBorder="1" applyAlignment="1">
      <alignment horizontal="center" vertical="center"/>
    </xf>
    <xf numFmtId="0" fontId="2" fillId="169" borderId="1" xfId="0" applyFont="1" applyFill="1" applyBorder="1" applyAlignment="1">
      <alignment horizontal="center" vertical="center"/>
    </xf>
    <xf numFmtId="0" fontId="10" fillId="178" borderId="0" xfId="0" applyFont="1" applyFill="1" applyAlignment="1">
      <alignment horizontal="center" vertical="center"/>
    </xf>
    <xf numFmtId="0" fontId="10" fillId="179" borderId="0" xfId="0" applyFont="1" applyFill="1" applyAlignment="1">
      <alignment horizontal="center" vertical="center"/>
    </xf>
    <xf numFmtId="0" fontId="9" fillId="180" borderId="0" xfId="0" applyFont="1" applyFill="1" applyAlignment="1">
      <alignment horizontal="center" vertical="center"/>
    </xf>
    <xf numFmtId="0" fontId="9" fillId="34" borderId="0" xfId="0" applyFont="1" applyFill="1" applyAlignment="1">
      <alignment horizontal="center" vertical="center"/>
    </xf>
    <xf numFmtId="0" fontId="9" fillId="35" borderId="0" xfId="0" applyFont="1" applyFill="1" applyAlignment="1">
      <alignment horizontal="center" vertical="center"/>
    </xf>
    <xf numFmtId="0" fontId="9" fillId="36" borderId="0" xfId="0" applyFont="1" applyFill="1" applyAlignment="1">
      <alignment horizontal="center" vertical="center"/>
    </xf>
    <xf numFmtId="0" fontId="4" fillId="0" borderId="0" xfId="2" applyFont="1" applyFill="1" applyAlignment="1">
      <alignment horizontal="center" vertical="center"/>
    </xf>
    <xf numFmtId="0" fontId="10" fillId="23"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27" borderId="4" xfId="0" applyFont="1" applyFill="1" applyBorder="1" applyAlignment="1">
      <alignment horizontal="center" vertical="center" wrapText="1"/>
    </xf>
    <xf numFmtId="0" fontId="9" fillId="25" borderId="4" xfId="0" applyFont="1" applyFill="1" applyBorder="1" applyAlignment="1">
      <alignment horizontal="center" vertical="center" wrapText="1"/>
    </xf>
    <xf numFmtId="0" fontId="9" fillId="26" borderId="4" xfId="0" applyFont="1" applyFill="1" applyBorder="1" applyAlignment="1">
      <alignment horizontal="center" vertical="center" wrapText="1"/>
    </xf>
    <xf numFmtId="0" fontId="10" fillId="0" borderId="0" xfId="0" applyFont="1" applyAlignment="1">
      <alignment horizontal="center" vertical="center" wrapText="1"/>
    </xf>
    <xf numFmtId="0" fontId="9" fillId="0" borderId="0" xfId="0" applyFont="1" applyAlignment="1">
      <alignment horizontal="center" vertical="center" wrapText="1"/>
    </xf>
    <xf numFmtId="0" fontId="10" fillId="23" borderId="9" xfId="0" applyFont="1" applyFill="1" applyBorder="1" applyAlignment="1">
      <alignment horizontal="center" vertical="center" wrapText="1"/>
    </xf>
    <xf numFmtId="0" fontId="9" fillId="0" borderId="9" xfId="0" applyFont="1" applyBorder="1" applyAlignment="1">
      <alignment horizontal="center" vertical="center" wrapText="1"/>
    </xf>
    <xf numFmtId="0" fontId="9" fillId="25" borderId="9" xfId="0" applyFont="1" applyFill="1" applyBorder="1" applyAlignment="1">
      <alignment horizontal="center" vertical="center" wrapText="1"/>
    </xf>
    <xf numFmtId="0" fontId="9" fillId="27" borderId="9" xfId="0" applyFont="1" applyFill="1" applyBorder="1" applyAlignment="1">
      <alignment horizontal="center" vertical="center" wrapText="1"/>
    </xf>
    <xf numFmtId="0" fontId="9" fillId="25" borderId="2" xfId="0" applyFont="1" applyFill="1" applyBorder="1" applyAlignment="1">
      <alignment horizontal="center" vertical="center" wrapText="1"/>
    </xf>
    <xf numFmtId="0" fontId="19" fillId="181" borderId="0" xfId="0" applyFont="1" applyFill="1" applyAlignment="1">
      <alignment horizontal="center" vertical="center"/>
    </xf>
    <xf numFmtId="0" fontId="2" fillId="152" borderId="13" xfId="0" applyFont="1" applyFill="1" applyBorder="1" applyAlignment="1">
      <alignment horizontal="center" vertical="center"/>
    </xf>
    <xf numFmtId="1" fontId="4" fillId="0" borderId="0" xfId="0" applyNumberFormat="1" applyFont="1"/>
    <xf numFmtId="0" fontId="20" fillId="0" borderId="0" xfId="0" applyFont="1" applyAlignment="1">
      <alignment horizontal="center" vertical="center"/>
    </xf>
    <xf numFmtId="0" fontId="10" fillId="182" borderId="11" xfId="0" applyFont="1" applyFill="1" applyBorder="1" applyAlignment="1">
      <alignment horizontal="center" vertical="center"/>
    </xf>
    <xf numFmtId="0" fontId="10" fillId="183" borderId="11" xfId="0" applyFont="1" applyFill="1" applyBorder="1" applyAlignment="1">
      <alignment horizontal="center" vertical="center"/>
    </xf>
    <xf numFmtId="0" fontId="2" fillId="184" borderId="11" xfId="0" applyFont="1" applyFill="1" applyBorder="1" applyAlignment="1">
      <alignment horizontal="center" vertical="center"/>
    </xf>
    <xf numFmtId="0" fontId="2" fillId="185" borderId="11" xfId="0" applyFont="1" applyFill="1" applyBorder="1" applyAlignment="1">
      <alignment horizontal="center" vertical="center"/>
    </xf>
    <xf numFmtId="0" fontId="10" fillId="186" borderId="11" xfId="0" applyFont="1" applyFill="1" applyBorder="1" applyAlignment="1">
      <alignment horizontal="center" vertical="center"/>
    </xf>
    <xf numFmtId="0" fontId="10" fillId="187" borderId="12" xfId="0" applyFont="1" applyFill="1" applyBorder="1" applyAlignment="1">
      <alignment horizontal="center" vertical="center"/>
    </xf>
    <xf numFmtId="0" fontId="14" fillId="170" borderId="1" xfId="0" applyFont="1" applyFill="1" applyBorder="1" applyAlignment="1">
      <alignment horizontal="center" vertical="center"/>
    </xf>
    <xf numFmtId="0" fontId="2" fillId="0" borderId="1" xfId="0" applyFont="1" applyBorder="1" applyAlignment="1">
      <alignment horizontal="center" vertical="center"/>
    </xf>
    <xf numFmtId="0" fontId="2" fillId="171" borderId="1" xfId="0" applyFont="1" applyFill="1" applyBorder="1" applyAlignment="1">
      <alignment horizontal="center" vertical="center"/>
    </xf>
    <xf numFmtId="0" fontId="2" fillId="172" borderId="1" xfId="0" applyFont="1" applyFill="1" applyBorder="1" applyAlignment="1">
      <alignment horizontal="center" vertical="center"/>
    </xf>
    <xf numFmtId="0" fontId="2" fillId="175" borderId="1" xfId="0" applyFont="1" applyFill="1" applyBorder="1" applyAlignment="1">
      <alignment horizontal="center" vertical="center"/>
    </xf>
    <xf numFmtId="0" fontId="14" fillId="176" borderId="1" xfId="0" applyFont="1" applyFill="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10" fillId="173" borderId="1" xfId="0" applyFont="1" applyFill="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10" fillId="174" borderId="1" xfId="0" applyFont="1" applyFill="1" applyBorder="1" applyAlignment="1">
      <alignment horizontal="center" vertical="center"/>
    </xf>
    <xf numFmtId="0" fontId="4" fillId="0" borderId="0" xfId="0" applyFont="1" applyAlignment="1">
      <alignment horizontal="center" vertical="center" wrapText="1"/>
    </xf>
    <xf numFmtId="0" fontId="21" fillId="2" borderId="1" xfId="0" applyFont="1" applyFill="1" applyBorder="1" applyAlignment="1">
      <alignment horizontal="center" vertical="center"/>
    </xf>
    <xf numFmtId="164" fontId="22" fillId="2" borderId="0" xfId="0" applyNumberFormat="1" applyFont="1" applyFill="1" applyAlignment="1">
      <alignment horizontal="center" vertical="center"/>
    </xf>
    <xf numFmtId="0" fontId="21" fillId="0" borderId="1" xfId="0" applyFont="1" applyBorder="1" applyAlignment="1">
      <alignment horizontal="center" vertical="center"/>
    </xf>
    <xf numFmtId="0" fontId="22" fillId="0" borderId="0" xfId="0" applyFont="1" applyAlignment="1">
      <alignment horizontal="center" vertical="center"/>
    </xf>
    <xf numFmtId="0" fontId="22" fillId="3" borderId="0" xfId="0" applyFont="1" applyFill="1" applyAlignment="1">
      <alignment horizontal="center" vertical="center"/>
    </xf>
    <xf numFmtId="0" fontId="4" fillId="0" borderId="0" xfId="0" applyFont="1" applyAlignment="1">
      <alignment vertical="center"/>
    </xf>
    <xf numFmtId="0" fontId="2" fillId="164" borderId="1" xfId="0" applyFont="1" applyFill="1" applyBorder="1" applyAlignment="1">
      <alignment horizontal="center" vertical="center"/>
    </xf>
    <xf numFmtId="0" fontId="2" fillId="177" borderId="1" xfId="0" applyFont="1" applyFill="1" applyBorder="1" applyAlignment="1">
      <alignment horizontal="center" vertical="center"/>
    </xf>
    <xf numFmtId="0" fontId="14" fillId="0" borderId="1" xfId="0" applyFont="1" applyBorder="1" applyAlignment="1">
      <alignment horizontal="center" vertical="center"/>
    </xf>
    <xf numFmtId="1" fontId="2" fillId="188" borderId="1" xfId="0" applyNumberFormat="1" applyFont="1" applyFill="1" applyBorder="1" applyAlignment="1">
      <alignment horizontal="center" vertical="center"/>
    </xf>
    <xf numFmtId="1" fontId="2" fillId="2" borderId="1" xfId="0" applyNumberFormat="1" applyFont="1" applyFill="1" applyBorder="1" applyAlignment="1">
      <alignment horizontal="center" vertical="center"/>
    </xf>
    <xf numFmtId="49" fontId="4" fillId="0" borderId="0" xfId="1" applyNumberFormat="1" applyFont="1" applyAlignment="1">
      <alignment horizontal="center" vertical="center"/>
    </xf>
    <xf numFmtId="0" fontId="4" fillId="0" borderId="0" xfId="0" applyFont="1" applyAlignment="1">
      <alignment horizontal="center"/>
    </xf>
    <xf numFmtId="49" fontId="2" fillId="189" borderId="1" xfId="0" applyNumberFormat="1" applyFont="1" applyFill="1" applyBorder="1" applyAlignment="1">
      <alignment horizontal="center" vertical="center"/>
    </xf>
    <xf numFmtId="49" fontId="10" fillId="190" borderId="1" xfId="0" applyNumberFormat="1" applyFont="1" applyFill="1" applyBorder="1" applyAlignment="1">
      <alignment horizontal="center" vertical="center"/>
    </xf>
    <xf numFmtId="49" fontId="10" fillId="191" borderId="1" xfId="0" applyNumberFormat="1" applyFont="1" applyFill="1" applyBorder="1" applyAlignment="1">
      <alignment horizontal="left" vertical="center"/>
    </xf>
    <xf numFmtId="49" fontId="10" fillId="191" borderId="1" xfId="0" applyNumberFormat="1" applyFont="1" applyFill="1" applyBorder="1" applyAlignment="1">
      <alignment horizontal="center" vertical="center"/>
    </xf>
    <xf numFmtId="49" fontId="10" fillId="192" borderId="1" xfId="0" applyNumberFormat="1" applyFont="1" applyFill="1" applyBorder="1" applyAlignment="1">
      <alignment horizontal="center" vertical="center"/>
    </xf>
    <xf numFmtId="49" fontId="10" fillId="0" borderId="1" xfId="0" applyNumberFormat="1" applyFont="1" applyBorder="1" applyAlignment="1">
      <alignment horizontal="center" vertical="center"/>
    </xf>
    <xf numFmtId="1" fontId="4" fillId="0" borderId="15" xfId="0" applyNumberFormat="1" applyFont="1" applyBorder="1" applyAlignment="1">
      <alignment horizontal="center" vertical="center"/>
    </xf>
    <xf numFmtId="0" fontId="10" fillId="21" borderId="9" xfId="0" applyFont="1" applyFill="1" applyBorder="1" applyAlignment="1">
      <alignment horizontal="center" vertical="center" wrapText="1"/>
    </xf>
    <xf numFmtId="0" fontId="10" fillId="12" borderId="9" xfId="0" applyFont="1" applyFill="1" applyBorder="1" applyAlignment="1">
      <alignment horizontal="center" vertical="center" wrapText="1"/>
    </xf>
    <xf numFmtId="49" fontId="2" fillId="193" borderId="1" xfId="0" applyNumberFormat="1" applyFont="1" applyFill="1" applyBorder="1" applyAlignment="1">
      <alignment horizontal="center" vertical="center"/>
    </xf>
    <xf numFmtId="49" fontId="10"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49" fontId="0" fillId="0" borderId="0" xfId="0" applyNumberFormat="1" applyAlignment="1">
      <alignment horizontal="center" vertical="center"/>
    </xf>
    <xf numFmtId="49" fontId="23" fillId="0" borderId="0" xfId="0" applyNumberFormat="1" applyFont="1" applyAlignment="1">
      <alignment horizontal="center" vertical="center"/>
    </xf>
    <xf numFmtId="0" fontId="2" fillId="109" borderId="14" xfId="0" applyFont="1" applyFill="1" applyBorder="1" applyAlignment="1">
      <alignment horizontal="center" vertical="center"/>
    </xf>
    <xf numFmtId="0" fontId="2" fillId="111" borderId="14" xfId="0" applyFont="1" applyFill="1" applyBorder="1" applyAlignment="1">
      <alignment horizontal="center" vertical="center"/>
    </xf>
    <xf numFmtId="0" fontId="2" fillId="110" borderId="14" xfId="0" applyFont="1" applyFill="1" applyBorder="1" applyAlignment="1">
      <alignment horizontal="center" vertical="center"/>
    </xf>
    <xf numFmtId="0" fontId="2" fillId="94" borderId="14" xfId="0" applyFont="1" applyFill="1" applyBorder="1" applyAlignment="1">
      <alignment horizontal="center" vertical="center"/>
    </xf>
    <xf numFmtId="0" fontId="2" fillId="102" borderId="14" xfId="0" applyFont="1" applyFill="1" applyBorder="1" applyAlignment="1">
      <alignment horizontal="center" vertical="center"/>
    </xf>
    <xf numFmtId="0" fontId="2" fillId="107" borderId="14" xfId="0" applyFont="1" applyFill="1" applyBorder="1" applyAlignment="1">
      <alignment horizontal="center" vertical="center"/>
    </xf>
    <xf numFmtId="0" fontId="2" fillId="108" borderId="14" xfId="0" applyFont="1" applyFill="1" applyBorder="1" applyAlignment="1">
      <alignment horizontal="center" vertical="center"/>
    </xf>
    <xf numFmtId="0" fontId="10" fillId="103" borderId="14" xfId="0" applyFont="1" applyFill="1" applyBorder="1" applyAlignment="1">
      <alignment horizontal="center" vertical="center"/>
    </xf>
    <xf numFmtId="0" fontId="10" fillId="104" borderId="14" xfId="0" applyFont="1" applyFill="1" applyBorder="1" applyAlignment="1">
      <alignment horizontal="center" vertical="center"/>
    </xf>
    <xf numFmtId="0" fontId="2" fillId="105" borderId="14" xfId="0" applyFont="1" applyFill="1" applyBorder="1" applyAlignment="1">
      <alignment horizontal="center" vertical="center"/>
    </xf>
    <xf numFmtId="0" fontId="2" fillId="107" borderId="16" xfId="0" applyFont="1" applyFill="1" applyBorder="1" applyAlignment="1">
      <alignment horizontal="center" vertical="center"/>
    </xf>
    <xf numFmtId="0" fontId="2" fillId="111" borderId="11" xfId="0" applyFont="1" applyFill="1" applyBorder="1" applyAlignment="1">
      <alignment horizontal="center" vertical="center"/>
    </xf>
    <xf numFmtId="0" fontId="2" fillId="107" borderId="17" xfId="0" applyFont="1" applyFill="1" applyBorder="1" applyAlignment="1">
      <alignment horizontal="center" vertical="center"/>
    </xf>
    <xf numFmtId="164" fontId="22" fillId="2" borderId="0" xfId="0" applyNumberFormat="1" applyFont="1" applyFill="1" applyAlignment="1">
      <alignment horizontal="center" vertical="center"/>
    </xf>
    <xf numFmtId="0" fontId="22" fillId="0" borderId="0" xfId="0" applyFont="1" applyAlignment="1">
      <alignment horizontal="center" vertical="center"/>
    </xf>
    <xf numFmtId="164" fontId="22" fillId="2" borderId="0" xfId="0" applyNumberFormat="1" applyFont="1" applyFill="1" applyAlignment="1">
      <alignment horizontal="center" vertical="center" wrapText="1"/>
    </xf>
    <xf numFmtId="0" fontId="4" fillId="0" borderId="0" xfId="0" applyFont="1" applyAlignment="1">
      <alignment horizontal="center" vertical="center"/>
    </xf>
    <xf numFmtId="0" fontId="18" fillId="0" borderId="0" xfId="0" applyFont="1" applyAlignment="1">
      <alignment horizontal="center" vertical="center"/>
    </xf>
    <xf numFmtId="0" fontId="9" fillId="5" borderId="2" xfId="0" applyFont="1" applyFill="1" applyBorder="1" applyAlignment="1">
      <alignment vertical="center" wrapText="1"/>
    </xf>
    <xf numFmtId="0" fontId="9" fillId="5" borderId="3" xfId="0" applyFont="1" applyFill="1" applyBorder="1" applyAlignment="1">
      <alignment vertical="center" wrapText="1"/>
    </xf>
    <xf numFmtId="0" fontId="9" fillId="5" borderId="6" xfId="0" applyFont="1" applyFill="1" applyBorder="1" applyAlignment="1">
      <alignment vertical="center" wrapText="1"/>
    </xf>
    <xf numFmtId="0" fontId="9" fillId="5" borderId="7" xfId="0" applyFont="1" applyFill="1" applyBorder="1" applyAlignment="1">
      <alignment vertical="center" wrapText="1"/>
    </xf>
    <xf numFmtId="0" fontId="10" fillId="6" borderId="4"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24" borderId="9" xfId="0" applyFont="1" applyFill="1" applyBorder="1" applyAlignment="1">
      <alignment horizontal="center" vertical="center" wrapText="1"/>
    </xf>
    <xf numFmtId="0" fontId="10" fillId="24" borderId="10" xfId="0" applyFont="1" applyFill="1" applyBorder="1" applyAlignment="1">
      <alignment horizontal="center" vertical="center" wrapText="1"/>
    </xf>
  </cellXfs>
  <cellStyles count="4">
    <cellStyle name="Bad" xfId="3" builtinId="27"/>
    <cellStyle name="Hyperlink" xfId="1" builtinId="8"/>
    <cellStyle name="Neutral" xfId="2" builtinId="28"/>
    <cellStyle name="Normal" xfId="0" builtinId="0"/>
  </cellStyles>
  <dxfs count="549">
    <dxf>
      <fill>
        <patternFill>
          <bgColor rgb="FFF5DE69"/>
        </patternFill>
      </fill>
    </dxf>
    <dxf>
      <fill>
        <patternFill>
          <bgColor rgb="FFE46CCA"/>
        </patternFill>
      </fill>
    </dxf>
    <dxf>
      <fill>
        <patternFill>
          <bgColor rgb="FF899EEA"/>
        </patternFill>
      </fill>
    </dxf>
    <dxf>
      <fill>
        <patternFill>
          <bgColor rgb="FF66D8F6"/>
        </patternFill>
      </fill>
    </dxf>
    <dxf>
      <fill>
        <patternFill>
          <bgColor rgb="FFF09A65"/>
        </patternFill>
      </fill>
    </dxf>
    <dxf>
      <fill>
        <patternFill>
          <bgColor rgb="FFF5DE69"/>
        </patternFill>
      </fill>
    </dxf>
    <dxf>
      <fill>
        <patternFill>
          <bgColor rgb="FF9EE865"/>
        </patternFill>
      </fill>
    </dxf>
    <dxf>
      <fill>
        <patternFill>
          <bgColor rgb="FF82C274"/>
        </patternFill>
      </fill>
    </dxf>
    <dxf>
      <fill>
        <patternFill>
          <bgColor rgb="FFF5EABD"/>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222224"/>
        </patternFill>
      </fill>
    </dxf>
    <dxf>
      <fill>
        <patternFill>
          <bgColor rgb="FFE46CCA"/>
        </patternFill>
      </fill>
    </dxf>
    <dxf>
      <fill>
        <patternFill>
          <bgColor rgb="FF899EEA"/>
        </patternFill>
      </fill>
    </dxf>
    <dxf>
      <fill>
        <patternFill>
          <bgColor rgb="FF66D8F6"/>
        </patternFill>
      </fill>
    </dxf>
    <dxf>
      <fill>
        <patternFill>
          <bgColor rgb="FFF09A65"/>
        </patternFill>
      </fill>
    </dxf>
    <dxf>
      <fill>
        <patternFill>
          <bgColor rgb="FFF5DE69"/>
        </patternFill>
      </fill>
    </dxf>
    <dxf>
      <fill>
        <patternFill>
          <bgColor rgb="FF9EE865"/>
        </patternFill>
      </fill>
    </dxf>
    <dxf>
      <fill>
        <patternFill>
          <bgColor rgb="FF82C274"/>
        </patternFill>
      </fill>
    </dxf>
    <dxf>
      <fill>
        <patternFill>
          <bgColor rgb="FFF5EABD"/>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222224"/>
        </patternFill>
      </fill>
    </dxf>
    <dxf>
      <fill>
        <patternFill>
          <bgColor rgb="FFEE1515"/>
        </patternFill>
      </fill>
    </dxf>
    <dxf>
      <fill>
        <patternFill>
          <bgColor rgb="FFE46CCA"/>
        </patternFill>
      </fill>
    </dxf>
    <dxf>
      <fill>
        <patternFill>
          <bgColor rgb="FF899EEA"/>
        </patternFill>
      </fill>
    </dxf>
    <dxf>
      <fill>
        <patternFill>
          <bgColor rgb="FF66D8F6"/>
        </patternFill>
      </fill>
    </dxf>
    <dxf>
      <fill>
        <patternFill>
          <bgColor rgb="FFF09A65"/>
        </patternFill>
      </fill>
    </dxf>
    <dxf>
      <fill>
        <patternFill>
          <bgColor rgb="FFF5DE69"/>
        </patternFill>
      </fill>
    </dxf>
    <dxf>
      <fill>
        <patternFill>
          <bgColor rgb="FF9EE865"/>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82C274"/>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E46CCA"/>
        </patternFill>
      </fill>
    </dxf>
    <dxf>
      <fill>
        <patternFill>
          <bgColor rgb="FF899EEA"/>
        </patternFill>
      </fill>
    </dxf>
    <dxf>
      <fill>
        <patternFill>
          <bgColor rgb="FF66D8F6"/>
        </patternFill>
      </fill>
    </dxf>
    <dxf>
      <fill>
        <patternFill>
          <bgColor rgb="FFF09A65"/>
        </patternFill>
      </fill>
    </dxf>
    <dxf>
      <fill>
        <patternFill>
          <bgColor rgb="FF9EE865"/>
        </patternFill>
      </fill>
    </dxf>
    <dxf>
      <fill>
        <patternFill>
          <bgColor rgb="FF82C274"/>
        </patternFill>
      </fill>
    </dxf>
    <dxf>
      <fill>
        <patternFill>
          <bgColor rgb="FFF5EABD"/>
        </patternFill>
      </fill>
    </dxf>
    <dxf>
      <fill>
        <patternFill>
          <bgColor rgb="FFF5EABD"/>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222224"/>
        </patternFill>
      </fill>
    </dxf>
    <dxf>
      <fill>
        <patternFill>
          <bgColor rgb="FFEE1515"/>
        </patternFill>
      </fill>
    </dxf>
    <dxf>
      <fill>
        <patternFill>
          <bgColor rgb="FF1BCB5E"/>
        </patternFill>
      </fill>
    </dxf>
    <dxf>
      <fill>
        <patternFill>
          <bgColor theme="1"/>
        </patternFill>
      </fill>
    </dxf>
    <dxf>
      <fill>
        <patternFill patternType="solid">
          <bgColor rgb="FFEE1E1E"/>
        </patternFill>
      </fill>
    </dxf>
    <dxf>
      <fill>
        <patternFill>
          <bgColor rgb="FFFFCD41"/>
        </patternFill>
      </fill>
    </dxf>
    <dxf>
      <fill>
        <patternFill>
          <bgColor rgb="FFCDBDBD"/>
        </patternFill>
      </fill>
    </dxf>
    <dxf>
      <fill>
        <patternFill>
          <bgColor rgb="FFE6DEDE"/>
        </patternFill>
      </fill>
    </dxf>
    <dxf>
      <font>
        <color theme="0"/>
      </font>
      <fill>
        <patternFill>
          <bgColor rgb="FF5A2951"/>
        </patternFill>
      </fill>
    </dxf>
    <dxf>
      <fill>
        <patternFill>
          <bgColor rgb="FFEE83B4"/>
        </patternFill>
      </fill>
    </dxf>
    <dxf>
      <fill>
        <patternFill>
          <bgColor rgb="FFFFB4D5"/>
        </patternFill>
      </fill>
    </dxf>
    <dxf>
      <fill>
        <patternFill>
          <bgColor rgb="FFEEAC9C"/>
        </patternFill>
      </fill>
    </dxf>
    <dxf>
      <fill>
        <patternFill>
          <bgColor rgb="FF0883A4"/>
        </patternFill>
      </fill>
    </dxf>
    <dxf>
      <font>
        <color theme="0"/>
      </font>
      <fill>
        <patternFill>
          <bgColor rgb="FFFF6262"/>
        </patternFill>
      </fill>
    </dxf>
    <dxf>
      <fill>
        <patternFill>
          <bgColor rgb="FF8BD5EE"/>
        </patternFill>
      </fill>
    </dxf>
    <dxf>
      <fill>
        <patternFill>
          <bgColor rgb="FFFFCD41"/>
        </patternFill>
      </fill>
    </dxf>
    <dxf>
      <fill>
        <patternFill>
          <bgColor rgb="FFF65A39"/>
        </patternFill>
      </fill>
    </dxf>
    <dxf>
      <fill>
        <patternFill>
          <bgColor rgb="FFD5D5D5"/>
        </patternFill>
      </fill>
    </dxf>
    <dxf>
      <font>
        <color theme="0"/>
      </font>
      <fill>
        <patternFill>
          <bgColor rgb="FFEB5628"/>
        </patternFill>
      </fill>
    </dxf>
    <dxf>
      <font>
        <color rgb="FFFFFFFF"/>
      </font>
      <fill>
        <patternFill>
          <bgColor rgb="FF375AB2"/>
        </patternFill>
      </fill>
    </dxf>
    <dxf>
      <font>
        <color rgb="FFFFFFFF"/>
      </font>
      <fill>
        <patternFill>
          <bgColor rgb="FF828282"/>
        </patternFill>
      </fill>
    </dxf>
    <dxf>
      <font>
        <color theme="8" tint="0.59996337778862885"/>
      </font>
      <fill>
        <patternFill>
          <bgColor theme="8" tint="-0.24994659260841701"/>
        </patternFill>
      </fill>
    </dxf>
    <dxf>
      <font>
        <color theme="5" tint="0.59996337778862885"/>
      </font>
      <fill>
        <patternFill>
          <bgColor rgb="FFFF0000"/>
        </patternFill>
      </fill>
    </dxf>
    <dxf>
      <fill>
        <patternFill>
          <bgColor rgb="FF383851"/>
        </patternFill>
      </fill>
    </dxf>
    <dxf>
      <font>
        <color rgb="FF9C0006"/>
      </font>
      <fill>
        <patternFill>
          <bgColor rgb="FFFFC7CE"/>
        </patternFill>
      </fill>
    </dxf>
    <dxf>
      <font>
        <color rgb="FFDE8800"/>
      </font>
      <fill>
        <patternFill>
          <bgColor rgb="FFFFEB9C"/>
        </patternFill>
      </fill>
    </dxf>
    <dxf>
      <font>
        <color rgb="FF216145"/>
      </font>
      <fill>
        <patternFill>
          <bgColor rgb="FFC6EFCE"/>
        </patternFill>
      </fill>
    </dxf>
    <dxf>
      <font>
        <color rgb="FFC6EFCE"/>
      </font>
      <fill>
        <patternFill>
          <bgColor theme="6" tint="0.39994506668294322"/>
        </patternFill>
      </fill>
    </dxf>
    <dxf>
      <font>
        <color theme="0" tint="-0.14996795556505021"/>
      </font>
      <fill>
        <patternFill>
          <bgColor rgb="FFA5A5A5"/>
        </patternFill>
      </fill>
    </dxf>
    <dxf>
      <font>
        <color rgb="FF216145"/>
      </font>
      <fill>
        <patternFill>
          <bgColor rgb="FFC6EFCE"/>
        </patternFill>
      </fill>
    </dxf>
    <dxf>
      <font>
        <color theme="0" tint="-0.14996795556505021"/>
      </font>
      <fill>
        <patternFill>
          <bgColor theme="0" tint="-0.499984740745262"/>
        </patternFill>
      </fill>
    </dxf>
    <dxf>
      <font>
        <color theme="0"/>
      </font>
      <fill>
        <patternFill>
          <bgColor rgb="FF9441BD"/>
        </patternFill>
      </fill>
    </dxf>
    <dxf>
      <fill>
        <patternFill>
          <bgColor theme="3" tint="0.24994659260841701"/>
        </patternFill>
      </fill>
    </dxf>
    <dxf>
      <font>
        <color rgb="FFC6EFCE"/>
      </font>
      <fill>
        <patternFill>
          <bgColor theme="6" tint="0.39994506668294322"/>
        </patternFill>
      </fill>
    </dxf>
    <dxf>
      <font>
        <color rgb="FF9C0006"/>
      </font>
      <fill>
        <patternFill>
          <bgColor rgb="FFFFC7CE"/>
        </patternFill>
      </fill>
    </dxf>
    <dxf>
      <font>
        <color rgb="FFDE8800"/>
      </font>
      <fill>
        <patternFill>
          <bgColor rgb="FFFFEB9C"/>
        </patternFill>
      </fill>
    </dxf>
    <dxf>
      <font>
        <color rgb="FF216145"/>
      </font>
      <fill>
        <patternFill>
          <bgColor rgb="FFC6EFCE"/>
        </patternFill>
      </fill>
    </dxf>
    <dxf>
      <font>
        <color theme="0" tint="-0.14996795556505021"/>
      </font>
      <fill>
        <patternFill>
          <bgColor rgb="FFA5A5A5"/>
        </patternFill>
      </fill>
    </dxf>
    <dxf>
      <fill>
        <patternFill>
          <bgColor rgb="FF828282"/>
        </patternFill>
      </fill>
    </dxf>
    <dxf>
      <fill>
        <patternFill>
          <bgColor rgb="FFEB5628"/>
        </patternFill>
      </fill>
    </dxf>
    <dxf>
      <font>
        <color rgb="FFFFFFFF"/>
      </font>
      <fill>
        <patternFill>
          <bgColor rgb="FF375AB2"/>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DED5E6"/>
        </patternFill>
      </fill>
    </dxf>
    <dxf>
      <fill>
        <patternFill>
          <bgColor rgb="FF526AD5"/>
        </patternFill>
      </fill>
    </dxf>
    <dxf>
      <fill>
        <patternFill>
          <bgColor rgb="FFA4D5C5"/>
        </patternFill>
      </fill>
    </dxf>
    <dxf>
      <fill>
        <patternFill>
          <bgColor rgb="FFDECD83"/>
        </patternFill>
      </fill>
    </dxf>
    <dxf>
      <fill>
        <patternFill>
          <bgColor rgb="FF6A5A5A"/>
        </patternFill>
      </fill>
    </dxf>
    <dxf>
      <fill>
        <patternFill>
          <bgColor rgb="FFD5E6F6"/>
        </patternFill>
      </fill>
    </dxf>
    <dxf>
      <fill>
        <patternFill>
          <bgColor rgb="FF3D459B"/>
        </patternFill>
      </fill>
    </dxf>
    <dxf>
      <fill>
        <patternFill>
          <bgColor rgb="FFB4C5F6"/>
        </patternFill>
      </fill>
    </dxf>
    <dxf>
      <fill>
        <patternFill>
          <bgColor rgb="FFDCEAF7"/>
        </patternFill>
      </fill>
    </dxf>
    <dxf>
      <fill>
        <patternFill>
          <bgColor rgb="FF61737A"/>
        </patternFill>
      </fill>
    </dxf>
    <dxf>
      <fill>
        <patternFill>
          <bgColor rgb="FF424273"/>
        </patternFill>
      </fill>
    </dxf>
    <dxf>
      <fill>
        <patternFill>
          <bgColor rgb="FF5A73FF"/>
        </patternFill>
      </fill>
    </dxf>
    <dxf>
      <fill>
        <patternFill>
          <bgColor rgb="FF9CACE6"/>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rgb="FF222224"/>
        </patternFill>
      </fill>
    </dxf>
    <dxf>
      <fill>
        <patternFill>
          <bgColor rgb="FFEE1515"/>
        </patternFill>
      </fill>
    </dxf>
    <dxf>
      <fill>
        <patternFill>
          <bgColor rgb="FF222224"/>
        </patternFill>
      </fill>
    </dxf>
    <dxf>
      <fill>
        <patternFill>
          <bgColor rgb="FFEE1515"/>
        </patternFill>
      </fill>
    </dxf>
    <dxf>
      <fill>
        <patternFill>
          <bgColor rgb="FFADADAD"/>
        </patternFill>
      </fill>
    </dxf>
    <dxf>
      <font>
        <b val="0"/>
        <i val="0"/>
        <u val="none"/>
        <color theme="0"/>
      </font>
      <fill>
        <patternFill>
          <bgColor theme="0"/>
        </patternFill>
      </fill>
      <border>
        <left/>
        <right/>
        <top/>
        <bottom/>
      </border>
    </dxf>
    <dxf>
      <font>
        <b/>
        <i val="0"/>
        <strike val="0"/>
        <u/>
      </font>
      <fill>
        <patternFill>
          <bgColor theme="6" tint="0.79998168889431442"/>
        </patternFill>
      </fill>
    </dxf>
    <dxf>
      <font>
        <b/>
        <i val="0"/>
        <u/>
      </font>
      <fill>
        <patternFill>
          <bgColor theme="5" tint="0.39994506668294322"/>
        </patternFill>
      </fill>
    </dxf>
    <dxf>
      <font>
        <b/>
        <i val="0"/>
        <u/>
      </font>
    </dxf>
    <dxf>
      <fill>
        <patternFill>
          <bgColor rgb="FFE46CCA"/>
        </patternFill>
      </fill>
    </dxf>
    <dxf>
      <font>
        <b/>
        <i val="0"/>
        <u/>
      </font>
    </dxf>
    <dxf>
      <fill>
        <patternFill>
          <bgColor rgb="FF899EEA"/>
        </patternFill>
      </fill>
    </dxf>
    <dxf>
      <font>
        <b/>
        <i val="0"/>
        <u/>
      </font>
    </dxf>
    <dxf>
      <fill>
        <patternFill>
          <bgColor rgb="FF66D8F6"/>
        </patternFill>
      </fill>
    </dxf>
    <dxf>
      <font>
        <b/>
        <i val="0"/>
        <u/>
      </font>
    </dxf>
    <dxf>
      <fill>
        <patternFill>
          <bgColor rgb="FFF09A65"/>
        </patternFill>
      </fill>
    </dxf>
    <dxf>
      <font>
        <b/>
        <i val="0"/>
        <u/>
      </font>
    </dxf>
    <dxf>
      <fill>
        <patternFill>
          <bgColor rgb="FFF5DE69"/>
        </patternFill>
      </fill>
    </dxf>
    <dxf>
      <fill>
        <patternFill>
          <bgColor rgb="FF9EE865"/>
        </patternFill>
      </fill>
    </dxf>
    <dxf>
      <font>
        <b/>
        <i val="0"/>
        <u/>
      </font>
    </dxf>
    <dxf>
      <font>
        <b/>
        <i val="0"/>
        <u/>
      </font>
    </dxf>
    <dxf>
      <fill>
        <patternFill>
          <bgColor rgb="FF82C274"/>
        </patternFill>
      </fill>
    </dxf>
    <dxf>
      <font>
        <b/>
        <i val="0"/>
        <u/>
      </font>
    </dxf>
    <dxf>
      <fill>
        <patternFill>
          <bgColor rgb="FFF5EABD"/>
        </patternFill>
      </fill>
    </dxf>
    <dxf>
      <font>
        <b/>
        <i val="0"/>
        <u/>
      </font>
    </dxf>
    <dxf>
      <font>
        <b/>
        <i val="0"/>
        <u/>
      </font>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theme="0" tint="-0.24994659260841701"/>
        </patternFill>
      </fill>
    </dxf>
    <dxf>
      <fill>
        <patternFill>
          <bgColor rgb="FF78C850"/>
        </patternFill>
      </fill>
    </dxf>
    <dxf>
      <fill>
        <patternFill>
          <bgColor rgb="FFA8A878"/>
        </patternFill>
      </fill>
    </dxf>
    <dxf>
      <fill>
        <patternFill>
          <bgColor rgb="FFF08030"/>
        </patternFill>
      </fill>
    </dxf>
    <dxf>
      <fill>
        <patternFill>
          <bgColor rgb="FF6890F0"/>
        </patternFill>
      </fill>
    </dxf>
    <dxf>
      <fill>
        <patternFill>
          <bgColor rgb="FFF8D030"/>
        </patternFill>
      </fill>
    </dxf>
    <dxf>
      <fill>
        <patternFill>
          <bgColor rgb="FF98D8D8"/>
        </patternFill>
      </fill>
    </dxf>
    <dxf>
      <fill>
        <patternFill>
          <bgColor rgb="FFC03028"/>
        </patternFill>
      </fill>
    </dxf>
    <dxf>
      <fill>
        <patternFill>
          <bgColor rgb="FFA040A0"/>
        </patternFill>
      </fill>
    </dxf>
    <dxf>
      <fill>
        <patternFill>
          <bgColor rgb="FFE0C068"/>
        </patternFill>
      </fill>
    </dxf>
    <dxf>
      <fill>
        <patternFill>
          <bgColor rgb="FFF85888"/>
        </patternFill>
      </fill>
    </dxf>
    <dxf>
      <fill>
        <patternFill>
          <bgColor rgb="FFA8B820"/>
        </patternFill>
      </fill>
    </dxf>
    <dxf>
      <fill>
        <patternFill>
          <bgColor rgb="FFB8A038"/>
        </patternFill>
      </fill>
    </dxf>
    <dxf>
      <fill>
        <patternFill>
          <bgColor rgb="FF705898"/>
        </patternFill>
      </fill>
    </dxf>
    <dxf>
      <fill>
        <patternFill>
          <bgColor rgb="FF7038F8"/>
        </patternFill>
      </fill>
    </dxf>
    <dxf>
      <fill>
        <patternFill>
          <bgColor rgb="FF705848"/>
        </patternFill>
      </fill>
    </dxf>
    <dxf>
      <fill>
        <patternFill>
          <bgColor rgb="FFB8B8D0"/>
        </patternFill>
      </fill>
    </dxf>
    <dxf>
      <fill>
        <patternFill>
          <bgColor rgb="FFEE99AC"/>
        </patternFill>
      </fill>
    </dxf>
    <dxf>
      <fill>
        <patternFill>
          <bgColor rgb="FFA890F0"/>
        </patternFill>
      </fill>
    </dxf>
    <dxf>
      <fill>
        <patternFill>
          <bgColor theme="0" tint="-0.24994659260841701"/>
        </patternFill>
      </fill>
    </dxf>
    <dxf>
      <font>
        <b/>
        <i val="0"/>
        <u/>
      </font>
    </dxf>
    <dxf>
      <fill>
        <patternFill>
          <bgColor rgb="FF222224"/>
        </patternFill>
      </fill>
    </dxf>
    <dxf>
      <fill>
        <patternFill>
          <bgColor rgb="FFEE1515"/>
        </patternFill>
      </fill>
    </dxf>
  </dxfs>
  <tableStyles count="0" defaultTableStyle="TableStyleMedium2" defaultPivotStyle="PivotStyleLight16"/>
  <colors>
    <mruColors>
      <color rgb="FFCDBDBD"/>
      <color rgb="FFE6DEDE"/>
      <color rgb="FFFFDE9C"/>
      <color rgb="FFF6C573"/>
      <color rgb="FF404040"/>
      <color rgb="FFAC8B41"/>
      <color rgb="FFB24542"/>
      <color rgb="FFF65A39"/>
      <color rgb="FFB4CDF6"/>
      <color rgb="FF7359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2">
  <rv s="0">
    <v>0</v>
    <v>4</v>
  </rv>
  <rv s="0">
    <v>1</v>
    <v>4</v>
  </rv>
  <rv s="0">
    <v>2</v>
    <v>4</v>
  </rv>
  <rv s="0">
    <v>3</v>
    <v>4</v>
  </rv>
  <rv s="0">
    <v>4</v>
    <v>4</v>
  </rv>
  <rv s="0">
    <v>5</v>
    <v>4</v>
  </rv>
  <rv s="0">
    <v>6</v>
    <v>4</v>
  </rv>
  <rv s="0">
    <v>7</v>
    <v>4</v>
  </rv>
  <rv s="0">
    <v>8</v>
    <v>4</v>
  </rv>
  <rv s="0">
    <v>9</v>
    <v>4</v>
  </rv>
  <rv s="0">
    <v>10</v>
    <v>4</v>
  </rv>
  <rv s="0">
    <v>11</v>
    <v>4</v>
  </rv>
  <rv s="0">
    <v>12</v>
    <v>4</v>
  </rv>
  <rv s="0">
    <v>0</v>
    <v>5</v>
  </rv>
  <rv s="0">
    <v>3</v>
    <v>5</v>
  </rv>
  <rv s="0">
    <v>6</v>
    <v>5</v>
  </rv>
  <rv s="0">
    <v>1</v>
    <v>5</v>
  </rv>
  <rv s="0">
    <v>4</v>
    <v>5</v>
  </rv>
  <rv s="0">
    <v>2</v>
    <v>5</v>
  </rv>
  <rv s="0">
    <v>5</v>
    <v>5</v>
  </rv>
  <rv s="0">
    <v>12</v>
    <v>5</v>
  </rv>
  <rv s="0">
    <v>13</v>
    <v>5</v>
  </rv>
  <rv s="0">
    <v>14</v>
    <v>5</v>
  </rv>
  <rv s="0">
    <v>11</v>
    <v>5</v>
  </rv>
  <rv s="0">
    <v>15</v>
    <v>5</v>
  </rv>
  <rv s="0">
    <v>7</v>
    <v>5</v>
  </rv>
  <rv s="0">
    <v>16</v>
    <v>5</v>
  </rv>
  <rv s="0">
    <v>17</v>
    <v>5</v>
  </rv>
  <rv s="0">
    <v>8</v>
    <v>5</v>
  </rv>
  <rv s="0">
    <v>9</v>
    <v>5</v>
  </rv>
  <rv s="0">
    <v>10</v>
    <v>5</v>
  </rv>
  <rv s="0">
    <v>18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kemondb.net/tools/text-lis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pokemonpalette.com/"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pokemonpalette.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pokemonpalette.com/"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pokemonpalette.com/"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pokemonpalette.com/"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pokemonpalette.com/"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docs.google.com/spreadsheets/d/1VPIt02dkESz9mYU1-r4QCpbF0fSXA_UhyrU5dSIjWtc/edit"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serebii.net/xy/updatedstats.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230C3-CB9A-4A9F-A35B-6FA48B966C7F}">
  <sheetPr>
    <tabColor rgb="FFF6C573"/>
  </sheetPr>
  <dimension ref="A1:P696"/>
  <sheetViews>
    <sheetView zoomScaleNormal="100" workbookViewId="0">
      <selection activeCell="M26" sqref="H26:M26"/>
    </sheetView>
  </sheetViews>
  <sheetFormatPr defaultRowHeight="15.75" customHeight="1" x14ac:dyDescent="0.2"/>
  <cols>
    <col min="1" max="1" width="15" style="15" bestFit="1" customWidth="1"/>
    <col min="2" max="2" width="20.140625" style="16" bestFit="1" customWidth="1"/>
    <col min="3" max="3" width="12.85546875" style="9" customWidth="1"/>
    <col min="4" max="4" width="12.85546875" style="9" bestFit="1" customWidth="1"/>
    <col min="5" max="5" width="24.85546875" style="9" bestFit="1" customWidth="1"/>
    <col min="6" max="6" width="24.85546875" style="10" customWidth="1"/>
    <col min="7" max="7" width="9.28515625" style="10" bestFit="1" customWidth="1"/>
    <col min="8" max="8" width="6.42578125" style="10" bestFit="1" customWidth="1"/>
    <col min="9" max="9" width="11" style="10" bestFit="1" customWidth="1"/>
    <col min="10" max="10" width="13.140625" style="10" bestFit="1" customWidth="1"/>
    <col min="11" max="11" width="15.140625" style="10" bestFit="1" customWidth="1"/>
    <col min="12" max="12" width="17.28515625" style="10" bestFit="1" customWidth="1"/>
    <col min="13" max="13" width="10.28515625" style="9" bestFit="1" customWidth="1"/>
    <col min="14" max="14" width="11.5703125" style="17" customWidth="1"/>
    <col min="15" max="15" width="39" style="253" bestFit="1" customWidth="1"/>
    <col min="16" max="16" width="133.85546875" style="9" customWidth="1"/>
    <col min="17" max="16384" width="9.140625" style="9"/>
  </cols>
  <sheetData>
    <row r="1" spans="1:16" ht="15.75" customHeight="1" x14ac:dyDescent="0.2">
      <c r="A1" s="1" t="s">
        <v>0</v>
      </c>
      <c r="B1" s="2" t="s">
        <v>1</v>
      </c>
      <c r="C1" s="11" t="str">
        <f>Changed!C1</f>
        <v>Type 1</v>
      </c>
      <c r="D1" s="11" t="str">
        <f>Changed!D1</f>
        <v>Type 2</v>
      </c>
      <c r="E1" s="11" t="str">
        <f>Changed!E1</f>
        <v>Ability 1</v>
      </c>
      <c r="F1" s="11" t="str">
        <f>Changed!F1</f>
        <v>Ability 2</v>
      </c>
      <c r="G1" s="48" t="str">
        <f>Changed!G1</f>
        <v>Total</v>
      </c>
      <c r="H1" s="3" t="str">
        <f>Changed!H1</f>
        <v>HP</v>
      </c>
      <c r="I1" s="3" t="str">
        <f>Changed!I1</f>
        <v>Attack</v>
      </c>
      <c r="J1" s="3" t="str">
        <f>Changed!J1</f>
        <v>Defense</v>
      </c>
      <c r="K1" s="3" t="str">
        <f>Changed!K1</f>
        <v>Sp.Attack</v>
      </c>
      <c r="L1" s="3" t="str">
        <f>Changed!L1</f>
        <v>Sp.Defense</v>
      </c>
      <c r="M1" s="3" t="str">
        <f>Changed!M1</f>
        <v>Speed</v>
      </c>
      <c r="N1" s="250" t="s">
        <v>1378</v>
      </c>
      <c r="O1" s="251" t="s">
        <v>1387</v>
      </c>
      <c r="P1" s="12" t="s">
        <v>529</v>
      </c>
    </row>
    <row r="2" spans="1:16" ht="15.75" customHeight="1" x14ac:dyDescent="0.2">
      <c r="A2" s="4">
        <v>1</v>
      </c>
      <c r="B2" s="5" t="s">
        <v>13</v>
      </c>
      <c r="C2" s="6" t="str">
        <f>IF(Changed!C2&lt;&gt;"", Changed!C2, "")</f>
        <v>Grass</v>
      </c>
      <c r="D2" s="6" t="str">
        <f>IF(Changed!D2&lt;&gt;"", Changed!D2, "")</f>
        <v>Poison</v>
      </c>
      <c r="E2" s="6" t="str">
        <f>IF(Changed!E2&lt;&gt;"", Changed!E2, "")</f>
        <v>Chlorophyll</v>
      </c>
      <c r="F2" s="6" t="str">
        <f>IF(Changed!F2&lt;&gt;"", Changed!F2, "")</f>
        <v>Grassy Surge</v>
      </c>
      <c r="G2" s="7" t="str" cm="1">
        <f t="array" ref="G2">INDEX(Changed!$G:$G,ROW())&amp;IF(Changed!$G2&gt;Base!$G2,"↑",IF(Changed!$G2&lt;Base!$G2," ↓",""))</f>
        <v>318</v>
      </c>
      <c r="H2" s="7" t="str" cm="1">
        <f t="array" ref="H2">INDEX(Changed!$H:$H,ROW())&amp;IF(Changed!$H2&gt;Base!$H2,"↑",IF(Changed!$H2&lt;Base!$H2," ↓",""))</f>
        <v>45</v>
      </c>
      <c r="I2" s="7" t="str" cm="1">
        <f t="array" ref="I2">INDEX(Changed!$I:$I,ROW())&amp;IF(Changed!$I2&gt;Base!$I2,"↑",IF(Changed!$I2&lt;Base!$I2," ↓",""))</f>
        <v>49</v>
      </c>
      <c r="J2" s="7" t="str" cm="1">
        <f t="array" ref="J2">INDEX(Changed!$J:$J,ROW())&amp;IF(Changed!$J2&gt;Base!$J2,"↑",IF(Changed!$J2&lt;Base!$J2," ↓",""))</f>
        <v>49</v>
      </c>
      <c r="K2" s="7" t="str" cm="1">
        <f t="array" ref="K2">INDEX(Changed!$K:$K,ROW())&amp;IF(Changed!$K2&gt;Base!$K2,"↑",IF(Changed!$K2&lt;Base!$K2," ↓",""))</f>
        <v>65</v>
      </c>
      <c r="L2" s="7" t="str" cm="1">
        <f t="array" ref="L2">INDEX(Changed!$L:$L,ROW())&amp;IF(Changed!$L2&gt;Base!$L2,"↑",IF(Changed!$L2&lt;Base!$L2," ↓",""))</f>
        <v>65</v>
      </c>
      <c r="M2" s="7" t="str" cm="1">
        <f t="array" ref="M2">INDEX(Changed!$M:$M,ROW())&amp;IF(Changed!$M2&gt;Base!$M2,"↑",IF(Changed!$M2&lt;Base!$M2," ↓",""))</f>
        <v>45</v>
      </c>
      <c r="N2" s="260">
        <f>Changed!G2-Base!G2</f>
        <v>0</v>
      </c>
      <c r="P2" s="42"/>
    </row>
    <row r="3" spans="1:16" ht="15.75" customHeight="1" x14ac:dyDescent="0.2">
      <c r="A3" s="4">
        <v>2</v>
      </c>
      <c r="B3" s="5" t="s">
        <v>18</v>
      </c>
      <c r="C3" s="6" t="str">
        <f>IF(Changed!C3&lt;&gt;"", Changed!C3, "")</f>
        <v>Grass</v>
      </c>
      <c r="D3" s="6" t="str">
        <f>IF(Changed!D3&lt;&gt;"", Changed!D3, "")</f>
        <v>Poison</v>
      </c>
      <c r="E3" s="6" t="str">
        <f>IF(Changed!E3&lt;&gt;"", Changed!E3, "")</f>
        <v>Chlorophyll</v>
      </c>
      <c r="F3" s="6" t="str">
        <f>IF(Changed!F3&lt;&gt;"", Changed!F3, "")</f>
        <v>Grassy Surge</v>
      </c>
      <c r="G3" s="7" t="str" cm="1">
        <f t="array" ref="G3">INDEX(Changed!$G:$G,ROW())&amp;IF(Changed!$G3&gt;Base!$G3,"↑",IF(Changed!$G3&lt;Base!$G3," ↓",""))</f>
        <v>405</v>
      </c>
      <c r="H3" s="7" t="str" cm="1">
        <f t="array" ref="H3">INDEX(Changed!$H:$H,ROW())&amp;IF(Changed!$H3&gt;Base!$H3,"↑",IF(Changed!$H3&lt;Base!$H3," ↓",""))</f>
        <v>60</v>
      </c>
      <c r="I3" s="7" t="str" cm="1">
        <f t="array" ref="I3">INDEX(Changed!$I:$I,ROW())&amp;IF(Changed!$I3&gt;Base!$I3,"↑",IF(Changed!$I3&lt;Base!$I3," ↓",""))</f>
        <v>62</v>
      </c>
      <c r="J3" s="7" t="str" cm="1">
        <f t="array" ref="J3">INDEX(Changed!$J:$J,ROW())&amp;IF(Changed!$J3&gt;Base!$J3,"↑",IF(Changed!$J3&lt;Base!$J3," ↓",""))</f>
        <v>63</v>
      </c>
      <c r="K3" s="7" t="str" cm="1">
        <f t="array" ref="K3">INDEX(Changed!$K:$K,ROW())&amp;IF(Changed!$K3&gt;Base!$K3,"↑",IF(Changed!$K3&lt;Base!$K3," ↓",""))</f>
        <v>80</v>
      </c>
      <c r="L3" s="7" t="str" cm="1">
        <f t="array" ref="L3">INDEX(Changed!$L:$L,ROW())&amp;IF(Changed!$L3&gt;Base!$L3,"↑",IF(Changed!$L3&lt;Base!$L3," ↓",""))</f>
        <v>80</v>
      </c>
      <c r="M3" s="7" t="str" cm="1">
        <f t="array" ref="M3">INDEX(Changed!$M:$M,ROW())&amp;IF(Changed!$M3&gt;Base!$M3,"↑",IF(Changed!$M3&lt;Base!$M3," ↓",""))</f>
        <v>60</v>
      </c>
      <c r="N3" s="19">
        <f>Changed!G3-Base!G3</f>
        <v>0</v>
      </c>
      <c r="P3" s="40" t="s">
        <v>1161</v>
      </c>
    </row>
    <row r="4" spans="1:16" ht="15.75" customHeight="1" x14ac:dyDescent="0.2">
      <c r="A4" s="4">
        <v>3</v>
      </c>
      <c r="B4" s="5" t="s">
        <v>19</v>
      </c>
      <c r="C4" s="6" t="str">
        <f>IF(Changed!C4&lt;&gt;"", Changed!C4, "")</f>
        <v>Grass</v>
      </c>
      <c r="D4" s="6" t="str">
        <f>IF(Changed!D4&lt;&gt;"", Changed!D4, "")</f>
        <v>Poison</v>
      </c>
      <c r="E4" s="6" t="str">
        <f>IF(Changed!E4&lt;&gt;"", Changed!E4, "")</f>
        <v>Chlorophyll</v>
      </c>
      <c r="F4" s="6" t="str">
        <f>IF(Changed!F4&lt;&gt;"", Changed!F4, "")</f>
        <v>Grassy Surge</v>
      </c>
      <c r="G4" s="7" t="str" cm="1">
        <f t="array" ref="G4">INDEX(Changed!$G:$G,ROW())&amp;IF(Changed!$G4&gt;Base!$G4,"↑",IF(Changed!$G4&lt;Base!$G4," ↓",""))</f>
        <v>525</v>
      </c>
      <c r="H4" s="7" t="str" cm="1">
        <f t="array" ref="H4">INDEX(Changed!$H:$H,ROW())&amp;IF(Changed!$H4&gt;Base!$H4,"↑",IF(Changed!$H4&lt;Base!$H4," ↓",""))</f>
        <v>80</v>
      </c>
      <c r="I4" s="7" t="str" cm="1">
        <f t="array" ref="I4">INDEX(Changed!$I:$I,ROW())&amp;IF(Changed!$I4&gt;Base!$I4,"↑",IF(Changed!$I4&lt;Base!$I4," ↓",""))</f>
        <v>82</v>
      </c>
      <c r="J4" s="7" t="str" cm="1">
        <f t="array" ref="J4">INDEX(Changed!$J:$J,ROW())&amp;IF(Changed!$J4&gt;Base!$J4,"↑",IF(Changed!$J4&lt;Base!$J4," ↓",""))</f>
        <v>83</v>
      </c>
      <c r="K4" s="7" t="str" cm="1">
        <f t="array" ref="K4">INDEX(Changed!$K:$K,ROW())&amp;IF(Changed!$K4&gt;Base!$K4,"↑",IF(Changed!$K4&lt;Base!$K4," ↓",""))</f>
        <v>100</v>
      </c>
      <c r="L4" s="7" t="str" cm="1">
        <f t="array" ref="L4">INDEX(Changed!$L:$L,ROW())&amp;IF(Changed!$L4&gt;Base!$L4,"↑",IF(Changed!$L4&lt;Base!$L4," ↓",""))</f>
        <v>100</v>
      </c>
      <c r="M4" s="7" t="str" cm="1">
        <f t="array" ref="M4">INDEX(Changed!$M:$M,ROW())&amp;IF(Changed!$M4&gt;Base!$M4,"↑",IF(Changed!$M4&lt;Base!$M4," ↓",""))</f>
        <v>80</v>
      </c>
      <c r="N4" s="19">
        <f>Changed!G4-Base!G4</f>
        <v>0</v>
      </c>
      <c r="P4" s="220" t="s">
        <v>1185</v>
      </c>
    </row>
    <row r="5" spans="1:16" ht="15.75" customHeight="1" x14ac:dyDescent="0.2">
      <c r="A5" s="4">
        <v>4</v>
      </c>
      <c r="B5" s="5" t="s">
        <v>20</v>
      </c>
      <c r="C5" s="6" t="str">
        <f>IF(Changed!C5&lt;&gt;"", Changed!C5, "")</f>
        <v>Fire</v>
      </c>
      <c r="D5" s="6" t="str">
        <f>IF(Changed!D5&lt;&gt;"", Changed!D5, "")</f>
        <v/>
      </c>
      <c r="E5" s="6" t="str">
        <f>IF(Changed!E5&lt;&gt;"", Changed!E5, "")</f>
        <v>Blaze</v>
      </c>
      <c r="F5" s="6" t="str">
        <f>IF(Changed!F5&lt;&gt;"", Changed!F5, "")</f>
        <v>Solar Power</v>
      </c>
      <c r="G5" s="7" t="str" cm="1">
        <f t="array" ref="G5">INDEX(Changed!$G:$G,ROW())&amp;IF(Changed!$G5&gt;Base!$G5,"↑",IF(Changed!$G5&lt;Base!$G5," ↓",""))</f>
        <v>309</v>
      </c>
      <c r="H5" s="7" t="str" cm="1">
        <f t="array" ref="H5">INDEX(Changed!$H:$H,ROW())&amp;IF(Changed!$H5&gt;Base!$H5,"↑",IF(Changed!$H5&lt;Base!$H5," ↓",""))</f>
        <v>39</v>
      </c>
      <c r="I5" s="7" t="str" cm="1">
        <f t="array" ref="I5">INDEX(Changed!$I:$I,ROW())&amp;IF(Changed!$I5&gt;Base!$I5,"↑",IF(Changed!$I5&lt;Base!$I5," ↓",""))</f>
        <v>52</v>
      </c>
      <c r="J5" s="7" t="str" cm="1">
        <f t="array" ref="J5">INDEX(Changed!$J:$J,ROW())&amp;IF(Changed!$J5&gt;Base!$J5,"↑",IF(Changed!$J5&lt;Base!$J5," ↓",""))</f>
        <v>43</v>
      </c>
      <c r="K5" s="7" t="str" cm="1">
        <f t="array" ref="K5">INDEX(Changed!$K:$K,ROW())&amp;IF(Changed!$K5&gt;Base!$K5,"↑",IF(Changed!$K5&lt;Base!$K5," ↓",""))</f>
        <v>60</v>
      </c>
      <c r="L5" s="7" t="str" cm="1">
        <f t="array" ref="L5">INDEX(Changed!$L:$L,ROW())&amp;IF(Changed!$L5&gt;Base!$L5,"↑",IF(Changed!$L5&lt;Base!$L5," ↓",""))</f>
        <v>50</v>
      </c>
      <c r="M5" s="7" t="str" cm="1">
        <f t="array" ref="M5">INDEX(Changed!$M:$M,ROW())&amp;IF(Changed!$M5&gt;Base!$M5,"↑",IF(Changed!$M5&lt;Base!$M5," ↓",""))</f>
        <v>65</v>
      </c>
      <c r="N5" s="19">
        <f>Changed!G5-Base!G5</f>
        <v>0</v>
      </c>
      <c r="P5" s="220" t="s">
        <v>1186</v>
      </c>
    </row>
    <row r="6" spans="1:16" ht="15.75" customHeight="1" x14ac:dyDescent="0.2">
      <c r="A6" s="4">
        <v>5</v>
      </c>
      <c r="B6" s="5" t="s">
        <v>24</v>
      </c>
      <c r="C6" s="6" t="str">
        <f>IF(Changed!C6&lt;&gt;"", Changed!C6, "")</f>
        <v>Fire</v>
      </c>
      <c r="D6" s="6" t="str">
        <f>IF(Changed!D6&lt;&gt;"", Changed!D6, "")</f>
        <v/>
      </c>
      <c r="E6" s="6" t="str">
        <f>IF(Changed!E6&lt;&gt;"", Changed!E6, "")</f>
        <v>Blaze</v>
      </c>
      <c r="F6" s="6" t="str">
        <f>IF(Changed!F6&lt;&gt;"", Changed!F6, "")</f>
        <v>Solar Power</v>
      </c>
      <c r="G6" s="7" t="str" cm="1">
        <f t="array" ref="G6">INDEX(Changed!$G:$G,ROW())&amp;IF(Changed!$G6&gt;Base!$G6,"↑",IF(Changed!$G6&lt;Base!$G6," ↓",""))</f>
        <v>405</v>
      </c>
      <c r="H6" s="7" t="str" cm="1">
        <f t="array" ref="H6">INDEX(Changed!$H:$H,ROW())&amp;IF(Changed!$H6&gt;Base!$H6,"↑",IF(Changed!$H6&lt;Base!$H6," ↓",""))</f>
        <v>58</v>
      </c>
      <c r="I6" s="7" t="str" cm="1">
        <f t="array" ref="I6">INDEX(Changed!$I:$I,ROW())&amp;IF(Changed!$I6&gt;Base!$I6,"↑",IF(Changed!$I6&lt;Base!$I6," ↓",""))</f>
        <v>64</v>
      </c>
      <c r="J6" s="7" t="str" cm="1">
        <f t="array" ref="J6">INDEX(Changed!$J:$J,ROW())&amp;IF(Changed!$J6&gt;Base!$J6,"↑",IF(Changed!$J6&lt;Base!$J6," ↓",""))</f>
        <v>58</v>
      </c>
      <c r="K6" s="7" t="str" cm="1">
        <f t="array" ref="K6">INDEX(Changed!$K:$K,ROW())&amp;IF(Changed!$K6&gt;Base!$K6,"↑",IF(Changed!$K6&lt;Base!$K6," ↓",""))</f>
        <v>80</v>
      </c>
      <c r="L6" s="7" t="str" cm="1">
        <f t="array" ref="L6">INDEX(Changed!$L:$L,ROW())&amp;IF(Changed!$L6&gt;Base!$L6,"↑",IF(Changed!$L6&lt;Base!$L6," ↓",""))</f>
        <v>65</v>
      </c>
      <c r="M6" s="7" t="str" cm="1">
        <f t="array" ref="M6">INDEX(Changed!$M:$M,ROW())&amp;IF(Changed!$M6&gt;Base!$M6,"↑",IF(Changed!$M6&lt;Base!$M6," ↓",""))</f>
        <v>80</v>
      </c>
      <c r="N6" s="19">
        <f>Changed!G6-Base!G6</f>
        <v>0</v>
      </c>
      <c r="P6" s="40" t="s">
        <v>1162</v>
      </c>
    </row>
    <row r="7" spans="1:16" ht="15.75" customHeight="1" x14ac:dyDescent="0.2">
      <c r="A7" s="4">
        <v>6</v>
      </c>
      <c r="B7" s="8" t="s">
        <v>25</v>
      </c>
      <c r="C7" s="6" t="str">
        <f>IF(Changed!C7&lt;&gt;"", Changed!C7, "")</f>
        <v>Fire</v>
      </c>
      <c r="D7" s="6" t="str">
        <f>IF(Changed!D7&lt;&gt;"", Changed!D7, "")</f>
        <v>Flying</v>
      </c>
      <c r="E7" s="6" t="str">
        <f>IF(Changed!E7&lt;&gt;"", Changed!E7, "")</f>
        <v>Blaze</v>
      </c>
      <c r="F7" s="6" t="str">
        <f>IF(Changed!F7&lt;&gt;"", Changed!F7, "")</f>
        <v>Solar Power</v>
      </c>
      <c r="G7" s="7" t="str" cm="1">
        <f t="array" ref="G7">INDEX(Changed!$G:$G,ROW())&amp;IF(Changed!$G7&gt;Base!$G7,"↑",IF(Changed!$G7&lt;Base!$G7," ↓",""))</f>
        <v>534</v>
      </c>
      <c r="H7" s="7" t="str" cm="1">
        <f t="array" ref="H7">INDEX(Changed!$H:$H,ROW())&amp;IF(Changed!$H7&gt;Base!$H7,"↑",IF(Changed!$H7&lt;Base!$H7," ↓",""))</f>
        <v>78</v>
      </c>
      <c r="I7" s="7" t="str" cm="1">
        <f t="array" ref="I7">INDEX(Changed!$I:$I,ROW())&amp;IF(Changed!$I7&gt;Base!$I7,"↑",IF(Changed!$I7&lt;Base!$I7," ↓",""))</f>
        <v>84</v>
      </c>
      <c r="J7" s="7" t="str" cm="1">
        <f t="array" ref="J7">INDEX(Changed!$J:$J,ROW())&amp;IF(Changed!$J7&gt;Base!$J7,"↑",IF(Changed!$J7&lt;Base!$J7," ↓",""))</f>
        <v>78</v>
      </c>
      <c r="K7" s="7" t="str" cm="1">
        <f t="array" ref="K7">INDEX(Changed!$K:$K,ROW())&amp;IF(Changed!$K7&gt;Base!$K7,"↑",IF(Changed!$K7&lt;Base!$K7," ↓",""))</f>
        <v>109</v>
      </c>
      <c r="L7" s="7" t="str" cm="1">
        <f t="array" ref="L7">INDEX(Changed!$L:$L,ROW())&amp;IF(Changed!$L7&gt;Base!$L7,"↑",IF(Changed!$L7&lt;Base!$L7," ↓",""))</f>
        <v>85</v>
      </c>
      <c r="M7" s="7" t="str" cm="1">
        <f t="array" ref="M7">INDEX(Changed!$M:$M,ROW())&amp;IF(Changed!$M7&gt;Base!$M7,"↑",IF(Changed!$M7&lt;Base!$M7," ↓",""))</f>
        <v>100</v>
      </c>
      <c r="N7" s="19">
        <f>Changed!G7-Base!G7</f>
        <v>0</v>
      </c>
    </row>
    <row r="8" spans="1:16" ht="15.75" customHeight="1" x14ac:dyDescent="0.25">
      <c r="A8" s="4">
        <v>7</v>
      </c>
      <c r="B8" s="5" t="s">
        <v>27</v>
      </c>
      <c r="C8" s="6" t="str">
        <f>IF(Changed!C8&lt;&gt;"", Changed!C8, "")</f>
        <v>Water</v>
      </c>
      <c r="D8" s="6" t="str">
        <f>IF(Changed!D8&lt;&gt;"", Changed!D8, "")</f>
        <v/>
      </c>
      <c r="E8" s="6" t="str">
        <f>IF(Changed!E8&lt;&gt;"", Changed!E8, "")</f>
        <v>Torrent</v>
      </c>
      <c r="F8" s="6" t="str">
        <f>IF(Changed!F8&lt;&gt;"", Changed!F8, "")</f>
        <v>Mega Launcher</v>
      </c>
      <c r="G8" s="7" t="str" cm="1">
        <f t="array" ref="G8">INDEX(Changed!$G:$G,ROW())&amp;IF(Changed!$G8&gt;Base!$G8,"↑",IF(Changed!$G8&lt;Base!$G8," ↓",""))</f>
        <v>314</v>
      </c>
      <c r="H8" s="7" t="str" cm="1">
        <f t="array" ref="H8">INDEX(Changed!$H:$H,ROW())&amp;IF(Changed!$H8&gt;Base!$H8,"↑",IF(Changed!$H8&lt;Base!$H8," ↓",""))</f>
        <v>44</v>
      </c>
      <c r="I8" s="7" t="str" cm="1">
        <f t="array" ref="I8">INDEX(Changed!$I:$I,ROW())&amp;IF(Changed!$I8&gt;Base!$I8,"↑",IF(Changed!$I8&lt;Base!$I8," ↓",""))</f>
        <v>48</v>
      </c>
      <c r="J8" s="7" t="str" cm="1">
        <f t="array" ref="J8">INDEX(Changed!$J:$J,ROW())&amp;IF(Changed!$J8&gt;Base!$J8,"↑",IF(Changed!$J8&lt;Base!$J8," ↓",""))</f>
        <v>65</v>
      </c>
      <c r="K8" s="7" t="str" cm="1">
        <f t="array" ref="K8">INDEX(Changed!$K:$K,ROW())&amp;IF(Changed!$K8&gt;Base!$K8,"↑",IF(Changed!$K8&lt;Base!$K8," ↓",""))</f>
        <v>50</v>
      </c>
      <c r="L8" s="7" t="str" cm="1">
        <f t="array" ref="L8">INDEX(Changed!$L:$L,ROW())&amp;IF(Changed!$L8&gt;Base!$L8,"↑",IF(Changed!$L8&lt;Base!$L8," ↓",""))</f>
        <v>64</v>
      </c>
      <c r="M8" s="7" t="str" cm="1">
        <f t="array" ref="M8">INDEX(Changed!$M:$M,ROW())&amp;IF(Changed!$M8&gt;Base!$M8,"↑",IF(Changed!$M8&lt;Base!$M8," ↓",""))</f>
        <v>43</v>
      </c>
      <c r="N8" s="19">
        <f>Changed!G8-Base!G8</f>
        <v>0</v>
      </c>
      <c r="P8" s="40" t="s">
        <v>734</v>
      </c>
    </row>
    <row r="9" spans="1:16" ht="15.75" customHeight="1" x14ac:dyDescent="0.2">
      <c r="A9" s="4">
        <v>8</v>
      </c>
      <c r="B9" s="5" t="s">
        <v>31</v>
      </c>
      <c r="C9" s="6" t="str">
        <f>IF(Changed!C9&lt;&gt;"", Changed!C9, "")</f>
        <v>Water</v>
      </c>
      <c r="D9" s="6" t="str">
        <f>IF(Changed!D9&lt;&gt;"", Changed!D9, "")</f>
        <v/>
      </c>
      <c r="E9" s="6" t="str">
        <f>IF(Changed!E9&lt;&gt;"", Changed!E9, "")</f>
        <v>Torrent</v>
      </c>
      <c r="F9" s="6" t="str">
        <f>IF(Changed!F9&lt;&gt;"", Changed!F9, "")</f>
        <v>Mega Launcher</v>
      </c>
      <c r="G9" s="7" t="str" cm="1">
        <f t="array" ref="G9">INDEX(Changed!$G:$G,ROW())&amp;IF(Changed!$G9&gt;Base!$G9,"↑",IF(Changed!$G9&lt;Base!$G9," ↓",""))</f>
        <v>405</v>
      </c>
      <c r="H9" s="7" t="str" cm="1">
        <f t="array" ref="H9">INDEX(Changed!$H:$H,ROW())&amp;IF(Changed!$H9&gt;Base!$H9,"↑",IF(Changed!$H9&lt;Base!$H9," ↓",""))</f>
        <v>59</v>
      </c>
      <c r="I9" s="7" t="str" cm="1">
        <f t="array" ref="I9">INDEX(Changed!$I:$I,ROW())&amp;IF(Changed!$I9&gt;Base!$I9,"↑",IF(Changed!$I9&lt;Base!$I9," ↓",""))</f>
        <v>63</v>
      </c>
      <c r="J9" s="7" t="str" cm="1">
        <f t="array" ref="J9">INDEX(Changed!$J:$J,ROW())&amp;IF(Changed!$J9&gt;Base!$J9,"↑",IF(Changed!$J9&lt;Base!$J9," ↓",""))</f>
        <v>80</v>
      </c>
      <c r="K9" s="7" t="str" cm="1">
        <f t="array" ref="K9">INDEX(Changed!$K:$K,ROW())&amp;IF(Changed!$K9&gt;Base!$K9,"↑",IF(Changed!$K9&lt;Base!$K9," ↓",""))</f>
        <v>65</v>
      </c>
      <c r="L9" s="7" t="str" cm="1">
        <f t="array" ref="L9">INDEX(Changed!$L:$L,ROW())&amp;IF(Changed!$L9&gt;Base!$L9,"↑",IF(Changed!$L9&lt;Base!$L9," ↓",""))</f>
        <v>80</v>
      </c>
      <c r="M9" s="7" t="str" cm="1">
        <f t="array" ref="M9">INDEX(Changed!$M:$M,ROW())&amp;IF(Changed!$M9&gt;Base!$M9,"↑",IF(Changed!$M9&lt;Base!$M9," ↓",""))</f>
        <v>58</v>
      </c>
      <c r="N9" s="19">
        <f>Changed!G9-Base!G9</f>
        <v>0</v>
      </c>
      <c r="P9" s="40" t="s">
        <v>530</v>
      </c>
    </row>
    <row r="10" spans="1:16" ht="15.75" customHeight="1" x14ac:dyDescent="0.2">
      <c r="A10" s="4">
        <v>9</v>
      </c>
      <c r="B10" s="5" t="s">
        <v>32</v>
      </c>
      <c r="C10" s="6" t="str">
        <f>IF(Changed!C10&lt;&gt;"", Changed!C10, "")</f>
        <v>Water</v>
      </c>
      <c r="D10" s="6" t="str">
        <f>IF(Changed!D10&lt;&gt;"", Changed!D10, "")</f>
        <v/>
      </c>
      <c r="E10" s="6" t="str">
        <f>IF(Changed!E10&lt;&gt;"", Changed!E10, "")</f>
        <v>Torrent</v>
      </c>
      <c r="F10" s="6" t="str">
        <f>IF(Changed!F10&lt;&gt;"", Changed!F10, "")</f>
        <v>Mega Launcher</v>
      </c>
      <c r="G10" s="7" t="str" cm="1">
        <f t="array" ref="G10">INDEX(Changed!$G:$G,ROW())&amp;IF(Changed!$G10&gt;Base!$G10,"↑",IF(Changed!$G10&lt;Base!$G10," ↓",""))</f>
        <v>530</v>
      </c>
      <c r="H10" s="7" t="str" cm="1">
        <f t="array" ref="H10">INDEX(Changed!$H:$H,ROW())&amp;IF(Changed!$H10&gt;Base!$H10,"↑",IF(Changed!$H10&lt;Base!$H10," ↓",""))</f>
        <v>79</v>
      </c>
      <c r="I10" s="7" t="str" cm="1">
        <f t="array" ref="I10">INDEX(Changed!$I:$I,ROW())&amp;IF(Changed!$I10&gt;Base!$I10,"↑",IF(Changed!$I10&lt;Base!$I10," ↓",""))</f>
        <v>83</v>
      </c>
      <c r="J10" s="7" t="str" cm="1">
        <f t="array" ref="J10">INDEX(Changed!$J:$J,ROW())&amp;IF(Changed!$J10&gt;Base!$J10,"↑",IF(Changed!$J10&lt;Base!$J10," ↓",""))</f>
        <v>100</v>
      </c>
      <c r="K10" s="7" t="str" cm="1">
        <f t="array" ref="K10">INDEX(Changed!$K:$K,ROW())&amp;IF(Changed!$K10&gt;Base!$K10,"↑",IF(Changed!$K10&lt;Base!$K10," ↓",""))</f>
        <v>85</v>
      </c>
      <c r="L10" s="7" t="str" cm="1">
        <f t="array" ref="L10">INDEX(Changed!$L:$L,ROW())&amp;IF(Changed!$L10&gt;Base!$L10,"↑",IF(Changed!$L10&lt;Base!$L10," ↓",""))</f>
        <v>105</v>
      </c>
      <c r="M10" s="7" t="str" cm="1">
        <f t="array" ref="M10">INDEX(Changed!$M:$M,ROW())&amp;IF(Changed!$M10&gt;Base!$M10,"↑",IF(Changed!$M10&lt;Base!$M10," ↓",""))</f>
        <v>78</v>
      </c>
      <c r="N10" s="19">
        <f>Changed!G10-Base!G10</f>
        <v>0</v>
      </c>
      <c r="P10" s="40"/>
    </row>
    <row r="11" spans="1:16" ht="15.75" customHeight="1" x14ac:dyDescent="0.2">
      <c r="A11" s="4">
        <v>10</v>
      </c>
      <c r="B11" s="5" t="s">
        <v>33</v>
      </c>
      <c r="C11" s="6" t="str">
        <f>IF(Changed!C11&lt;&gt;"", Changed!C11, "")</f>
        <v>Bug</v>
      </c>
      <c r="D11" s="6" t="str">
        <f>IF(Changed!D11&lt;&gt;"", Changed!D11, "")</f>
        <v/>
      </c>
      <c r="E11" s="6" t="str">
        <f>IF(Changed!E11&lt;&gt;"", Changed!E11, "")</f>
        <v>Shield Dust</v>
      </c>
      <c r="F11" s="6" t="str">
        <f>IF(Changed!F11&lt;&gt;"", Changed!F11, "")</f>
        <v/>
      </c>
      <c r="G11" s="7" t="str" cm="1">
        <f t="array" ref="G11">INDEX(Changed!$G:$G,ROW())&amp;IF(Changed!$G11&gt;Base!$G11,"↑",IF(Changed!$G11&lt;Base!$G11," ↓",""))</f>
        <v>195</v>
      </c>
      <c r="H11" s="7" t="str" cm="1">
        <f t="array" ref="H11">INDEX(Changed!$H:$H,ROW())&amp;IF(Changed!$H11&gt;Base!$H11,"↑",IF(Changed!$H11&lt;Base!$H11," ↓",""))</f>
        <v>45</v>
      </c>
      <c r="I11" s="7" t="str" cm="1">
        <f t="array" ref="I11">INDEX(Changed!$I:$I,ROW())&amp;IF(Changed!$I11&gt;Base!$I11,"↑",IF(Changed!$I11&lt;Base!$I11," ↓",""))</f>
        <v>30</v>
      </c>
      <c r="J11" s="7" t="str" cm="1">
        <f t="array" ref="J11">INDEX(Changed!$J:$J,ROW())&amp;IF(Changed!$J11&gt;Base!$J11,"↑",IF(Changed!$J11&lt;Base!$J11," ↓",""))</f>
        <v>35</v>
      </c>
      <c r="K11" s="7" t="str" cm="1">
        <f t="array" ref="K11">INDEX(Changed!$K:$K,ROW())&amp;IF(Changed!$K11&gt;Base!$K11,"↑",IF(Changed!$K11&lt;Base!$K11," ↓",""))</f>
        <v>20</v>
      </c>
      <c r="L11" s="7" t="str" cm="1">
        <f t="array" ref="L11">INDEX(Changed!$L:$L,ROW())&amp;IF(Changed!$L11&gt;Base!$L11,"↑",IF(Changed!$L11&lt;Base!$L11," ↓",""))</f>
        <v>20</v>
      </c>
      <c r="M11" s="7" t="str" cm="1">
        <f t="array" ref="M11">INDEX(Changed!$M:$M,ROW())&amp;IF(Changed!$M11&gt;Base!$M11,"↑",IF(Changed!$M11&lt;Base!$M11," ↓",""))</f>
        <v>45</v>
      </c>
      <c r="N11" s="19">
        <f>Changed!G11-Base!G11</f>
        <v>0</v>
      </c>
      <c r="P11" s="40"/>
    </row>
    <row r="12" spans="1:16" ht="15.75" customHeight="1" x14ac:dyDescent="0.2">
      <c r="A12" s="4">
        <v>11</v>
      </c>
      <c r="B12" s="5" t="s">
        <v>35</v>
      </c>
      <c r="C12" s="6" t="str">
        <f>IF(Changed!C12&lt;&gt;"", Changed!C12, "")</f>
        <v>Bug</v>
      </c>
      <c r="D12" s="6" t="str">
        <f>IF(Changed!D12&lt;&gt;"", Changed!D12, "")</f>
        <v/>
      </c>
      <c r="E12" s="6" t="str">
        <f>IF(Changed!E12&lt;&gt;"", Changed!E12, "")</f>
        <v>Shed Skin</v>
      </c>
      <c r="F12" s="6" t="str">
        <f>IF(Changed!F12&lt;&gt;"", Changed!F12, "")</f>
        <v/>
      </c>
      <c r="G12" s="7" t="str" cm="1">
        <f t="array" ref="G12">INDEX(Changed!$G:$G,ROW())&amp;IF(Changed!$G12&gt;Base!$G12,"↑",IF(Changed!$G12&lt;Base!$G12," ↓",""))</f>
        <v>205</v>
      </c>
      <c r="H12" s="7" t="str" cm="1">
        <f t="array" ref="H12">INDEX(Changed!$H:$H,ROW())&amp;IF(Changed!$H12&gt;Base!$H12,"↑",IF(Changed!$H12&lt;Base!$H12," ↓",""))</f>
        <v>50</v>
      </c>
      <c r="I12" s="7" t="str" cm="1">
        <f t="array" ref="I12">INDEX(Changed!$I:$I,ROW())&amp;IF(Changed!$I12&gt;Base!$I12,"↑",IF(Changed!$I12&lt;Base!$I12," ↓",""))</f>
        <v>20</v>
      </c>
      <c r="J12" s="7" t="str" cm="1">
        <f t="array" ref="J12">INDEX(Changed!$J:$J,ROW())&amp;IF(Changed!$J12&gt;Base!$J12,"↑",IF(Changed!$J12&lt;Base!$J12," ↓",""))</f>
        <v>55</v>
      </c>
      <c r="K12" s="7" t="str" cm="1">
        <f t="array" ref="K12">INDEX(Changed!$K:$K,ROW())&amp;IF(Changed!$K12&gt;Base!$K12,"↑",IF(Changed!$K12&lt;Base!$K12," ↓",""))</f>
        <v>25</v>
      </c>
      <c r="L12" s="7" t="str" cm="1">
        <f t="array" ref="L12">INDEX(Changed!$L:$L,ROW())&amp;IF(Changed!$L12&gt;Base!$L12,"↑",IF(Changed!$L12&lt;Base!$L12," ↓",""))</f>
        <v>25</v>
      </c>
      <c r="M12" s="7" t="str" cm="1">
        <f t="array" ref="M12">INDEX(Changed!$M:$M,ROW())&amp;IF(Changed!$M12&gt;Base!$M12,"↑",IF(Changed!$M12&lt;Base!$M12," ↓",""))</f>
        <v>30</v>
      </c>
      <c r="N12" s="19">
        <f>Changed!G12-Base!G12</f>
        <v>0</v>
      </c>
      <c r="P12" s="40" t="s">
        <v>531</v>
      </c>
    </row>
    <row r="13" spans="1:16" ht="15.75" customHeight="1" x14ac:dyDescent="0.2">
      <c r="A13" s="4">
        <v>12</v>
      </c>
      <c r="B13" s="5" t="s">
        <v>36</v>
      </c>
      <c r="C13" s="6" t="str">
        <f>IF(Changed!C13&lt;&gt;"", Changed!C13, "")</f>
        <v>Bug</v>
      </c>
      <c r="D13" s="6" t="str">
        <f>IF(Changed!D13&lt;&gt;"", Changed!D13, "")</f>
        <v>Psychic</v>
      </c>
      <c r="E13" s="6" t="str">
        <f>IF(Changed!E13&lt;&gt;"", Changed!E13, "")</f>
        <v>Compound Eyes</v>
      </c>
      <c r="F13" s="6" t="str">
        <f>IF(Changed!F13&lt;&gt;"", Changed!F13, "")</f>
        <v/>
      </c>
      <c r="G13" s="7" t="str" cm="1">
        <f t="array" ref="G13">INDEX(Changed!$G:$G,ROW())&amp;IF(Changed!$G13&gt;Base!$G13,"↑",IF(Changed!$G13&lt;Base!$G13," ↓",""))</f>
        <v>402↑</v>
      </c>
      <c r="H13" s="7" t="str" cm="1">
        <f t="array" ref="H13">INDEX(Changed!$H:$H,ROW())&amp;IF(Changed!$H13&gt;Base!$H13,"↑",IF(Changed!$H13&lt;Base!$H13," ↓",""))</f>
        <v>60</v>
      </c>
      <c r="I13" s="7" t="str" cm="1">
        <f t="array" ref="I13">INDEX(Changed!$I:$I,ROW())&amp;IF(Changed!$I13&gt;Base!$I13,"↑",IF(Changed!$I13&lt;Base!$I13," ↓",""))</f>
        <v>45</v>
      </c>
      <c r="J13" s="7" t="str" cm="1">
        <f t="array" ref="J13">INDEX(Changed!$J:$J,ROW())&amp;IF(Changed!$J13&gt;Base!$J13,"↑",IF(Changed!$J13&lt;Base!$J13," ↓",""))</f>
        <v>50</v>
      </c>
      <c r="K13" s="7" t="str" cm="1">
        <f t="array" ref="K13">INDEX(Changed!$K:$K,ROW())&amp;IF(Changed!$K13&gt;Base!$K13,"↑",IF(Changed!$K13&lt;Base!$K13," ↓",""))</f>
        <v>97↑</v>
      </c>
      <c r="L13" s="7" t="str" cm="1">
        <f t="array" ref="L13">INDEX(Changed!$L:$L,ROW())&amp;IF(Changed!$L13&gt;Base!$L13,"↑",IF(Changed!$L13&lt;Base!$L13," ↓",""))</f>
        <v>80</v>
      </c>
      <c r="M13" s="7" t="str" cm="1">
        <f t="array" ref="M13">INDEX(Changed!$M:$M,ROW())&amp;IF(Changed!$M13&gt;Base!$M13,"↑",IF(Changed!$M13&lt;Base!$M13," ↓",""))</f>
        <v>70</v>
      </c>
      <c r="N13" s="19">
        <f>Changed!G13-Base!G13</f>
        <v>17</v>
      </c>
      <c r="P13" s="40" t="s">
        <v>532</v>
      </c>
    </row>
    <row r="14" spans="1:16" ht="15.75" customHeight="1" x14ac:dyDescent="0.2">
      <c r="A14" s="4">
        <v>13</v>
      </c>
      <c r="B14" s="5" t="s">
        <v>37</v>
      </c>
      <c r="C14" s="6" t="str">
        <f>IF(Changed!C14&lt;&gt;"", Changed!C14, "")</f>
        <v>Bug</v>
      </c>
      <c r="D14" s="6" t="str">
        <f>IF(Changed!D14&lt;&gt;"", Changed!D14, "")</f>
        <v>Poison</v>
      </c>
      <c r="E14" s="6" t="str">
        <f>IF(Changed!E14&lt;&gt;"", Changed!E14, "")</f>
        <v>Shield Dust</v>
      </c>
      <c r="F14" s="6" t="str">
        <f>IF(Changed!F14&lt;&gt;"", Changed!F14, "")</f>
        <v/>
      </c>
      <c r="G14" s="7" t="str" cm="1">
        <f t="array" ref="G14">INDEX(Changed!$G:$G,ROW())&amp;IF(Changed!$G14&gt;Base!$G14,"↑",IF(Changed!$G14&lt;Base!$G14," ↓",""))</f>
        <v>195</v>
      </c>
      <c r="H14" s="7" t="str" cm="1">
        <f t="array" ref="H14">INDEX(Changed!$H:$H,ROW())&amp;IF(Changed!$H14&gt;Base!$H14,"↑",IF(Changed!$H14&lt;Base!$H14," ↓",""))</f>
        <v>40</v>
      </c>
      <c r="I14" s="7" t="str" cm="1">
        <f t="array" ref="I14">INDEX(Changed!$I:$I,ROW())&amp;IF(Changed!$I14&gt;Base!$I14,"↑",IF(Changed!$I14&lt;Base!$I14," ↓",""))</f>
        <v>35</v>
      </c>
      <c r="J14" s="7" t="str" cm="1">
        <f t="array" ref="J14">INDEX(Changed!$J:$J,ROW())&amp;IF(Changed!$J14&gt;Base!$J14,"↑",IF(Changed!$J14&lt;Base!$J14," ↓",""))</f>
        <v>30</v>
      </c>
      <c r="K14" s="7" t="str" cm="1">
        <f t="array" ref="K14">INDEX(Changed!$K:$K,ROW())&amp;IF(Changed!$K14&gt;Base!$K14,"↑",IF(Changed!$K14&lt;Base!$K14," ↓",""))</f>
        <v>20</v>
      </c>
      <c r="L14" s="7" t="str" cm="1">
        <f t="array" ref="L14">INDEX(Changed!$L:$L,ROW())&amp;IF(Changed!$L14&gt;Base!$L14,"↑",IF(Changed!$L14&lt;Base!$L14," ↓",""))</f>
        <v>20</v>
      </c>
      <c r="M14" s="7" t="str" cm="1">
        <f t="array" ref="M14">INDEX(Changed!$M:$M,ROW())&amp;IF(Changed!$M14&gt;Base!$M14,"↑",IF(Changed!$M14&lt;Base!$M14," ↓",""))</f>
        <v>50</v>
      </c>
      <c r="N14" s="19">
        <f>Changed!G14-Base!G14</f>
        <v>0</v>
      </c>
      <c r="P14" s="40" t="s">
        <v>533</v>
      </c>
    </row>
    <row r="15" spans="1:16" ht="15.75" customHeight="1" x14ac:dyDescent="0.2">
      <c r="A15" s="4">
        <v>14</v>
      </c>
      <c r="B15" s="5" t="s">
        <v>38</v>
      </c>
      <c r="C15" s="6" t="str">
        <f>IF(Changed!C15&lt;&gt;"", Changed!C15, "")</f>
        <v>Bug</v>
      </c>
      <c r="D15" s="6" t="str">
        <f>IF(Changed!D15&lt;&gt;"", Changed!D15, "")</f>
        <v>Poison</v>
      </c>
      <c r="E15" s="6" t="str">
        <f>IF(Changed!E15&lt;&gt;"", Changed!E15, "")</f>
        <v>Shed Skin</v>
      </c>
      <c r="F15" s="6" t="str">
        <f>IF(Changed!F15&lt;&gt;"", Changed!F15, "")</f>
        <v/>
      </c>
      <c r="G15" s="7" t="str" cm="1">
        <f t="array" ref="G15">INDEX(Changed!$G:$G,ROW())&amp;IF(Changed!$G15&gt;Base!$G15,"↑",IF(Changed!$G15&lt;Base!$G15," ↓",""))</f>
        <v>205</v>
      </c>
      <c r="H15" s="7" t="str" cm="1">
        <f t="array" ref="H15">INDEX(Changed!$H:$H,ROW())&amp;IF(Changed!$H15&gt;Base!$H15,"↑",IF(Changed!$H15&lt;Base!$H15," ↓",""))</f>
        <v>45</v>
      </c>
      <c r="I15" s="7" t="str" cm="1">
        <f t="array" ref="I15">INDEX(Changed!$I:$I,ROW())&amp;IF(Changed!$I15&gt;Base!$I15,"↑",IF(Changed!$I15&lt;Base!$I15," ↓",""))</f>
        <v>25</v>
      </c>
      <c r="J15" s="7" t="str" cm="1">
        <f t="array" ref="J15">INDEX(Changed!$J:$J,ROW())&amp;IF(Changed!$J15&gt;Base!$J15,"↑",IF(Changed!$J15&lt;Base!$J15," ↓",""))</f>
        <v>50</v>
      </c>
      <c r="K15" s="7" t="str" cm="1">
        <f t="array" ref="K15">INDEX(Changed!$K:$K,ROW())&amp;IF(Changed!$K15&gt;Base!$K15,"↑",IF(Changed!$K15&lt;Base!$K15," ↓",""))</f>
        <v>25</v>
      </c>
      <c r="L15" s="7" t="str" cm="1">
        <f t="array" ref="L15">INDEX(Changed!$L:$L,ROW())&amp;IF(Changed!$L15&gt;Base!$L15,"↑",IF(Changed!$L15&lt;Base!$L15," ↓",""))</f>
        <v>25</v>
      </c>
      <c r="M15" s="7" t="str" cm="1">
        <f t="array" ref="M15">INDEX(Changed!$M:$M,ROW())&amp;IF(Changed!$M15&gt;Base!$M15,"↑",IF(Changed!$M15&lt;Base!$M15," ↓",""))</f>
        <v>35</v>
      </c>
      <c r="N15" s="19">
        <f>Changed!G15-Base!G15</f>
        <v>0</v>
      </c>
      <c r="P15" s="40"/>
    </row>
    <row r="16" spans="1:16" ht="15.75" customHeight="1" x14ac:dyDescent="0.2">
      <c r="A16" s="4">
        <v>15</v>
      </c>
      <c r="B16" s="5" t="s">
        <v>39</v>
      </c>
      <c r="C16" s="6" t="str">
        <f>IF(Changed!C16&lt;&gt;"", Changed!C16, "")</f>
        <v>Bug</v>
      </c>
      <c r="D16" s="6" t="str">
        <f>IF(Changed!D16&lt;&gt;"", Changed!D16, "")</f>
        <v>Poison</v>
      </c>
      <c r="E16" s="6" t="str">
        <f>IF(Changed!E16&lt;&gt;"", Changed!E16, "")</f>
        <v>Swarm</v>
      </c>
      <c r="F16" s="6" t="str">
        <f>IF(Changed!F16&lt;&gt;"", Changed!F16, "")</f>
        <v>Sharpness</v>
      </c>
      <c r="G16" s="7" t="str" cm="1">
        <f t="array" ref="G16">INDEX(Changed!$G:$G,ROW())&amp;IF(Changed!$G16&gt;Base!$G16,"↑",IF(Changed!$G16&lt;Base!$G16," ↓",""))</f>
        <v>412↑</v>
      </c>
      <c r="H16" s="7" t="str" cm="1">
        <f t="array" ref="H16">INDEX(Changed!$H:$H,ROW())&amp;IF(Changed!$H16&gt;Base!$H16,"↑",IF(Changed!$H16&lt;Base!$H16," ↓",""))</f>
        <v>65</v>
      </c>
      <c r="I16" s="7" t="str" cm="1">
        <f t="array" ref="I16">INDEX(Changed!$I:$I,ROW())&amp;IF(Changed!$I16&gt;Base!$I16,"↑",IF(Changed!$I16&lt;Base!$I16," ↓",""))</f>
        <v>92↑</v>
      </c>
      <c r="J16" s="7" t="str" cm="1">
        <f t="array" ref="J16">INDEX(Changed!$J:$J,ROW())&amp;IF(Changed!$J16&gt;Base!$J16,"↑",IF(Changed!$J16&lt;Base!$J16," ↓",""))</f>
        <v>40</v>
      </c>
      <c r="K16" s="7" t="str" cm="1">
        <f t="array" ref="K16">INDEX(Changed!$K:$K,ROW())&amp;IF(Changed!$K16&gt;Base!$K16,"↑",IF(Changed!$K16&lt;Base!$K16," ↓",""))</f>
        <v>45</v>
      </c>
      <c r="L16" s="7" t="str" cm="1">
        <f t="array" ref="L16">INDEX(Changed!$L:$L,ROW())&amp;IF(Changed!$L16&gt;Base!$L16,"↑",IF(Changed!$L16&lt;Base!$L16," ↓",""))</f>
        <v>80</v>
      </c>
      <c r="M16" s="7" t="str" cm="1">
        <f t="array" ref="M16">INDEX(Changed!$M:$M,ROW())&amp;IF(Changed!$M16&gt;Base!$M16,"↑",IF(Changed!$M16&lt;Base!$M16," ↓",""))</f>
        <v>90↑</v>
      </c>
      <c r="N16" s="19">
        <f>Changed!G16-Base!G16</f>
        <v>27</v>
      </c>
      <c r="P16" s="40"/>
    </row>
    <row r="17" spans="1:16" ht="15.75" customHeight="1" x14ac:dyDescent="0.2">
      <c r="A17" s="4">
        <v>16</v>
      </c>
      <c r="B17" s="5" t="s">
        <v>40</v>
      </c>
      <c r="C17" s="6" t="str">
        <f>IF(Changed!C17&lt;&gt;"", Changed!C17, "")</f>
        <v>Flying</v>
      </c>
      <c r="D17" s="6" t="str">
        <f>IF(Changed!D17&lt;&gt;"", Changed!D17, "")</f>
        <v>None</v>
      </c>
      <c r="E17" s="6" t="str">
        <f>IF(Changed!E17&lt;&gt;"", Changed!E17, "")</f>
        <v>Keen Eye</v>
      </c>
      <c r="F17" s="6" t="str">
        <f>IF(Changed!F17&lt;&gt;"", Changed!F17, "")</f>
        <v>Tangled Feet</v>
      </c>
      <c r="G17" s="7" t="str" cm="1">
        <f t="array" ref="G17">INDEX(Changed!$G:$G,ROW())&amp;IF(Changed!$G17&gt;Base!$G17,"↑",IF(Changed!$G17&lt;Base!$G17," ↓",""))</f>
        <v>251</v>
      </c>
      <c r="H17" s="7" t="str" cm="1">
        <f t="array" ref="H17">INDEX(Changed!$H:$H,ROW())&amp;IF(Changed!$H17&gt;Base!$H17,"↑",IF(Changed!$H17&lt;Base!$H17," ↓",""))</f>
        <v>40</v>
      </c>
      <c r="I17" s="7" t="str" cm="1">
        <f t="array" ref="I17">INDEX(Changed!$I:$I,ROW())&amp;IF(Changed!$I17&gt;Base!$I17,"↑",IF(Changed!$I17&lt;Base!$I17," ↓",""))</f>
        <v>45</v>
      </c>
      <c r="J17" s="7" t="str" cm="1">
        <f t="array" ref="J17">INDEX(Changed!$J:$J,ROW())&amp;IF(Changed!$J17&gt;Base!$J17,"↑",IF(Changed!$J17&lt;Base!$J17," ↓",""))</f>
        <v>40</v>
      </c>
      <c r="K17" s="7" t="str" cm="1">
        <f t="array" ref="K17">INDEX(Changed!$K:$K,ROW())&amp;IF(Changed!$K17&gt;Base!$K17,"↑",IF(Changed!$K17&lt;Base!$K17," ↓",""))</f>
        <v>35</v>
      </c>
      <c r="L17" s="7" t="str" cm="1">
        <f t="array" ref="L17">INDEX(Changed!$L:$L,ROW())&amp;IF(Changed!$L17&gt;Base!$L17,"↑",IF(Changed!$L17&lt;Base!$L17," ↓",""))</f>
        <v>35</v>
      </c>
      <c r="M17" s="7" t="str" cm="1">
        <f t="array" ref="M17">INDEX(Changed!$M:$M,ROW())&amp;IF(Changed!$M17&gt;Base!$M17,"↑",IF(Changed!$M17&lt;Base!$M17," ↓",""))</f>
        <v>56</v>
      </c>
      <c r="N17" s="19">
        <f>Changed!G17-Base!G17</f>
        <v>0</v>
      </c>
      <c r="P17" s="40" t="s">
        <v>534</v>
      </c>
    </row>
    <row r="18" spans="1:16" ht="15.75" customHeight="1" x14ac:dyDescent="0.2">
      <c r="A18" s="4">
        <v>17</v>
      </c>
      <c r="B18" s="5" t="s">
        <v>42</v>
      </c>
      <c r="C18" s="6" t="str">
        <f>IF(Changed!C18&lt;&gt;"", Changed!C18, "")</f>
        <v>Flying</v>
      </c>
      <c r="D18" s="6" t="str">
        <f>IF(Changed!D18&lt;&gt;"", Changed!D18, "")</f>
        <v>None</v>
      </c>
      <c r="E18" s="6" t="str">
        <f>IF(Changed!E18&lt;&gt;"", Changed!E18, "")</f>
        <v>Keen Eye</v>
      </c>
      <c r="F18" s="6" t="str">
        <f>IF(Changed!F18&lt;&gt;"", Changed!F18, "")</f>
        <v>Tangled Feet</v>
      </c>
      <c r="G18" s="7" t="str" cm="1">
        <f t="array" ref="G18">INDEX(Changed!$G:$G,ROW())&amp;IF(Changed!$G18&gt;Base!$G18,"↑",IF(Changed!$G18&lt;Base!$G18," ↓",""))</f>
        <v>349</v>
      </c>
      <c r="H18" s="7" t="str" cm="1">
        <f t="array" ref="H18">INDEX(Changed!$H:$H,ROW())&amp;IF(Changed!$H18&gt;Base!$H18,"↑",IF(Changed!$H18&lt;Base!$H18," ↓",""))</f>
        <v>63</v>
      </c>
      <c r="I18" s="7" t="str" cm="1">
        <f t="array" ref="I18">INDEX(Changed!$I:$I,ROW())&amp;IF(Changed!$I18&gt;Base!$I18,"↑",IF(Changed!$I18&lt;Base!$I18," ↓",""))</f>
        <v>60</v>
      </c>
      <c r="J18" s="7" t="str" cm="1">
        <f t="array" ref="J18">INDEX(Changed!$J:$J,ROW())&amp;IF(Changed!$J18&gt;Base!$J18,"↑",IF(Changed!$J18&lt;Base!$J18," ↓",""))</f>
        <v>55</v>
      </c>
      <c r="K18" s="7" t="str" cm="1">
        <f t="array" ref="K18">INDEX(Changed!$K:$K,ROW())&amp;IF(Changed!$K18&gt;Base!$K18,"↑",IF(Changed!$K18&lt;Base!$K18," ↓",""))</f>
        <v>50</v>
      </c>
      <c r="L18" s="7" t="str" cm="1">
        <f t="array" ref="L18">INDEX(Changed!$L:$L,ROW())&amp;IF(Changed!$L18&gt;Base!$L18,"↑",IF(Changed!$L18&lt;Base!$L18," ↓",""))</f>
        <v>50</v>
      </c>
      <c r="M18" s="7" t="str" cm="1">
        <f t="array" ref="M18">INDEX(Changed!$M:$M,ROW())&amp;IF(Changed!$M18&gt;Base!$M18,"↑",IF(Changed!$M18&lt;Base!$M18," ↓",""))</f>
        <v>71</v>
      </c>
      <c r="N18" s="19">
        <f>Changed!G18-Base!G18</f>
        <v>0</v>
      </c>
      <c r="P18" s="40" t="s">
        <v>535</v>
      </c>
    </row>
    <row r="19" spans="1:16" ht="15.75" customHeight="1" x14ac:dyDescent="0.2">
      <c r="A19" s="4">
        <v>18</v>
      </c>
      <c r="B19" s="5" t="s">
        <v>43</v>
      </c>
      <c r="C19" s="6" t="str">
        <f>IF(Changed!C19&lt;&gt;"", Changed!C19, "")</f>
        <v>Flying</v>
      </c>
      <c r="D19" s="6" t="str">
        <f>IF(Changed!D19&lt;&gt;"", Changed!D19, "")</f>
        <v>None</v>
      </c>
      <c r="E19" s="6" t="str">
        <f>IF(Changed!E19&lt;&gt;"", Changed!E19, "")</f>
        <v>Gale Wings</v>
      </c>
      <c r="F19" s="19" t="str">
        <f>IF(Changed!F19&lt;&gt;"", Changed!F19, "")</f>
        <v>Tangled Feet</v>
      </c>
      <c r="G19" s="7" t="str" cm="1">
        <f t="array" ref="G19">INDEX(Changed!$G:$G,ROW())&amp;IF(Changed!$G19&gt;Base!$G19,"↑",IF(Changed!$G19&lt;Base!$G19," ↓",""))</f>
        <v>479↑</v>
      </c>
      <c r="H19" s="7" t="str" cm="1">
        <f t="array" ref="H19">INDEX(Changed!$H:$H,ROW())&amp;IF(Changed!$H19&gt;Base!$H19,"↑",IF(Changed!$H19&lt;Base!$H19," ↓",""))</f>
        <v>83</v>
      </c>
      <c r="I19" s="7" t="str" cm="1">
        <f t="array" ref="I19">INDEX(Changed!$I:$I,ROW())&amp;IF(Changed!$I19&gt;Base!$I19,"↑",IF(Changed!$I19&lt;Base!$I19," ↓",""))</f>
        <v>80</v>
      </c>
      <c r="J19" s="7" t="str" cm="1">
        <f t="array" ref="J19">INDEX(Changed!$J:$J,ROW())&amp;IF(Changed!$J19&gt;Base!$J19,"↑",IF(Changed!$J19&lt;Base!$J19," ↓",""))</f>
        <v>75</v>
      </c>
      <c r="K19" s="7" t="str" cm="1">
        <f t="array" ref="K19">INDEX(Changed!$K:$K,ROW())&amp;IF(Changed!$K19&gt;Base!$K19,"↑",IF(Changed!$K19&lt;Base!$K19," ↓",""))</f>
        <v>70</v>
      </c>
      <c r="L19" s="7" t="str" cm="1">
        <f t="array" ref="L19">INDEX(Changed!$L:$L,ROW())&amp;IF(Changed!$L19&gt;Base!$L19,"↑",IF(Changed!$L19&lt;Base!$L19," ↓",""))</f>
        <v>70</v>
      </c>
      <c r="M19" s="7" t="str" cm="1">
        <f t="array" ref="M19">INDEX(Changed!$M:$M,ROW())&amp;IF(Changed!$M19&gt;Base!$M19,"↑",IF(Changed!$M19&lt;Base!$M19," ↓",""))</f>
        <v>101↑</v>
      </c>
      <c r="N19" s="19">
        <f>Changed!G19-Base!G19</f>
        <v>10</v>
      </c>
    </row>
    <row r="20" spans="1:16" ht="15.75" customHeight="1" x14ac:dyDescent="0.2">
      <c r="A20" s="4">
        <v>19</v>
      </c>
      <c r="B20" s="5" t="s">
        <v>44</v>
      </c>
      <c r="C20" s="6" t="str">
        <f>IF(Changed!C20&lt;&gt;"", Changed!C20, "")</f>
        <v>Normal</v>
      </c>
      <c r="D20" s="6" t="str">
        <f>IF(Changed!D20&lt;&gt;"", Changed!D20, "")</f>
        <v/>
      </c>
      <c r="E20" s="6" t="str">
        <f>IF(Changed!E20&lt;&gt;"", Changed!E20, "")</f>
        <v>Run Away</v>
      </c>
      <c r="F20" s="6" t="str">
        <f>IF(Changed!F20&lt;&gt;"", Changed!F20, "")</f>
        <v>Guts</v>
      </c>
      <c r="G20" s="7" t="str" cm="1">
        <f t="array" ref="G20">INDEX(Changed!$G:$G,ROW())&amp;IF(Changed!$G20&gt;Base!$G20,"↑",IF(Changed!$G20&lt;Base!$G20," ↓",""))</f>
        <v>253</v>
      </c>
      <c r="H20" s="7" t="str" cm="1">
        <f t="array" ref="H20">INDEX(Changed!$H:$H,ROW())&amp;IF(Changed!$H20&gt;Base!$H20,"↑",IF(Changed!$H20&lt;Base!$H20," ↓",""))</f>
        <v>30</v>
      </c>
      <c r="I20" s="7" t="str" cm="1">
        <f t="array" ref="I20">INDEX(Changed!$I:$I,ROW())&amp;IF(Changed!$I20&gt;Base!$I20,"↑",IF(Changed!$I20&lt;Base!$I20," ↓",""))</f>
        <v>56</v>
      </c>
      <c r="J20" s="7" t="str" cm="1">
        <f t="array" ref="J20">INDEX(Changed!$J:$J,ROW())&amp;IF(Changed!$J20&gt;Base!$J20,"↑",IF(Changed!$J20&lt;Base!$J20," ↓",""))</f>
        <v>35</v>
      </c>
      <c r="K20" s="7" t="str" cm="1">
        <f t="array" ref="K20">INDEX(Changed!$K:$K,ROW())&amp;IF(Changed!$K20&gt;Base!$K20,"↑",IF(Changed!$K20&lt;Base!$K20," ↓",""))</f>
        <v>25</v>
      </c>
      <c r="L20" s="7" t="str" cm="1">
        <f t="array" ref="L20">INDEX(Changed!$L:$L,ROW())&amp;IF(Changed!$L20&gt;Base!$L20,"↑",IF(Changed!$L20&lt;Base!$L20," ↓",""))</f>
        <v>35</v>
      </c>
      <c r="M20" s="7" t="str" cm="1">
        <f t="array" ref="M20">INDEX(Changed!$M:$M,ROW())&amp;IF(Changed!$M20&gt;Base!$M20,"↑",IF(Changed!$M20&lt;Base!$M20," ↓",""))</f>
        <v>72</v>
      </c>
      <c r="N20" s="19">
        <f>Changed!G20-Base!G20</f>
        <v>0</v>
      </c>
    </row>
    <row r="21" spans="1:16" ht="15.75" customHeight="1" x14ac:dyDescent="0.2">
      <c r="A21" s="4">
        <v>20</v>
      </c>
      <c r="B21" s="5" t="s">
        <v>45</v>
      </c>
      <c r="C21" s="6" t="str">
        <f>IF(Changed!C21&lt;&gt;"", Changed!C21, "")</f>
        <v>Normal</v>
      </c>
      <c r="D21" s="6" t="str">
        <f>IF(Changed!D21&lt;&gt;"", Changed!D21, "")</f>
        <v/>
      </c>
      <c r="E21" s="6" t="str">
        <f>IF(Changed!E21&lt;&gt;"", Changed!E21, "")</f>
        <v>Strong Jaw</v>
      </c>
      <c r="F21" s="6" t="str">
        <f>IF(Changed!F21&lt;&gt;"", Changed!F21, "")</f>
        <v>Guts</v>
      </c>
      <c r="G21" s="7" t="str" cm="1">
        <f t="array" ref="G21">INDEX(Changed!$G:$G,ROW())&amp;IF(Changed!$G21&gt;Base!$G21,"↑",IF(Changed!$G21&lt;Base!$G21," ↓",""))</f>
        <v>420↑</v>
      </c>
      <c r="H21" s="7" t="str" cm="1">
        <f t="array" ref="H21">INDEX(Changed!$H:$H,ROW())&amp;IF(Changed!$H21&gt;Base!$H21,"↑",IF(Changed!$H21&lt;Base!$H21," ↓",""))</f>
        <v>55</v>
      </c>
      <c r="I21" s="7" t="str" cm="1">
        <f t="array" ref="I21">INDEX(Changed!$I:$I,ROW())&amp;IF(Changed!$I21&gt;Base!$I21,"↑",IF(Changed!$I21&lt;Base!$I21," ↓",""))</f>
        <v>81</v>
      </c>
      <c r="J21" s="7" t="str" cm="1">
        <f t="array" ref="J21">INDEX(Changed!$J:$J,ROW())&amp;IF(Changed!$J21&gt;Base!$J21,"↑",IF(Changed!$J21&lt;Base!$J21," ↓",""))</f>
        <v>60</v>
      </c>
      <c r="K21" s="7" t="str" cm="1">
        <f t="array" ref="K21">INDEX(Changed!$K:$K,ROW())&amp;IF(Changed!$K21&gt;Base!$K21,"↑",IF(Changed!$K21&lt;Base!$K21," ↓",""))</f>
        <v>50</v>
      </c>
      <c r="L21" s="7" t="str" cm="1">
        <f t="array" ref="L21">INDEX(Changed!$L:$L,ROW())&amp;IF(Changed!$L21&gt;Base!$L21,"↑",IF(Changed!$L21&lt;Base!$L21," ↓",""))</f>
        <v>70</v>
      </c>
      <c r="M21" s="7" t="str" cm="1">
        <f t="array" ref="M21">INDEX(Changed!$M:$M,ROW())&amp;IF(Changed!$M21&gt;Base!$M21,"↑",IF(Changed!$M21&lt;Base!$M21," ↓",""))</f>
        <v>104↑</v>
      </c>
      <c r="N21" s="19">
        <f>Changed!G21-Base!G21</f>
        <v>7</v>
      </c>
    </row>
    <row r="22" spans="1:16" ht="15.75" customHeight="1" x14ac:dyDescent="0.2">
      <c r="A22" s="4">
        <v>21</v>
      </c>
      <c r="B22" s="5" t="s">
        <v>48</v>
      </c>
      <c r="C22" s="6" t="str">
        <f>IF(Changed!C22&lt;&gt;"", Changed!C22, "")</f>
        <v>Poison</v>
      </c>
      <c r="D22" s="6" t="str">
        <f>IF(Changed!D22&lt;&gt;"", Changed!D22, "")</f>
        <v/>
      </c>
      <c r="E22" s="6" t="str">
        <f>IF(Changed!E22&lt;&gt;"", Changed!E22, "")</f>
        <v xml:space="preserve">Intimidate </v>
      </c>
      <c r="F22" s="6" t="str">
        <f>IF(Changed!F22&lt;&gt;"", Changed!F22, "")</f>
        <v>Shed Skin</v>
      </c>
      <c r="G22" s="7" t="str" cm="1">
        <f t="array" ref="G22">INDEX(Changed!$G:$G,ROW())&amp;IF(Changed!$G22&gt;Base!$G22,"↑",IF(Changed!$G22&lt;Base!$G22," ↓",""))</f>
        <v>288</v>
      </c>
      <c r="H22" s="7" t="str" cm="1">
        <f t="array" ref="H22">INDEX(Changed!$H:$H,ROW())&amp;IF(Changed!$H22&gt;Base!$H22,"↑",IF(Changed!$H22&lt;Base!$H22," ↓",""))</f>
        <v>35</v>
      </c>
      <c r="I22" s="7" t="str" cm="1">
        <f t="array" ref="I22">INDEX(Changed!$I:$I,ROW())&amp;IF(Changed!$I22&gt;Base!$I22,"↑",IF(Changed!$I22&lt;Base!$I22," ↓",""))</f>
        <v>60</v>
      </c>
      <c r="J22" s="7" t="str" cm="1">
        <f t="array" ref="J22">INDEX(Changed!$J:$J,ROW())&amp;IF(Changed!$J22&gt;Base!$J22,"↑",IF(Changed!$J22&lt;Base!$J22," ↓",""))</f>
        <v>44</v>
      </c>
      <c r="K22" s="7" t="str" cm="1">
        <f t="array" ref="K22">INDEX(Changed!$K:$K,ROW())&amp;IF(Changed!$K22&gt;Base!$K22,"↑",IF(Changed!$K22&lt;Base!$K22," ↓",""))</f>
        <v>40</v>
      </c>
      <c r="L22" s="7" t="str" cm="1">
        <f t="array" ref="L22">INDEX(Changed!$L:$L,ROW())&amp;IF(Changed!$L22&gt;Base!$L22,"↑",IF(Changed!$L22&lt;Base!$L22," ↓",""))</f>
        <v>54</v>
      </c>
      <c r="M22" s="7" t="str" cm="1">
        <f t="array" ref="M22">INDEX(Changed!$M:$M,ROW())&amp;IF(Changed!$M22&gt;Base!$M22,"↑",IF(Changed!$M22&lt;Base!$M22," ↓",""))</f>
        <v>55</v>
      </c>
      <c r="N22" s="19">
        <f>Changed!G22-Base!G22</f>
        <v>0</v>
      </c>
    </row>
    <row r="23" spans="1:16" ht="15.75" customHeight="1" x14ac:dyDescent="0.2">
      <c r="A23" s="4">
        <v>22</v>
      </c>
      <c r="B23" s="5" t="s">
        <v>49</v>
      </c>
      <c r="C23" s="6" t="str">
        <f>IF(Changed!C23&lt;&gt;"", Changed!C23, "")</f>
        <v>Poison</v>
      </c>
      <c r="D23" s="6" t="str">
        <f>IF(Changed!D23&lt;&gt;"", Changed!D23, "")</f>
        <v>Dragon</v>
      </c>
      <c r="E23" s="6" t="str">
        <f>IF(Changed!E23&lt;&gt;"", Changed!E23, "")</f>
        <v xml:space="preserve">Intimidate </v>
      </c>
      <c r="F23" s="6" t="str">
        <f>IF(Changed!F23&lt;&gt;"", Changed!F23, "")</f>
        <v>Shed Skin</v>
      </c>
      <c r="G23" s="7" t="str" cm="1">
        <f t="array" ref="G23">INDEX(Changed!$G:$G,ROW())&amp;IF(Changed!$G23&gt;Base!$G23,"↑",IF(Changed!$G23&lt;Base!$G23," ↓",""))</f>
        <v>448</v>
      </c>
      <c r="H23" s="7" t="str" cm="1">
        <f t="array" ref="H23">INDEX(Changed!$H:$H,ROW())&amp;IF(Changed!$H23&gt;Base!$H23,"↑",IF(Changed!$H23&lt;Base!$H23," ↓",""))</f>
        <v>60</v>
      </c>
      <c r="I23" s="7" t="str" cm="1">
        <f t="array" ref="I23">INDEX(Changed!$I:$I,ROW())&amp;IF(Changed!$I23&gt;Base!$I23,"↑",IF(Changed!$I23&lt;Base!$I23," ↓",""))</f>
        <v>95</v>
      </c>
      <c r="J23" s="7" t="str" cm="1">
        <f t="array" ref="J23">INDEX(Changed!$J:$J,ROW())&amp;IF(Changed!$J23&gt;Base!$J23,"↑",IF(Changed!$J23&lt;Base!$J23," ↓",""))</f>
        <v>69</v>
      </c>
      <c r="K23" s="7" t="str" cm="1">
        <f t="array" ref="K23">INDEX(Changed!$K:$K,ROW())&amp;IF(Changed!$K23&gt;Base!$K23,"↑",IF(Changed!$K23&lt;Base!$K23," ↓",""))</f>
        <v>65</v>
      </c>
      <c r="L23" s="7" t="str" cm="1">
        <f t="array" ref="L23">INDEX(Changed!$L:$L,ROW())&amp;IF(Changed!$L23&gt;Base!$L23,"↑",IF(Changed!$L23&lt;Base!$L23," ↓",""))</f>
        <v>79</v>
      </c>
      <c r="M23" s="7" t="str" cm="1">
        <f t="array" ref="M23">INDEX(Changed!$M:$M,ROW())&amp;IF(Changed!$M23&gt;Base!$M23,"↑",IF(Changed!$M23&lt;Base!$M23," ↓",""))</f>
        <v>80</v>
      </c>
      <c r="N23" s="19">
        <f>Changed!G23-Base!G23</f>
        <v>0</v>
      </c>
    </row>
    <row r="24" spans="1:16" ht="15.75" customHeight="1" x14ac:dyDescent="0.2">
      <c r="A24" s="4">
        <v>23</v>
      </c>
      <c r="B24" s="5" t="s">
        <v>206</v>
      </c>
      <c r="C24" s="6" t="str">
        <f>IF(Changed!C24&lt;&gt;"", Changed!C24, "")</f>
        <v>Electric</v>
      </c>
      <c r="D24" s="6" t="str">
        <f>IF(Changed!D24&lt;&gt;"", Changed!D24, "")</f>
        <v/>
      </c>
      <c r="E24" s="6" t="str">
        <f>IF(Changed!E24&lt;&gt;"", Changed!E24, "")</f>
        <v>Static</v>
      </c>
      <c r="F24" s="6" t="str">
        <f>IF(Changed!F24&lt;&gt;"", Changed!F24, "")</f>
        <v>Transistor</v>
      </c>
      <c r="G24" s="7" t="str" cm="1">
        <f t="array" ref="G24">INDEX(Changed!$G:$G,ROW())&amp;IF(Changed!$G24&gt;Base!$G24,"↑",IF(Changed!$G24&lt;Base!$G24," ↓",""))</f>
        <v>205</v>
      </c>
      <c r="H24" s="7" t="str" cm="1">
        <f t="array" ref="H24">INDEX(Changed!$H:$H,ROW())&amp;IF(Changed!$H24&gt;Base!$H24,"↑",IF(Changed!$H24&lt;Base!$H24," ↓",""))</f>
        <v>20</v>
      </c>
      <c r="I24" s="7" t="str" cm="1">
        <f t="array" ref="I24">INDEX(Changed!$I:$I,ROW())&amp;IF(Changed!$I24&gt;Base!$I24,"↑",IF(Changed!$I24&lt;Base!$I24," ↓",""))</f>
        <v>40</v>
      </c>
      <c r="J24" s="7" t="str" cm="1">
        <f t="array" ref="J24">INDEX(Changed!$J:$J,ROW())&amp;IF(Changed!$J24&gt;Base!$J24,"↑",IF(Changed!$J24&lt;Base!$J24," ↓",""))</f>
        <v>15</v>
      </c>
      <c r="K24" s="7" t="str" cm="1">
        <f t="array" ref="K24">INDEX(Changed!$K:$K,ROW())&amp;IF(Changed!$K24&gt;Base!$K24,"↑",IF(Changed!$K24&lt;Base!$K24," ↓",""))</f>
        <v>35</v>
      </c>
      <c r="L24" s="7" t="str" cm="1">
        <f t="array" ref="L24">INDEX(Changed!$L:$L,ROW())&amp;IF(Changed!$L24&gt;Base!$L24,"↑",IF(Changed!$L24&lt;Base!$L24," ↓",""))</f>
        <v>35</v>
      </c>
      <c r="M24" s="7" t="str" cm="1">
        <f t="array" ref="M24">INDEX(Changed!$M:$M,ROW())&amp;IF(Changed!$M24&gt;Base!$M24,"↑",IF(Changed!$M24&lt;Base!$M24," ↓",""))</f>
        <v>60</v>
      </c>
      <c r="N24" s="19">
        <f>Changed!G24-Base!G24</f>
        <v>0</v>
      </c>
    </row>
    <row r="25" spans="1:16" ht="15.75" customHeight="1" x14ac:dyDescent="0.2">
      <c r="A25" s="4">
        <v>24</v>
      </c>
      <c r="B25" s="5" t="s">
        <v>50</v>
      </c>
      <c r="C25" s="6" t="str">
        <f>IF(Changed!C25&lt;&gt;"", Changed!C25, "")</f>
        <v>Electric</v>
      </c>
      <c r="D25" s="6" t="str">
        <f>IF(Changed!D25&lt;&gt;"", Changed!D25, "")</f>
        <v/>
      </c>
      <c r="E25" s="6" t="str">
        <f>IF(Changed!E25&lt;&gt;"", Changed!E25, "")</f>
        <v>Static</v>
      </c>
      <c r="F25" s="6" t="str">
        <f>IF(Changed!F25&lt;&gt;"", Changed!F25, "")</f>
        <v>Transistor</v>
      </c>
      <c r="G25" s="7" t="str" cm="1">
        <f t="array" ref="G25">INDEX(Changed!$G:$G,ROW())&amp;IF(Changed!$G25&gt;Base!$G25,"↑",IF(Changed!$G25&lt;Base!$G25," ↓",""))</f>
        <v>300</v>
      </c>
      <c r="H25" s="7" t="str" cm="1">
        <f t="array" ref="H25">INDEX(Changed!$H:$H,ROW())&amp;IF(Changed!$H25&gt;Base!$H25,"↑",IF(Changed!$H25&lt;Base!$H25," ↓",""))</f>
        <v>35</v>
      </c>
      <c r="I25" s="7" t="str" cm="1">
        <f t="array" ref="I25">INDEX(Changed!$I:$I,ROW())&amp;IF(Changed!$I25&gt;Base!$I25,"↑",IF(Changed!$I25&lt;Base!$I25," ↓",""))</f>
        <v>55</v>
      </c>
      <c r="J25" s="7" t="str" cm="1">
        <f t="array" ref="J25">INDEX(Changed!$J:$J,ROW())&amp;IF(Changed!$J25&gt;Base!$J25,"↑",IF(Changed!$J25&lt;Base!$J25," ↓",""))</f>
        <v>30</v>
      </c>
      <c r="K25" s="7" t="str" cm="1">
        <f t="array" ref="K25">INDEX(Changed!$K:$K,ROW())&amp;IF(Changed!$K25&gt;Base!$K25,"↑",IF(Changed!$K25&lt;Base!$K25," ↓",""))</f>
        <v>50</v>
      </c>
      <c r="L25" s="7" t="str" cm="1">
        <f t="array" ref="L25">INDEX(Changed!$L:$L,ROW())&amp;IF(Changed!$L25&gt;Base!$L25,"↑",IF(Changed!$L25&lt;Base!$L25," ↓",""))</f>
        <v>40</v>
      </c>
      <c r="M25" s="7" t="str" cm="1">
        <f t="array" ref="M25">INDEX(Changed!$M:$M,ROW())&amp;IF(Changed!$M25&gt;Base!$M25,"↑",IF(Changed!$M25&lt;Base!$M25," ↓",""))</f>
        <v>90</v>
      </c>
      <c r="N25" s="19">
        <f>Changed!G25-Base!G25</f>
        <v>0</v>
      </c>
    </row>
    <row r="26" spans="1:16" ht="15.75" customHeight="1" x14ac:dyDescent="0.2">
      <c r="A26" s="4">
        <v>25</v>
      </c>
      <c r="B26" s="5" t="s">
        <v>52</v>
      </c>
      <c r="C26" s="6" t="str">
        <f>IF(Changed!C26&lt;&gt;"", Changed!C26, "")</f>
        <v>Electric</v>
      </c>
      <c r="D26" s="6" t="str">
        <f>IF(Changed!D26&lt;&gt;"", Changed!D26, "")</f>
        <v/>
      </c>
      <c r="E26" s="6" t="str">
        <f>IF(Changed!E26&lt;&gt;"", Changed!E26, "")</f>
        <v>Static</v>
      </c>
      <c r="F26" s="6" t="str">
        <f>IF(Changed!F26&lt;&gt;"", Changed!F26, "")</f>
        <v>Transistor</v>
      </c>
      <c r="G26" s="7" t="str" cm="1">
        <f t="array" ref="G26">INDEX(Changed!$G:$G,ROW())&amp;IF(Changed!$G26&gt;Base!$G26,"↑",IF(Changed!$G26&lt;Base!$G26," ↓",""))</f>
        <v>475</v>
      </c>
      <c r="H26" s="7" t="str" cm="1">
        <f t="array" ref="H26">INDEX(Changed!$H:$H,ROW())&amp;IF(Changed!$H26&gt;Base!$H26,"↑",IF(Changed!$H26&lt;Base!$H26," ↓",""))</f>
        <v>60</v>
      </c>
      <c r="I26" s="7" t="str" cm="1">
        <f t="array" ref="I26">INDEX(Changed!$I:$I,ROW())&amp;IF(Changed!$I26&gt;Base!$I26,"↑",IF(Changed!$I26&lt;Base!$I26," ↓",""))</f>
        <v>70 ↓</v>
      </c>
      <c r="J26" s="7" t="str" cm="1">
        <f t="array" ref="J26">INDEX(Changed!$J:$J,ROW())&amp;IF(Changed!$J26&gt;Base!$J26,"↑",IF(Changed!$J26&lt;Base!$J26," ↓",""))</f>
        <v>65↑</v>
      </c>
      <c r="K26" s="7" t="str" cm="1">
        <f t="array" ref="K26">INDEX(Changed!$K:$K,ROW())&amp;IF(Changed!$K26&gt;Base!$K26,"↑",IF(Changed!$K26&lt;Base!$K26," ↓",""))</f>
        <v>95↑</v>
      </c>
      <c r="L26" s="7" t="str" cm="1">
        <f t="array" ref="L26">INDEX(Changed!$L:$L,ROW())&amp;IF(Changed!$L26&gt;Base!$L26,"↑",IF(Changed!$L26&lt;Base!$L26," ↓",""))</f>
        <v>85↑</v>
      </c>
      <c r="M26" s="7" t="str" cm="1">
        <f t="array" ref="M26">INDEX(Changed!$M:$M,ROW())&amp;IF(Changed!$M26&gt;Base!$M26,"↑",IF(Changed!$M26&lt;Base!$M26," ↓",""))</f>
        <v>100</v>
      </c>
      <c r="N26" s="19">
        <f>Changed!G26-Base!G26</f>
        <v>0</v>
      </c>
    </row>
    <row r="27" spans="1:16" ht="15.75" customHeight="1" x14ac:dyDescent="0.2">
      <c r="A27" s="4">
        <v>26</v>
      </c>
      <c r="B27" s="5" t="s">
        <v>53</v>
      </c>
      <c r="C27" s="6" t="str">
        <f>IF(Changed!C27&lt;&gt;"", Changed!C27, "")</f>
        <v>Ground</v>
      </c>
      <c r="D27" s="6" t="str">
        <f>IF(Changed!D27&lt;&gt;"", Changed!D27, "")</f>
        <v/>
      </c>
      <c r="E27" s="6" t="str">
        <f>IF(Changed!E27&lt;&gt;"", Changed!E27, "")</f>
        <v>Sand Rush</v>
      </c>
      <c r="F27" s="6" t="str">
        <f>IF(Changed!F27&lt;&gt;"", Changed!F27, "")</f>
        <v>Sharpness</v>
      </c>
      <c r="G27" s="7" t="str" cm="1">
        <f t="array" ref="G27">INDEX(Changed!$G:$G,ROW())&amp;IF(Changed!$G27&gt;Base!$G27,"↑",IF(Changed!$G27&lt;Base!$G27," ↓",""))</f>
        <v>300</v>
      </c>
      <c r="H27" s="7" t="str" cm="1">
        <f t="array" ref="H27">INDEX(Changed!$H:$H,ROW())&amp;IF(Changed!$H27&gt;Base!$H27,"↑",IF(Changed!$H27&lt;Base!$H27," ↓",""))</f>
        <v>50</v>
      </c>
      <c r="I27" s="7" t="str" cm="1">
        <f t="array" ref="I27">INDEX(Changed!$I:$I,ROW())&amp;IF(Changed!$I27&gt;Base!$I27,"↑",IF(Changed!$I27&lt;Base!$I27," ↓",""))</f>
        <v>75</v>
      </c>
      <c r="J27" s="7" t="str" cm="1">
        <f t="array" ref="J27">INDEX(Changed!$J:$J,ROW())&amp;IF(Changed!$J27&gt;Base!$J27,"↑",IF(Changed!$J27&lt;Base!$J27," ↓",""))</f>
        <v>85</v>
      </c>
      <c r="K27" s="7" t="str" cm="1">
        <f t="array" ref="K27">INDEX(Changed!$K:$K,ROW())&amp;IF(Changed!$K27&gt;Base!$K27,"↑",IF(Changed!$K27&lt;Base!$K27," ↓",""))</f>
        <v>20</v>
      </c>
      <c r="L27" s="7" t="str" cm="1">
        <f t="array" ref="L27">INDEX(Changed!$L:$L,ROW())&amp;IF(Changed!$L27&gt;Base!$L27,"↑",IF(Changed!$L27&lt;Base!$L27," ↓",""))</f>
        <v>30</v>
      </c>
      <c r="M27" s="7" t="str" cm="1">
        <f t="array" ref="M27">INDEX(Changed!$M:$M,ROW())&amp;IF(Changed!$M27&gt;Base!$M27,"↑",IF(Changed!$M27&lt;Base!$M27," ↓",""))</f>
        <v>40</v>
      </c>
      <c r="N27" s="19">
        <f>Changed!G27-Base!G27</f>
        <v>0</v>
      </c>
    </row>
    <row r="28" spans="1:16" ht="15.75" customHeight="1" x14ac:dyDescent="0.2">
      <c r="A28" s="4">
        <v>27</v>
      </c>
      <c r="B28" s="5" t="s">
        <v>55</v>
      </c>
      <c r="C28" s="6" t="str">
        <f>IF(Changed!C28&lt;&gt;"", Changed!C28, "")</f>
        <v>Ground</v>
      </c>
      <c r="D28" s="6" t="str">
        <f>IF(Changed!D28&lt;&gt;"", Changed!D28, "")</f>
        <v/>
      </c>
      <c r="E28" s="6" t="str">
        <f>IF(Changed!E28&lt;&gt;"", Changed!E28, "")</f>
        <v>Sand Rush</v>
      </c>
      <c r="F28" s="6" t="str">
        <f>IF(Changed!F28&lt;&gt;"", Changed!F28, "")</f>
        <v>Sharpness</v>
      </c>
      <c r="G28" s="7" t="str" cm="1">
        <f t="array" ref="G28">INDEX(Changed!$G:$G,ROW())&amp;IF(Changed!$G28&gt;Base!$G28,"↑",IF(Changed!$G28&lt;Base!$G28," ↓",""))</f>
        <v>450</v>
      </c>
      <c r="H28" s="7" t="str" cm="1">
        <f t="array" ref="H28">INDEX(Changed!$H:$H,ROW())&amp;IF(Changed!$H28&gt;Base!$H28,"↑",IF(Changed!$H28&lt;Base!$H28," ↓",""))</f>
        <v>75</v>
      </c>
      <c r="I28" s="7" t="str" cm="1">
        <f t="array" ref="I28">INDEX(Changed!$I:$I,ROW())&amp;IF(Changed!$I28&gt;Base!$I28,"↑",IF(Changed!$I28&lt;Base!$I28," ↓",""))</f>
        <v>100</v>
      </c>
      <c r="J28" s="7" t="str" cm="1">
        <f t="array" ref="J28">INDEX(Changed!$J:$J,ROW())&amp;IF(Changed!$J28&gt;Base!$J28,"↑",IF(Changed!$J28&lt;Base!$J28," ↓",""))</f>
        <v>110</v>
      </c>
      <c r="K28" s="7" t="str" cm="1">
        <f t="array" ref="K28">INDEX(Changed!$K:$K,ROW())&amp;IF(Changed!$K28&gt;Base!$K28,"↑",IF(Changed!$K28&lt;Base!$K28," ↓",""))</f>
        <v>45</v>
      </c>
      <c r="L28" s="7" t="str" cm="1">
        <f t="array" ref="L28">INDEX(Changed!$L:$L,ROW())&amp;IF(Changed!$L28&gt;Base!$L28,"↑",IF(Changed!$L28&lt;Base!$L28," ↓",""))</f>
        <v>55</v>
      </c>
      <c r="M28" s="7" t="str" cm="1">
        <f t="array" ref="M28">INDEX(Changed!$M:$M,ROW())&amp;IF(Changed!$M28&gt;Base!$M28,"↑",IF(Changed!$M28&lt;Base!$M28," ↓",""))</f>
        <v>65</v>
      </c>
      <c r="N28" s="19">
        <f>Changed!G28-Base!G28</f>
        <v>0</v>
      </c>
    </row>
    <row r="29" spans="1:16" ht="15.75" customHeight="1" x14ac:dyDescent="0.2">
      <c r="A29" s="4">
        <v>28</v>
      </c>
      <c r="B29" s="5" t="s">
        <v>56</v>
      </c>
      <c r="C29" s="6" t="str">
        <f>IF(Changed!C29&lt;&gt;"", Changed!C29, "")</f>
        <v>Poison</v>
      </c>
      <c r="D29" s="6" t="str">
        <f>IF(Changed!D29&lt;&gt;"", Changed!D29, "")</f>
        <v/>
      </c>
      <c r="E29" s="6" t="str">
        <f>IF(Changed!E29&lt;&gt;"", Changed!E29, "")</f>
        <v>Poison Point</v>
      </c>
      <c r="F29" s="6" t="str">
        <f>IF(Changed!F29&lt;&gt;"", Changed!F29, "")</f>
        <v>Rivalry</v>
      </c>
      <c r="G29" s="7" t="str" cm="1">
        <f t="array" ref="G29">INDEX(Changed!$G:$G,ROW())&amp;IF(Changed!$G29&gt;Base!$G29,"↑",IF(Changed!$G29&lt;Base!$G29," ↓",""))</f>
        <v>275</v>
      </c>
      <c r="H29" s="7" t="str" cm="1">
        <f t="array" ref="H29">INDEX(Changed!$H:$H,ROW())&amp;IF(Changed!$H29&gt;Base!$H29,"↑",IF(Changed!$H29&lt;Base!$H29," ↓",""))</f>
        <v>55</v>
      </c>
      <c r="I29" s="7" t="str" cm="1">
        <f t="array" ref="I29">INDEX(Changed!$I:$I,ROW())&amp;IF(Changed!$I29&gt;Base!$I29,"↑",IF(Changed!$I29&lt;Base!$I29," ↓",""))</f>
        <v>47</v>
      </c>
      <c r="J29" s="7" t="str" cm="1">
        <f t="array" ref="J29">INDEX(Changed!$J:$J,ROW())&amp;IF(Changed!$J29&gt;Base!$J29,"↑",IF(Changed!$J29&lt;Base!$J29," ↓",""))</f>
        <v>52</v>
      </c>
      <c r="K29" s="7" t="str" cm="1">
        <f t="array" ref="K29">INDEX(Changed!$K:$K,ROW())&amp;IF(Changed!$K29&gt;Base!$K29,"↑",IF(Changed!$K29&lt;Base!$K29," ↓",""))</f>
        <v>40</v>
      </c>
      <c r="L29" s="7" t="str" cm="1">
        <f t="array" ref="L29">INDEX(Changed!$L:$L,ROW())&amp;IF(Changed!$L29&gt;Base!$L29,"↑",IF(Changed!$L29&lt;Base!$L29," ↓",""))</f>
        <v>40</v>
      </c>
      <c r="M29" s="7" t="str" cm="1">
        <f t="array" ref="M29">INDEX(Changed!$M:$M,ROW())&amp;IF(Changed!$M29&gt;Base!$M29,"↑",IF(Changed!$M29&lt;Base!$M29," ↓",""))</f>
        <v>41</v>
      </c>
      <c r="N29" s="19">
        <f>Changed!G29-Base!G29</f>
        <v>0</v>
      </c>
    </row>
    <row r="30" spans="1:16" ht="15.75" customHeight="1" x14ac:dyDescent="0.2">
      <c r="A30" s="4">
        <v>29</v>
      </c>
      <c r="B30" s="5" t="s">
        <v>57</v>
      </c>
      <c r="C30" s="6" t="str">
        <f>IF(Changed!C30&lt;&gt;"", Changed!C30, "")</f>
        <v>Poison</v>
      </c>
      <c r="D30" s="6" t="str">
        <f>IF(Changed!D30&lt;&gt;"", Changed!D30, "")</f>
        <v/>
      </c>
      <c r="E30" s="6" t="str">
        <f>IF(Changed!E30&lt;&gt;"", Changed!E30, "")</f>
        <v>Poison Point</v>
      </c>
      <c r="F30" s="6" t="str">
        <f>IF(Changed!F30&lt;&gt;"", Changed!F30, "")</f>
        <v>Rivalry</v>
      </c>
      <c r="G30" s="7" t="str" cm="1">
        <f t="array" ref="G30">INDEX(Changed!$G:$G,ROW())&amp;IF(Changed!$G30&gt;Base!$G30,"↑",IF(Changed!$G30&lt;Base!$G30," ↓",""))</f>
        <v>365</v>
      </c>
      <c r="H30" s="7" t="str" cm="1">
        <f t="array" ref="H30">INDEX(Changed!$H:$H,ROW())&amp;IF(Changed!$H30&gt;Base!$H30,"↑",IF(Changed!$H30&lt;Base!$H30," ↓",""))</f>
        <v>70</v>
      </c>
      <c r="I30" s="7" t="str" cm="1">
        <f t="array" ref="I30">INDEX(Changed!$I:$I,ROW())&amp;IF(Changed!$I30&gt;Base!$I30,"↑",IF(Changed!$I30&lt;Base!$I30," ↓",""))</f>
        <v>62</v>
      </c>
      <c r="J30" s="7" t="str" cm="1">
        <f t="array" ref="J30">INDEX(Changed!$J:$J,ROW())&amp;IF(Changed!$J30&gt;Base!$J30,"↑",IF(Changed!$J30&lt;Base!$J30," ↓",""))</f>
        <v>67</v>
      </c>
      <c r="K30" s="7" t="str" cm="1">
        <f t="array" ref="K30">INDEX(Changed!$K:$K,ROW())&amp;IF(Changed!$K30&gt;Base!$K30,"↑",IF(Changed!$K30&lt;Base!$K30," ↓",""))</f>
        <v>55</v>
      </c>
      <c r="L30" s="7" t="str" cm="1">
        <f t="array" ref="L30">INDEX(Changed!$L:$L,ROW())&amp;IF(Changed!$L30&gt;Base!$L30,"↑",IF(Changed!$L30&lt;Base!$L30," ↓",""))</f>
        <v>55</v>
      </c>
      <c r="M30" s="7" t="str" cm="1">
        <f t="array" ref="M30">INDEX(Changed!$M:$M,ROW())&amp;IF(Changed!$M30&gt;Base!$M30,"↑",IF(Changed!$M30&lt;Base!$M30," ↓",""))</f>
        <v>56</v>
      </c>
      <c r="N30" s="19">
        <f>Changed!G30-Base!G30</f>
        <v>0</v>
      </c>
    </row>
    <row r="31" spans="1:16" ht="15.75" customHeight="1" x14ac:dyDescent="0.2">
      <c r="A31" s="4">
        <v>30</v>
      </c>
      <c r="B31" s="5" t="s">
        <v>58</v>
      </c>
      <c r="C31" s="6" t="str">
        <f>IF(Changed!C31&lt;&gt;"", Changed!C31, "")</f>
        <v>Poison</v>
      </c>
      <c r="D31" s="6" t="str">
        <f>IF(Changed!D31&lt;&gt;"", Changed!D31, "")</f>
        <v>Ice</v>
      </c>
      <c r="E31" s="6" t="str">
        <f>IF(Changed!E31&lt;&gt;"", Changed!E31, "")</f>
        <v>Poison Point</v>
      </c>
      <c r="F31" s="6" t="str">
        <f>IF(Changed!F31&lt;&gt;"", Changed!F31, "")</f>
        <v>Rivalry</v>
      </c>
      <c r="G31" s="7" t="str" cm="1">
        <f t="array" ref="G31">INDEX(Changed!$G:$G,ROW())&amp;IF(Changed!$G31&gt;Base!$G31,"↑",IF(Changed!$G31&lt;Base!$G31," ↓",""))</f>
        <v>505</v>
      </c>
      <c r="H31" s="7" t="str" cm="1">
        <f t="array" ref="H31">INDEX(Changed!$H:$H,ROW())&amp;IF(Changed!$H31&gt;Base!$H31,"↑",IF(Changed!$H31&lt;Base!$H31," ↓",""))</f>
        <v>81 ↓</v>
      </c>
      <c r="I31" s="7" t="str" cm="1">
        <f t="array" ref="I31">INDEX(Changed!$I:$I,ROW())&amp;IF(Changed!$I31&gt;Base!$I31,"↑",IF(Changed!$I31&lt;Base!$I31," ↓",""))</f>
        <v>92</v>
      </c>
      <c r="J31" s="7" t="str" cm="1">
        <f t="array" ref="J31">INDEX(Changed!$J:$J,ROW())&amp;IF(Changed!$J31&gt;Base!$J31,"↑",IF(Changed!$J31&lt;Base!$J31," ↓",""))</f>
        <v>87</v>
      </c>
      <c r="K31" s="7" t="str" cm="1">
        <f t="array" ref="K31">INDEX(Changed!$K:$K,ROW())&amp;IF(Changed!$K31&gt;Base!$K31,"↑",IF(Changed!$K31&lt;Base!$K31," ↓",""))</f>
        <v>84↑</v>
      </c>
      <c r="L31" s="7" t="str" cm="1">
        <f t="array" ref="L31">INDEX(Changed!$L:$L,ROW())&amp;IF(Changed!$L31&gt;Base!$L31,"↑",IF(Changed!$L31&lt;Base!$L31," ↓",""))</f>
        <v>85</v>
      </c>
      <c r="M31" s="7" t="str" cm="1">
        <f t="array" ref="M31">INDEX(Changed!$M:$M,ROW())&amp;IF(Changed!$M31&gt;Base!$M31,"↑",IF(Changed!$M31&lt;Base!$M31," ↓",""))</f>
        <v>76</v>
      </c>
      <c r="N31" s="19">
        <f>Changed!G31-Base!G31</f>
        <v>0</v>
      </c>
    </row>
    <row r="32" spans="1:16" ht="15.75" customHeight="1" x14ac:dyDescent="0.2">
      <c r="A32" s="4">
        <v>31</v>
      </c>
      <c r="B32" s="5" t="s">
        <v>59</v>
      </c>
      <c r="C32" s="6" t="str">
        <f>IF(Changed!C32&lt;&gt;"", Changed!C32, "")</f>
        <v>Poison</v>
      </c>
      <c r="D32" s="6" t="str">
        <f>IF(Changed!D32&lt;&gt;"", Changed!D32, "")</f>
        <v/>
      </c>
      <c r="E32" s="6" t="str">
        <f>IF(Changed!E32&lt;&gt;"", Changed!E32, "")</f>
        <v>Poison Point</v>
      </c>
      <c r="F32" s="6" t="str">
        <f>IF(Changed!F32&lt;&gt;"", Changed!F32, "")</f>
        <v>Rivalry</v>
      </c>
      <c r="G32" s="7" t="str" cm="1">
        <f t="array" ref="G32">INDEX(Changed!$G:$G,ROW())&amp;IF(Changed!$G32&gt;Base!$G32,"↑",IF(Changed!$G32&lt;Base!$G32," ↓",""))</f>
        <v>273</v>
      </c>
      <c r="H32" s="7" t="str" cm="1">
        <f t="array" ref="H32">INDEX(Changed!$H:$H,ROW())&amp;IF(Changed!$H32&gt;Base!$H32,"↑",IF(Changed!$H32&lt;Base!$H32," ↓",""))</f>
        <v>46</v>
      </c>
      <c r="I32" s="7" t="str" cm="1">
        <f t="array" ref="I32">INDEX(Changed!$I:$I,ROW())&amp;IF(Changed!$I32&gt;Base!$I32,"↑",IF(Changed!$I32&lt;Base!$I32," ↓",""))</f>
        <v>57</v>
      </c>
      <c r="J32" s="7" t="str" cm="1">
        <f t="array" ref="J32">INDEX(Changed!$J:$J,ROW())&amp;IF(Changed!$J32&gt;Base!$J32,"↑",IF(Changed!$J32&lt;Base!$J32," ↓",""))</f>
        <v>40</v>
      </c>
      <c r="K32" s="7" t="str" cm="1">
        <f t="array" ref="K32">INDEX(Changed!$K:$K,ROW())&amp;IF(Changed!$K32&gt;Base!$K32,"↑",IF(Changed!$K32&lt;Base!$K32," ↓",""))</f>
        <v>40</v>
      </c>
      <c r="L32" s="7" t="str" cm="1">
        <f t="array" ref="L32">INDEX(Changed!$L:$L,ROW())&amp;IF(Changed!$L32&gt;Base!$L32,"↑",IF(Changed!$L32&lt;Base!$L32," ↓",""))</f>
        <v>40</v>
      </c>
      <c r="M32" s="7" t="str" cm="1">
        <f t="array" ref="M32">INDEX(Changed!$M:$M,ROW())&amp;IF(Changed!$M32&gt;Base!$M32,"↑",IF(Changed!$M32&lt;Base!$M32," ↓",""))</f>
        <v>50</v>
      </c>
      <c r="N32" s="19">
        <f>Changed!G32-Base!G32</f>
        <v>0</v>
      </c>
    </row>
    <row r="33" spans="1:14" ht="15.75" customHeight="1" x14ac:dyDescent="0.2">
      <c r="A33" s="4">
        <v>32</v>
      </c>
      <c r="B33" s="5" t="s">
        <v>60</v>
      </c>
      <c r="C33" s="6" t="str">
        <f>IF(Changed!C33&lt;&gt;"", Changed!C33, "")</f>
        <v>Poison</v>
      </c>
      <c r="D33" s="6" t="str">
        <f>IF(Changed!D33&lt;&gt;"", Changed!D33, "")</f>
        <v/>
      </c>
      <c r="E33" s="6" t="str">
        <f>IF(Changed!E33&lt;&gt;"", Changed!E33, "")</f>
        <v>Poison Point</v>
      </c>
      <c r="F33" s="6" t="str">
        <f>IF(Changed!F33&lt;&gt;"", Changed!F33, "")</f>
        <v>Rivalry</v>
      </c>
      <c r="G33" s="7" t="str" cm="1">
        <f t="array" ref="G33">INDEX(Changed!$G:$G,ROW())&amp;IF(Changed!$G33&gt;Base!$G33,"↑",IF(Changed!$G33&lt;Base!$G33," ↓",""))</f>
        <v>365</v>
      </c>
      <c r="H33" s="7" t="str" cm="1">
        <f t="array" ref="H33">INDEX(Changed!$H:$H,ROW())&amp;IF(Changed!$H33&gt;Base!$H33,"↑",IF(Changed!$H33&lt;Base!$H33," ↓",""))</f>
        <v>61</v>
      </c>
      <c r="I33" s="7" t="str" cm="1">
        <f t="array" ref="I33">INDEX(Changed!$I:$I,ROW())&amp;IF(Changed!$I33&gt;Base!$I33,"↑",IF(Changed!$I33&lt;Base!$I33," ↓",""))</f>
        <v>72</v>
      </c>
      <c r="J33" s="7" t="str" cm="1">
        <f t="array" ref="J33">INDEX(Changed!$J:$J,ROW())&amp;IF(Changed!$J33&gt;Base!$J33,"↑",IF(Changed!$J33&lt;Base!$J33," ↓",""))</f>
        <v>57</v>
      </c>
      <c r="K33" s="7" t="str" cm="1">
        <f t="array" ref="K33">INDEX(Changed!$K:$K,ROW())&amp;IF(Changed!$K33&gt;Base!$K33,"↑",IF(Changed!$K33&lt;Base!$K33," ↓",""))</f>
        <v>55</v>
      </c>
      <c r="L33" s="7" t="str" cm="1">
        <f t="array" ref="L33">INDEX(Changed!$L:$L,ROW())&amp;IF(Changed!$L33&gt;Base!$L33,"↑",IF(Changed!$L33&lt;Base!$L33," ↓",""))</f>
        <v>55</v>
      </c>
      <c r="M33" s="7" t="str" cm="1">
        <f t="array" ref="M33">INDEX(Changed!$M:$M,ROW())&amp;IF(Changed!$M33&gt;Base!$M33,"↑",IF(Changed!$M33&lt;Base!$M33," ↓",""))</f>
        <v>65</v>
      </c>
      <c r="N33" s="19">
        <f>Changed!G33-Base!G33</f>
        <v>0</v>
      </c>
    </row>
    <row r="34" spans="1:14" ht="15.75" customHeight="1" x14ac:dyDescent="0.2">
      <c r="A34" s="4">
        <v>33</v>
      </c>
      <c r="B34" s="5" t="s">
        <v>61</v>
      </c>
      <c r="C34" s="6" t="str">
        <f>IF(Changed!C34&lt;&gt;"", Changed!C34, "")</f>
        <v>Poison</v>
      </c>
      <c r="D34" s="6" t="str">
        <f>IF(Changed!D34&lt;&gt;"", Changed!D34, "")</f>
        <v>Ground</v>
      </c>
      <c r="E34" s="6" t="str">
        <f>IF(Changed!E34&lt;&gt;"", Changed!E34, "")</f>
        <v>Poison Point</v>
      </c>
      <c r="F34" s="6" t="str">
        <f>IF(Changed!F34&lt;&gt;"", Changed!F34, "")</f>
        <v>Rivalry</v>
      </c>
      <c r="G34" s="7" t="str" cm="1">
        <f t="array" ref="G34">INDEX(Changed!$G:$G,ROW())&amp;IF(Changed!$G34&gt;Base!$G34,"↑",IF(Changed!$G34&lt;Base!$G34," ↓",""))</f>
        <v>505</v>
      </c>
      <c r="H34" s="7" t="str" cm="1">
        <f t="array" ref="H34">INDEX(Changed!$H:$H,ROW())&amp;IF(Changed!$H34&gt;Base!$H34,"↑",IF(Changed!$H34&lt;Base!$H34," ↓",""))</f>
        <v>81</v>
      </c>
      <c r="I34" s="7" t="str" cm="1">
        <f t="array" ref="I34">INDEX(Changed!$I:$I,ROW())&amp;IF(Changed!$I34&gt;Base!$I34,"↑",IF(Changed!$I34&lt;Base!$I34," ↓",""))</f>
        <v>102</v>
      </c>
      <c r="J34" s="7" t="str" cm="1">
        <f t="array" ref="J34">INDEX(Changed!$J:$J,ROW())&amp;IF(Changed!$J34&gt;Base!$J34,"↑",IF(Changed!$J34&lt;Base!$J34," ↓",""))</f>
        <v>77</v>
      </c>
      <c r="K34" s="7" t="str" cm="1">
        <f t="array" ref="K34">INDEX(Changed!$K:$K,ROW())&amp;IF(Changed!$K34&gt;Base!$K34,"↑",IF(Changed!$K34&lt;Base!$K34," ↓",""))</f>
        <v>85</v>
      </c>
      <c r="L34" s="7" t="str" cm="1">
        <f t="array" ref="L34">INDEX(Changed!$L:$L,ROW())&amp;IF(Changed!$L34&gt;Base!$L34,"↑",IF(Changed!$L34&lt;Base!$L34," ↓",""))</f>
        <v>75</v>
      </c>
      <c r="M34" s="7" t="str" cm="1">
        <f t="array" ref="M34">INDEX(Changed!$M:$M,ROW())&amp;IF(Changed!$M34&gt;Base!$M34,"↑",IF(Changed!$M34&lt;Base!$M34," ↓",""))</f>
        <v>85</v>
      </c>
      <c r="N34" s="19">
        <f>Changed!G34-Base!G34</f>
        <v>0</v>
      </c>
    </row>
    <row r="35" spans="1:14" ht="15.75" customHeight="1" x14ac:dyDescent="0.2">
      <c r="A35" s="4">
        <v>34</v>
      </c>
      <c r="B35" s="5" t="s">
        <v>207</v>
      </c>
      <c r="C35" s="6" t="str">
        <f>IF(Changed!C35&lt;&gt;"", Changed!C35, "")</f>
        <v>Normal</v>
      </c>
      <c r="D35" s="6" t="str">
        <f>IF(Changed!D35&lt;&gt;"", Changed!D35, "")</f>
        <v/>
      </c>
      <c r="E35" s="6" t="str">
        <f>IF(Changed!E35&lt;&gt;"", Changed!E35, "")</f>
        <v>Cute Charm</v>
      </c>
      <c r="F35" s="6" t="str">
        <f>IF(Changed!F35&lt;&gt;"", Changed!F35, "")</f>
        <v>Magic Guard</v>
      </c>
      <c r="G35" s="7" t="str" cm="1">
        <f t="array" ref="G35">INDEX(Changed!$G:$G,ROW())&amp;IF(Changed!$G35&gt;Base!$G35,"↑",IF(Changed!$G35&lt;Base!$G35," ↓",""))</f>
        <v>218</v>
      </c>
      <c r="H35" s="7" t="str" cm="1">
        <f t="array" ref="H35">INDEX(Changed!$H:$H,ROW())&amp;IF(Changed!$H35&gt;Base!$H35,"↑",IF(Changed!$H35&lt;Base!$H35," ↓",""))</f>
        <v>50</v>
      </c>
      <c r="I35" s="7" t="str" cm="1">
        <f t="array" ref="I35">INDEX(Changed!$I:$I,ROW())&amp;IF(Changed!$I35&gt;Base!$I35,"↑",IF(Changed!$I35&lt;Base!$I35," ↓",""))</f>
        <v>25</v>
      </c>
      <c r="J35" s="7" t="str" cm="1">
        <f t="array" ref="J35">INDEX(Changed!$J:$J,ROW())&amp;IF(Changed!$J35&gt;Base!$J35,"↑",IF(Changed!$J35&lt;Base!$J35," ↓",""))</f>
        <v>28</v>
      </c>
      <c r="K35" s="7" t="str" cm="1">
        <f t="array" ref="K35">INDEX(Changed!$K:$K,ROW())&amp;IF(Changed!$K35&gt;Base!$K35,"↑",IF(Changed!$K35&lt;Base!$K35," ↓",""))</f>
        <v>45</v>
      </c>
      <c r="L35" s="7" t="str" cm="1">
        <f t="array" ref="L35">INDEX(Changed!$L:$L,ROW())&amp;IF(Changed!$L35&gt;Base!$L35,"↑",IF(Changed!$L35&lt;Base!$L35," ↓",""))</f>
        <v>55</v>
      </c>
      <c r="M35" s="7" t="str" cm="1">
        <f t="array" ref="M35">INDEX(Changed!$M:$M,ROW())&amp;IF(Changed!$M35&gt;Base!$M35,"↑",IF(Changed!$M35&lt;Base!$M35," ↓",""))</f>
        <v>15</v>
      </c>
      <c r="N35" s="19">
        <f>Changed!G35-Base!G35</f>
        <v>0</v>
      </c>
    </row>
    <row r="36" spans="1:14" ht="15.75" customHeight="1" x14ac:dyDescent="0.2">
      <c r="A36" s="4">
        <v>35</v>
      </c>
      <c r="B36" s="5" t="s">
        <v>62</v>
      </c>
      <c r="C36" s="6" t="str">
        <f>IF(Changed!C36&lt;&gt;"", Changed!C36, "")</f>
        <v>Normal</v>
      </c>
      <c r="D36" s="6" t="str">
        <f>IF(Changed!D36&lt;&gt;"", Changed!D36, "")</f>
        <v/>
      </c>
      <c r="E36" s="6" t="str">
        <f>IF(Changed!E36&lt;&gt;"", Changed!E36, "")</f>
        <v>Cute Charm</v>
      </c>
      <c r="F36" s="6" t="str">
        <f>IF(Changed!F36&lt;&gt;"", Changed!F36, "")</f>
        <v>Magic Guard</v>
      </c>
      <c r="G36" s="7" t="str" cm="1">
        <f t="array" ref="G36">INDEX(Changed!$G:$G,ROW())&amp;IF(Changed!$G36&gt;Base!$G36,"↑",IF(Changed!$G36&lt;Base!$G36," ↓",""))</f>
        <v>323</v>
      </c>
      <c r="H36" s="7" t="str" cm="1">
        <f t="array" ref="H36">INDEX(Changed!$H:$H,ROW())&amp;IF(Changed!$H36&gt;Base!$H36,"↑",IF(Changed!$H36&lt;Base!$H36," ↓",""))</f>
        <v>70</v>
      </c>
      <c r="I36" s="7" t="str" cm="1">
        <f t="array" ref="I36">INDEX(Changed!$I:$I,ROW())&amp;IF(Changed!$I36&gt;Base!$I36,"↑",IF(Changed!$I36&lt;Base!$I36," ↓",""))</f>
        <v>45</v>
      </c>
      <c r="J36" s="7" t="str" cm="1">
        <f t="array" ref="J36">INDEX(Changed!$J:$J,ROW())&amp;IF(Changed!$J36&gt;Base!$J36,"↑",IF(Changed!$J36&lt;Base!$J36," ↓",""))</f>
        <v>48</v>
      </c>
      <c r="K36" s="7" t="str" cm="1">
        <f t="array" ref="K36">INDEX(Changed!$K:$K,ROW())&amp;IF(Changed!$K36&gt;Base!$K36,"↑",IF(Changed!$K36&lt;Base!$K36," ↓",""))</f>
        <v>60</v>
      </c>
      <c r="L36" s="7" t="str" cm="1">
        <f t="array" ref="L36">INDEX(Changed!$L:$L,ROW())&amp;IF(Changed!$L36&gt;Base!$L36,"↑",IF(Changed!$L36&lt;Base!$L36," ↓",""))</f>
        <v>65</v>
      </c>
      <c r="M36" s="7" t="str" cm="1">
        <f t="array" ref="M36">INDEX(Changed!$M:$M,ROW())&amp;IF(Changed!$M36&gt;Base!$M36,"↑",IF(Changed!$M36&lt;Base!$M36," ↓",""))</f>
        <v>35</v>
      </c>
      <c r="N36" s="19">
        <f>Changed!G36-Base!G36</f>
        <v>0</v>
      </c>
    </row>
    <row r="37" spans="1:14" ht="15.75" customHeight="1" x14ac:dyDescent="0.2">
      <c r="A37" s="4">
        <v>36</v>
      </c>
      <c r="B37" s="5" t="s">
        <v>63</v>
      </c>
      <c r="C37" s="6" t="str">
        <f>IF(Changed!C37&lt;&gt;"", Changed!C37, "")</f>
        <v>Normal</v>
      </c>
      <c r="D37" s="6" t="str">
        <f>IF(Changed!D37&lt;&gt;"", Changed!D37, "")</f>
        <v/>
      </c>
      <c r="E37" s="6" t="str">
        <f>IF(Changed!E37&lt;&gt;"", Changed!E37, "")</f>
        <v>Cute Charm</v>
      </c>
      <c r="F37" s="6" t="str">
        <f>IF(Changed!F37&lt;&gt;"", Changed!F37, "")</f>
        <v>Magic Guard</v>
      </c>
      <c r="G37" s="7" t="str" cm="1">
        <f t="array" ref="G37">INDEX(Changed!$G:$G,ROW())&amp;IF(Changed!$G37&gt;Base!$G37,"↑",IF(Changed!$G37&lt;Base!$G37," ↓",""))</f>
        <v>473</v>
      </c>
      <c r="H37" s="7" t="str" cm="1">
        <f t="array" ref="H37">INDEX(Changed!$H:$H,ROW())&amp;IF(Changed!$H37&gt;Base!$H37,"↑",IF(Changed!$H37&lt;Base!$H37," ↓",""))</f>
        <v>95</v>
      </c>
      <c r="I37" s="7" t="str" cm="1">
        <f t="array" ref="I37">INDEX(Changed!$I:$I,ROW())&amp;IF(Changed!$I37&gt;Base!$I37,"↑",IF(Changed!$I37&lt;Base!$I37," ↓",""))</f>
        <v>70</v>
      </c>
      <c r="J37" s="7" t="str" cm="1">
        <f t="array" ref="J37">INDEX(Changed!$J:$J,ROW())&amp;IF(Changed!$J37&gt;Base!$J37,"↑",IF(Changed!$J37&lt;Base!$J37," ↓",""))</f>
        <v>73</v>
      </c>
      <c r="K37" s="7" t="str" cm="1">
        <f t="array" ref="K37">INDEX(Changed!$K:$K,ROW())&amp;IF(Changed!$K37&gt;Base!$K37,"↑",IF(Changed!$K37&lt;Base!$K37," ↓",""))</f>
        <v>85</v>
      </c>
      <c r="L37" s="7" t="str" cm="1">
        <f t="array" ref="L37">INDEX(Changed!$L:$L,ROW())&amp;IF(Changed!$L37&gt;Base!$L37,"↑",IF(Changed!$L37&lt;Base!$L37," ↓",""))</f>
        <v>90</v>
      </c>
      <c r="M37" s="7" t="str" cm="1">
        <f t="array" ref="M37">INDEX(Changed!$M:$M,ROW())&amp;IF(Changed!$M37&gt;Base!$M37,"↑",IF(Changed!$M37&lt;Base!$M37," ↓",""))</f>
        <v>60</v>
      </c>
      <c r="N37" s="19">
        <f>Changed!G37-Base!G37</f>
        <v>0</v>
      </c>
    </row>
    <row r="38" spans="1:14" ht="15.75" customHeight="1" x14ac:dyDescent="0.2">
      <c r="A38" s="4">
        <v>37</v>
      </c>
      <c r="B38" s="5" t="s">
        <v>64</v>
      </c>
      <c r="C38" s="6" t="str">
        <f>IF(Changed!C38&lt;&gt;"", Changed!C38, "")</f>
        <v>Fire</v>
      </c>
      <c r="D38" s="6" t="str">
        <f>IF(Changed!D38&lt;&gt;"", Changed!D38, "")</f>
        <v/>
      </c>
      <c r="E38" s="6" t="str">
        <f>IF(Changed!E38&lt;&gt;"", Changed!E38, "")</f>
        <v>Flash Fire</v>
      </c>
      <c r="F38" s="6" t="str">
        <f>IF(Changed!F38&lt;&gt;"", Changed!F38, "")</f>
        <v>Drought</v>
      </c>
      <c r="G38" s="7" t="str" cm="1">
        <f t="array" ref="G38">INDEX(Changed!$G:$G,ROW())&amp;IF(Changed!$G38&gt;Base!$G38,"↑",IF(Changed!$G38&lt;Base!$G38," ↓",""))</f>
        <v>299</v>
      </c>
      <c r="H38" s="7" t="str" cm="1">
        <f t="array" ref="H38">INDEX(Changed!$H:$H,ROW())&amp;IF(Changed!$H38&gt;Base!$H38,"↑",IF(Changed!$H38&lt;Base!$H38," ↓",""))</f>
        <v>38</v>
      </c>
      <c r="I38" s="7" t="str" cm="1">
        <f t="array" ref="I38">INDEX(Changed!$I:$I,ROW())&amp;IF(Changed!$I38&gt;Base!$I38,"↑",IF(Changed!$I38&lt;Base!$I38," ↓",""))</f>
        <v>41</v>
      </c>
      <c r="J38" s="7" t="str" cm="1">
        <f t="array" ref="J38">INDEX(Changed!$J:$J,ROW())&amp;IF(Changed!$J38&gt;Base!$J38,"↑",IF(Changed!$J38&lt;Base!$J38," ↓",""))</f>
        <v>40</v>
      </c>
      <c r="K38" s="7" t="str" cm="1">
        <f t="array" ref="K38">INDEX(Changed!$K:$K,ROW())&amp;IF(Changed!$K38&gt;Base!$K38,"↑",IF(Changed!$K38&lt;Base!$K38," ↓",""))</f>
        <v>50</v>
      </c>
      <c r="L38" s="7" t="str" cm="1">
        <f t="array" ref="L38">INDEX(Changed!$L:$L,ROW())&amp;IF(Changed!$L38&gt;Base!$L38,"↑",IF(Changed!$L38&lt;Base!$L38," ↓",""))</f>
        <v>65</v>
      </c>
      <c r="M38" s="7" t="str" cm="1">
        <f t="array" ref="M38">INDEX(Changed!$M:$M,ROW())&amp;IF(Changed!$M38&gt;Base!$M38,"↑",IF(Changed!$M38&lt;Base!$M38," ↓",""))</f>
        <v>65</v>
      </c>
      <c r="N38" s="19">
        <f>Changed!G38-Base!G38</f>
        <v>0</v>
      </c>
    </row>
    <row r="39" spans="1:14" ht="15.75" customHeight="1" x14ac:dyDescent="0.2">
      <c r="A39" s="4">
        <v>38</v>
      </c>
      <c r="B39" s="5" t="s">
        <v>65</v>
      </c>
      <c r="C39" s="6" t="str">
        <f>IF(Changed!C39&lt;&gt;"", Changed!C39, "")</f>
        <v>Fire</v>
      </c>
      <c r="D39" s="6" t="str">
        <f>IF(Changed!D39&lt;&gt;"", Changed!D39, "")</f>
        <v>Psychic</v>
      </c>
      <c r="E39" s="6" t="str">
        <f>IF(Changed!E39&lt;&gt;"", Changed!E39, "")</f>
        <v>Flash Fire</v>
      </c>
      <c r="F39" s="6" t="str">
        <f>IF(Changed!F39&lt;&gt;"", Changed!F39, "")</f>
        <v>Drought</v>
      </c>
      <c r="G39" s="7" t="str" cm="1">
        <f t="array" ref="G39">INDEX(Changed!$G:$G,ROW())&amp;IF(Changed!$G39&gt;Base!$G39,"↑",IF(Changed!$G39&lt;Base!$G39," ↓",""))</f>
        <v>505</v>
      </c>
      <c r="H39" s="7" t="str" cm="1">
        <f t="array" ref="H39">INDEX(Changed!$H:$H,ROW())&amp;IF(Changed!$H39&gt;Base!$H39,"↑",IF(Changed!$H39&lt;Base!$H39," ↓",""))</f>
        <v>73</v>
      </c>
      <c r="I39" s="7" t="str" cm="1">
        <f t="array" ref="I39">INDEX(Changed!$I:$I,ROW())&amp;IF(Changed!$I39&gt;Base!$I39,"↑",IF(Changed!$I39&lt;Base!$I39," ↓",""))</f>
        <v>76</v>
      </c>
      <c r="J39" s="7" t="str" cm="1">
        <f t="array" ref="J39">INDEX(Changed!$J:$J,ROW())&amp;IF(Changed!$J39&gt;Base!$J39,"↑",IF(Changed!$J39&lt;Base!$J39," ↓",""))</f>
        <v>75</v>
      </c>
      <c r="K39" s="7" t="str" cm="1">
        <f t="array" ref="K39">INDEX(Changed!$K:$K,ROW())&amp;IF(Changed!$K39&gt;Base!$K39,"↑",IF(Changed!$K39&lt;Base!$K39," ↓",""))</f>
        <v>81</v>
      </c>
      <c r="L39" s="7" t="str" cm="1">
        <f t="array" ref="L39">INDEX(Changed!$L:$L,ROW())&amp;IF(Changed!$L39&gt;Base!$L39,"↑",IF(Changed!$L39&lt;Base!$L39," ↓",""))</f>
        <v>100</v>
      </c>
      <c r="M39" s="7" t="str" cm="1">
        <f t="array" ref="M39">INDEX(Changed!$M:$M,ROW())&amp;IF(Changed!$M39&gt;Base!$M39,"↑",IF(Changed!$M39&lt;Base!$M39," ↓",""))</f>
        <v>100</v>
      </c>
      <c r="N39" s="19">
        <f>Changed!G39-Base!G39</f>
        <v>0</v>
      </c>
    </row>
    <row r="40" spans="1:14" ht="15.75" customHeight="1" x14ac:dyDescent="0.2">
      <c r="A40" s="4">
        <v>39</v>
      </c>
      <c r="B40" s="5" t="s">
        <v>208</v>
      </c>
      <c r="C40" s="6" t="str">
        <f>IF(Changed!C40&lt;&gt;"", Changed!C40, "")</f>
        <v>Normal</v>
      </c>
      <c r="D40" s="6" t="str">
        <f>IF(Changed!D40&lt;&gt;"", Changed!D40, "")</f>
        <v/>
      </c>
      <c r="E40" s="6" t="str">
        <f>IF(Changed!E40&lt;&gt;"", Changed!E40, "")</f>
        <v>Cute Charm</v>
      </c>
      <c r="F40" s="6" t="str">
        <f>IF(Changed!F40&lt;&gt;"", Changed!F40, "")</f>
        <v>Friend Guard</v>
      </c>
      <c r="G40" s="7" t="str" cm="1">
        <f t="array" ref="G40">INDEX(Changed!$G:$G,ROW())&amp;IF(Changed!$G40&gt;Base!$G40,"↑",IF(Changed!$G40&lt;Base!$G40," ↓",""))</f>
        <v>210</v>
      </c>
      <c r="H40" s="7" t="str" cm="1">
        <f t="array" ref="H40">INDEX(Changed!$H:$H,ROW())&amp;IF(Changed!$H40&gt;Base!$H40,"↑",IF(Changed!$H40&lt;Base!$H40," ↓",""))</f>
        <v>90</v>
      </c>
      <c r="I40" s="7" t="str" cm="1">
        <f t="array" ref="I40">INDEX(Changed!$I:$I,ROW())&amp;IF(Changed!$I40&gt;Base!$I40,"↑",IF(Changed!$I40&lt;Base!$I40," ↓",""))</f>
        <v>30</v>
      </c>
      <c r="J40" s="7" t="str" cm="1">
        <f t="array" ref="J40">INDEX(Changed!$J:$J,ROW())&amp;IF(Changed!$J40&gt;Base!$J40,"↑",IF(Changed!$J40&lt;Base!$J40," ↓",""))</f>
        <v>15</v>
      </c>
      <c r="K40" s="7" t="str" cm="1">
        <f t="array" ref="K40">INDEX(Changed!$K:$K,ROW())&amp;IF(Changed!$K40&gt;Base!$K40,"↑",IF(Changed!$K40&lt;Base!$K40," ↓",""))</f>
        <v>40</v>
      </c>
      <c r="L40" s="7" t="str" cm="1">
        <f t="array" ref="L40">INDEX(Changed!$L:$L,ROW())&amp;IF(Changed!$L40&gt;Base!$L40,"↑",IF(Changed!$L40&lt;Base!$L40," ↓",""))</f>
        <v>20</v>
      </c>
      <c r="M40" s="7" t="str" cm="1">
        <f t="array" ref="M40">INDEX(Changed!$M:$M,ROW())&amp;IF(Changed!$M40&gt;Base!$M40,"↑",IF(Changed!$M40&lt;Base!$M40," ↓",""))</f>
        <v>15</v>
      </c>
      <c r="N40" s="19">
        <f>Changed!G40-Base!G40</f>
        <v>0</v>
      </c>
    </row>
    <row r="41" spans="1:14" ht="15.75" customHeight="1" x14ac:dyDescent="0.2">
      <c r="A41" s="4">
        <v>40</v>
      </c>
      <c r="B41" s="5" t="s">
        <v>66</v>
      </c>
      <c r="C41" s="6" t="str">
        <f>IF(Changed!C41&lt;&gt;"", Changed!C41, "")</f>
        <v>Normal</v>
      </c>
      <c r="D41" s="6" t="str">
        <f>IF(Changed!D41&lt;&gt;"", Changed!D41, "")</f>
        <v/>
      </c>
      <c r="E41" s="6" t="str">
        <f>IF(Changed!E41&lt;&gt;"", Changed!E41, "")</f>
        <v>Cute Charm</v>
      </c>
      <c r="F41" s="6" t="str">
        <f>IF(Changed!F41&lt;&gt;"", Changed!F41, "")</f>
        <v>Friend Guard</v>
      </c>
      <c r="G41" s="7" t="str" cm="1">
        <f t="array" ref="G41">INDEX(Changed!$G:$G,ROW())&amp;IF(Changed!$G41&gt;Base!$G41,"↑",IF(Changed!$G41&lt;Base!$G41," ↓",""))</f>
        <v>310↑</v>
      </c>
      <c r="H41" s="7" t="str" cm="1">
        <f t="array" ref="H41">INDEX(Changed!$H:$H,ROW())&amp;IF(Changed!$H41&gt;Base!$H41,"↑",IF(Changed!$H41&lt;Base!$H41," ↓",""))</f>
        <v>115</v>
      </c>
      <c r="I41" s="7" t="str" cm="1">
        <f t="array" ref="I41">INDEX(Changed!$I:$I,ROW())&amp;IF(Changed!$I41&gt;Base!$I41,"↑",IF(Changed!$I41&lt;Base!$I41," ↓",""))</f>
        <v>45</v>
      </c>
      <c r="J41" s="7" t="str" cm="1">
        <f t="array" ref="J41">INDEX(Changed!$J:$J,ROW())&amp;IF(Changed!$J41&gt;Base!$J41,"↑",IF(Changed!$J41&lt;Base!$J41," ↓",""))</f>
        <v>40↑</v>
      </c>
      <c r="K41" s="7" t="str" cm="1">
        <f t="array" ref="K41">INDEX(Changed!$K:$K,ROW())&amp;IF(Changed!$K41&gt;Base!$K41,"↑",IF(Changed!$K41&lt;Base!$K41," ↓",""))</f>
        <v>45</v>
      </c>
      <c r="L41" s="7" t="str" cm="1">
        <f t="array" ref="L41">INDEX(Changed!$L:$L,ROW())&amp;IF(Changed!$L41&gt;Base!$L41,"↑",IF(Changed!$L41&lt;Base!$L41," ↓",""))</f>
        <v>45↑</v>
      </c>
      <c r="M41" s="7" t="str" cm="1">
        <f t="array" ref="M41">INDEX(Changed!$M:$M,ROW())&amp;IF(Changed!$M41&gt;Base!$M41,"↑",IF(Changed!$M41&lt;Base!$M41," ↓",""))</f>
        <v>20</v>
      </c>
      <c r="N41" s="19">
        <f>Changed!G41-Base!G41</f>
        <v>40</v>
      </c>
    </row>
    <row r="42" spans="1:14" ht="15.75" customHeight="1" x14ac:dyDescent="0.2">
      <c r="A42" s="4">
        <v>41</v>
      </c>
      <c r="B42" s="5" t="s">
        <v>67</v>
      </c>
      <c r="C42" s="6" t="str">
        <f>IF(Changed!C42&lt;&gt;"", Changed!C42, "")</f>
        <v>Normal</v>
      </c>
      <c r="D42" s="6" t="str">
        <f>IF(Changed!D42&lt;&gt;"", Changed!D42, "")</f>
        <v/>
      </c>
      <c r="E42" s="6" t="str">
        <f>IF(Changed!E42&lt;&gt;"", Changed!E42, "")</f>
        <v>Cute Charm</v>
      </c>
      <c r="F42" s="6" t="str">
        <f>IF(Changed!F42&lt;&gt;"", Changed!F42, "")</f>
        <v>Friend Guard</v>
      </c>
      <c r="G42" s="7" t="str" cm="1">
        <f t="array" ref="G42">INDEX(Changed!$G:$G,ROW())&amp;IF(Changed!$G42&gt;Base!$G42,"↑",IF(Changed!$G42&lt;Base!$G42," ↓",""))</f>
        <v>455↑</v>
      </c>
      <c r="H42" s="7" t="str" cm="1">
        <f t="array" ref="H42">INDEX(Changed!$H:$H,ROW())&amp;IF(Changed!$H42&gt;Base!$H42,"↑",IF(Changed!$H42&lt;Base!$H42," ↓",""))</f>
        <v>140</v>
      </c>
      <c r="I42" s="7" t="str" cm="1">
        <f t="array" ref="I42">INDEX(Changed!$I:$I,ROW())&amp;IF(Changed!$I42&gt;Base!$I42,"↑",IF(Changed!$I42&lt;Base!$I42," ↓",""))</f>
        <v>100↑</v>
      </c>
      <c r="J42" s="7" t="str" cm="1">
        <f t="array" ref="J42">INDEX(Changed!$J:$J,ROW())&amp;IF(Changed!$J42&gt;Base!$J42,"↑",IF(Changed!$J42&lt;Base!$J42," ↓",""))</f>
        <v>45</v>
      </c>
      <c r="K42" s="7" t="str" cm="1">
        <f t="array" ref="K42">INDEX(Changed!$K:$K,ROW())&amp;IF(Changed!$K42&gt;Base!$K42,"↑",IF(Changed!$K42&lt;Base!$K42," ↓",""))</f>
        <v>75</v>
      </c>
      <c r="L42" s="7" t="str" cm="1">
        <f t="array" ref="L42">INDEX(Changed!$L:$L,ROW())&amp;IF(Changed!$L42&gt;Base!$L42,"↑",IF(Changed!$L42&lt;Base!$L42," ↓",""))</f>
        <v>50</v>
      </c>
      <c r="M42" s="7" t="str" cm="1">
        <f t="array" ref="M42">INDEX(Changed!$M:$M,ROW())&amp;IF(Changed!$M42&gt;Base!$M42,"↑",IF(Changed!$M42&lt;Base!$M42," ↓",""))</f>
        <v>45</v>
      </c>
      <c r="N42" s="19">
        <f>Changed!G42-Base!G42</f>
        <v>30</v>
      </c>
    </row>
    <row r="43" spans="1:14" ht="15.75" customHeight="1" x14ac:dyDescent="0.2">
      <c r="A43" s="4">
        <v>42</v>
      </c>
      <c r="B43" s="5" t="s">
        <v>68</v>
      </c>
      <c r="C43" s="6" t="str">
        <f>IF(Changed!C43&lt;&gt;"", Changed!C43, "")</f>
        <v>Poison</v>
      </c>
      <c r="D43" s="6" t="str">
        <f>IF(Changed!D43&lt;&gt;"", Changed!D43, "")</f>
        <v>Flying</v>
      </c>
      <c r="E43" s="6" t="str">
        <f>IF(Changed!E43&lt;&gt;"", Changed!E43, "")</f>
        <v>Inner Focus</v>
      </c>
      <c r="F43" s="6" t="str">
        <f>IF(Changed!F43&lt;&gt;"", Changed!F43, "")</f>
        <v xml:space="preserve">Infiltrator </v>
      </c>
      <c r="G43" s="7" t="str" cm="1">
        <f t="array" ref="G43">INDEX(Changed!$G:$G,ROW())&amp;IF(Changed!$G43&gt;Base!$G43,"↑",IF(Changed!$G43&lt;Base!$G43," ↓",""))</f>
        <v>245</v>
      </c>
      <c r="H43" s="7" t="str" cm="1">
        <f t="array" ref="H43">INDEX(Changed!$H:$H,ROW())&amp;IF(Changed!$H43&gt;Base!$H43,"↑",IF(Changed!$H43&lt;Base!$H43," ↓",""))</f>
        <v>40</v>
      </c>
      <c r="I43" s="7" t="str" cm="1">
        <f t="array" ref="I43">INDEX(Changed!$I:$I,ROW())&amp;IF(Changed!$I43&gt;Base!$I43,"↑",IF(Changed!$I43&lt;Base!$I43," ↓",""))</f>
        <v>45</v>
      </c>
      <c r="J43" s="7" t="str" cm="1">
        <f t="array" ref="J43">INDEX(Changed!$J:$J,ROW())&amp;IF(Changed!$J43&gt;Base!$J43,"↑",IF(Changed!$J43&lt;Base!$J43," ↓",""))</f>
        <v>35</v>
      </c>
      <c r="K43" s="7" t="str" cm="1">
        <f t="array" ref="K43">INDEX(Changed!$K:$K,ROW())&amp;IF(Changed!$K43&gt;Base!$K43,"↑",IF(Changed!$K43&lt;Base!$K43," ↓",""))</f>
        <v>30</v>
      </c>
      <c r="L43" s="7" t="str" cm="1">
        <f t="array" ref="L43">INDEX(Changed!$L:$L,ROW())&amp;IF(Changed!$L43&gt;Base!$L43,"↑",IF(Changed!$L43&lt;Base!$L43," ↓",""))</f>
        <v>40</v>
      </c>
      <c r="M43" s="7" t="str" cm="1">
        <f t="array" ref="M43">INDEX(Changed!$M:$M,ROW())&amp;IF(Changed!$M43&gt;Base!$M43,"↑",IF(Changed!$M43&lt;Base!$M43," ↓",""))</f>
        <v>55</v>
      </c>
      <c r="N43" s="19">
        <f>Changed!G43-Base!G43</f>
        <v>0</v>
      </c>
    </row>
    <row r="44" spans="1:14" ht="15.75" customHeight="1" x14ac:dyDescent="0.2">
      <c r="A44" s="4">
        <v>43</v>
      </c>
      <c r="B44" s="5" t="s">
        <v>69</v>
      </c>
      <c r="C44" s="6" t="str">
        <f>IF(Changed!C44&lt;&gt;"", Changed!C44, "")</f>
        <v>Poison</v>
      </c>
      <c r="D44" s="6" t="str">
        <f>IF(Changed!D44&lt;&gt;"", Changed!D44, "")</f>
        <v>Flying</v>
      </c>
      <c r="E44" s="6" t="str">
        <f>IF(Changed!E44&lt;&gt;"", Changed!E44, "")</f>
        <v>Inner Focus</v>
      </c>
      <c r="F44" s="6" t="str">
        <f>IF(Changed!F44&lt;&gt;"", Changed!F44, "")</f>
        <v xml:space="preserve">Infiltrator </v>
      </c>
      <c r="G44" s="7" t="str" cm="1">
        <f t="array" ref="G44">INDEX(Changed!$G:$G,ROW())&amp;IF(Changed!$G44&gt;Base!$G44,"↑",IF(Changed!$G44&lt;Base!$G44," ↓",""))</f>
        <v>455</v>
      </c>
      <c r="H44" s="7" t="str" cm="1">
        <f t="array" ref="H44">INDEX(Changed!$H:$H,ROW())&amp;IF(Changed!$H44&gt;Base!$H44,"↑",IF(Changed!$H44&lt;Base!$H44," ↓",""))</f>
        <v>75</v>
      </c>
      <c r="I44" s="7" t="str" cm="1">
        <f t="array" ref="I44">INDEX(Changed!$I:$I,ROW())&amp;IF(Changed!$I44&gt;Base!$I44,"↑",IF(Changed!$I44&lt;Base!$I44," ↓",""))</f>
        <v>80</v>
      </c>
      <c r="J44" s="7" t="str" cm="1">
        <f t="array" ref="J44">INDEX(Changed!$J:$J,ROW())&amp;IF(Changed!$J44&gt;Base!$J44,"↑",IF(Changed!$J44&lt;Base!$J44," ↓",""))</f>
        <v>70</v>
      </c>
      <c r="K44" s="7" t="str" cm="1">
        <f t="array" ref="K44">INDEX(Changed!$K:$K,ROW())&amp;IF(Changed!$K44&gt;Base!$K44,"↑",IF(Changed!$K44&lt;Base!$K44," ↓",""))</f>
        <v>65</v>
      </c>
      <c r="L44" s="7" t="str" cm="1">
        <f t="array" ref="L44">INDEX(Changed!$L:$L,ROW())&amp;IF(Changed!$L44&gt;Base!$L44,"↑",IF(Changed!$L44&lt;Base!$L44," ↓",""))</f>
        <v>75</v>
      </c>
      <c r="M44" s="7" t="str" cm="1">
        <f t="array" ref="M44">INDEX(Changed!$M:$M,ROW())&amp;IF(Changed!$M44&gt;Base!$M44,"↑",IF(Changed!$M44&lt;Base!$M44," ↓",""))</f>
        <v>90</v>
      </c>
      <c r="N44" s="19">
        <f>Changed!G44-Base!G44</f>
        <v>0</v>
      </c>
    </row>
    <row r="45" spans="1:14" ht="15.75" customHeight="1" x14ac:dyDescent="0.2">
      <c r="A45" s="4">
        <v>44</v>
      </c>
      <c r="B45" s="5" t="s">
        <v>203</v>
      </c>
      <c r="C45" s="6" t="str">
        <f>IF(Changed!C45&lt;&gt;"", Changed!C45, "")</f>
        <v>Poison</v>
      </c>
      <c r="D45" s="6" t="str">
        <f>IF(Changed!D45&lt;&gt;"", Changed!D45, "")</f>
        <v>Flying</v>
      </c>
      <c r="E45" s="6" t="str">
        <f>IF(Changed!E45&lt;&gt;"", Changed!E45, "")</f>
        <v>Inner Focus</v>
      </c>
      <c r="F45" s="6" t="str">
        <f>IF(Changed!F45&lt;&gt;"", Changed!F45, "")</f>
        <v xml:space="preserve">Infiltrator </v>
      </c>
      <c r="G45" s="7" t="str" cm="1">
        <f t="array" ref="G45">INDEX(Changed!$G:$G,ROW())&amp;IF(Changed!$G45&gt;Base!$G45,"↑",IF(Changed!$G45&lt;Base!$G45," ↓",""))</f>
        <v>535</v>
      </c>
      <c r="H45" s="7" t="str" cm="1">
        <f t="array" ref="H45">INDEX(Changed!$H:$H,ROW())&amp;IF(Changed!$H45&gt;Base!$H45,"↑",IF(Changed!$H45&lt;Base!$H45," ↓",""))</f>
        <v>85</v>
      </c>
      <c r="I45" s="7" t="str" cm="1">
        <f t="array" ref="I45">INDEX(Changed!$I:$I,ROW())&amp;IF(Changed!$I45&gt;Base!$I45,"↑",IF(Changed!$I45&lt;Base!$I45," ↓",""))</f>
        <v>90</v>
      </c>
      <c r="J45" s="7" t="str" cm="1">
        <f t="array" ref="J45">INDEX(Changed!$J:$J,ROW())&amp;IF(Changed!$J45&gt;Base!$J45,"↑",IF(Changed!$J45&lt;Base!$J45," ↓",""))</f>
        <v>80</v>
      </c>
      <c r="K45" s="7" t="str" cm="1">
        <f t="array" ref="K45">INDEX(Changed!$K:$K,ROW())&amp;IF(Changed!$K45&gt;Base!$K45,"↑",IF(Changed!$K45&lt;Base!$K45," ↓",""))</f>
        <v>70</v>
      </c>
      <c r="L45" s="7" t="str" cm="1">
        <f t="array" ref="L45">INDEX(Changed!$L:$L,ROW())&amp;IF(Changed!$L45&gt;Base!$L45,"↑",IF(Changed!$L45&lt;Base!$L45," ↓",""))</f>
        <v>80</v>
      </c>
      <c r="M45" s="7" t="str" cm="1">
        <f t="array" ref="M45">INDEX(Changed!$M:$M,ROW())&amp;IF(Changed!$M45&gt;Base!$M45,"↑",IF(Changed!$M45&lt;Base!$M45," ↓",""))</f>
        <v>130</v>
      </c>
      <c r="N45" s="19">
        <f>Changed!G45-Base!G45</f>
        <v>0</v>
      </c>
    </row>
    <row r="46" spans="1:14" ht="15.75" customHeight="1" x14ac:dyDescent="0.2">
      <c r="A46" s="4">
        <v>45</v>
      </c>
      <c r="B46" s="5" t="s">
        <v>70</v>
      </c>
      <c r="C46" s="6" t="str">
        <f>IF(Changed!C46&lt;&gt;"", Changed!C46, "")</f>
        <v>Grass</v>
      </c>
      <c r="D46" s="6" t="str">
        <f>IF(Changed!D46&lt;&gt;"", Changed!D46, "")</f>
        <v>Poison</v>
      </c>
      <c r="E46" s="6" t="str">
        <f>IF(Changed!E46&lt;&gt;"", Changed!E46, "")</f>
        <v>Effect Spore</v>
      </c>
      <c r="F46" s="6" t="str">
        <f>IF(Changed!F46&lt;&gt;"", Changed!F46, "")</f>
        <v>Merciless</v>
      </c>
      <c r="G46" s="7" t="str" cm="1">
        <f t="array" ref="G46">INDEX(Changed!$G:$G,ROW())&amp;IF(Changed!$G46&gt;Base!$G46,"↑",IF(Changed!$G46&lt;Base!$G46," ↓",""))</f>
        <v>320</v>
      </c>
      <c r="H46" s="7" t="str" cm="1">
        <f t="array" ref="H46">INDEX(Changed!$H:$H,ROW())&amp;IF(Changed!$H46&gt;Base!$H46,"↑",IF(Changed!$H46&lt;Base!$H46," ↓",""))</f>
        <v>45</v>
      </c>
      <c r="I46" s="7" t="str" cm="1">
        <f t="array" ref="I46">INDEX(Changed!$I:$I,ROW())&amp;IF(Changed!$I46&gt;Base!$I46,"↑",IF(Changed!$I46&lt;Base!$I46," ↓",""))</f>
        <v>50</v>
      </c>
      <c r="J46" s="7" t="str" cm="1">
        <f t="array" ref="J46">INDEX(Changed!$J:$J,ROW())&amp;IF(Changed!$J46&gt;Base!$J46,"↑",IF(Changed!$J46&lt;Base!$J46," ↓",""))</f>
        <v>55</v>
      </c>
      <c r="K46" s="7" t="str" cm="1">
        <f t="array" ref="K46">INDEX(Changed!$K:$K,ROW())&amp;IF(Changed!$K46&gt;Base!$K46,"↑",IF(Changed!$K46&lt;Base!$K46," ↓",""))</f>
        <v>75</v>
      </c>
      <c r="L46" s="7" t="str" cm="1">
        <f t="array" ref="L46">INDEX(Changed!$L:$L,ROW())&amp;IF(Changed!$L46&gt;Base!$L46,"↑",IF(Changed!$L46&lt;Base!$L46," ↓",""))</f>
        <v>65</v>
      </c>
      <c r="M46" s="7" t="str" cm="1">
        <f t="array" ref="M46">INDEX(Changed!$M:$M,ROW())&amp;IF(Changed!$M46&gt;Base!$M46,"↑",IF(Changed!$M46&lt;Base!$M46," ↓",""))</f>
        <v>30</v>
      </c>
      <c r="N46" s="19">
        <f>Changed!G46-Base!G46</f>
        <v>0</v>
      </c>
    </row>
    <row r="47" spans="1:14" ht="15.75" customHeight="1" x14ac:dyDescent="0.2">
      <c r="A47" s="4">
        <v>46</v>
      </c>
      <c r="B47" s="5" t="s">
        <v>71</v>
      </c>
      <c r="C47" s="6" t="str">
        <f>IF(Changed!C47&lt;&gt;"", Changed!C47, "")</f>
        <v>Grass</v>
      </c>
      <c r="D47" s="6" t="str">
        <f>IF(Changed!D47&lt;&gt;"", Changed!D47, "")</f>
        <v>Poison</v>
      </c>
      <c r="E47" s="6" t="str">
        <f>IF(Changed!E47&lt;&gt;"", Changed!E47, "")</f>
        <v>Effect Spore</v>
      </c>
      <c r="F47" s="6" t="str">
        <f>IF(Changed!F47&lt;&gt;"", Changed!F47, "")</f>
        <v>Merciless</v>
      </c>
      <c r="G47" s="7" t="str" cm="1">
        <f t="array" ref="G47">INDEX(Changed!$G:$G,ROW())&amp;IF(Changed!$G47&gt;Base!$G47,"↑",IF(Changed!$G47&lt;Base!$G47," ↓",""))</f>
        <v>395</v>
      </c>
      <c r="H47" s="7" t="str" cm="1">
        <f t="array" ref="H47">INDEX(Changed!$H:$H,ROW())&amp;IF(Changed!$H47&gt;Base!$H47,"↑",IF(Changed!$H47&lt;Base!$H47," ↓",""))</f>
        <v>60</v>
      </c>
      <c r="I47" s="7" t="str" cm="1">
        <f t="array" ref="I47">INDEX(Changed!$I:$I,ROW())&amp;IF(Changed!$I47&gt;Base!$I47,"↑",IF(Changed!$I47&lt;Base!$I47," ↓",""))</f>
        <v>65</v>
      </c>
      <c r="J47" s="7" t="str" cm="1">
        <f t="array" ref="J47">INDEX(Changed!$J:$J,ROW())&amp;IF(Changed!$J47&gt;Base!$J47,"↑",IF(Changed!$J47&lt;Base!$J47," ↓",""))</f>
        <v>70</v>
      </c>
      <c r="K47" s="7" t="str" cm="1">
        <f t="array" ref="K47">INDEX(Changed!$K:$K,ROW())&amp;IF(Changed!$K47&gt;Base!$K47,"↑",IF(Changed!$K47&lt;Base!$K47," ↓",""))</f>
        <v>85</v>
      </c>
      <c r="L47" s="7" t="str" cm="1">
        <f t="array" ref="L47">INDEX(Changed!$L:$L,ROW())&amp;IF(Changed!$L47&gt;Base!$L47,"↑",IF(Changed!$L47&lt;Base!$L47," ↓",""))</f>
        <v>75</v>
      </c>
      <c r="M47" s="7" t="str" cm="1">
        <f t="array" ref="M47">INDEX(Changed!$M:$M,ROW())&amp;IF(Changed!$M47&gt;Base!$M47,"↑",IF(Changed!$M47&lt;Base!$M47," ↓",""))</f>
        <v>40</v>
      </c>
      <c r="N47" s="19">
        <f>Changed!G47-Base!G47</f>
        <v>0</v>
      </c>
    </row>
    <row r="48" spans="1:14" ht="15.75" customHeight="1" x14ac:dyDescent="0.2">
      <c r="A48" s="4">
        <v>47</v>
      </c>
      <c r="B48" s="5" t="s">
        <v>72</v>
      </c>
      <c r="C48" s="6" t="str">
        <f>IF(Changed!C48&lt;&gt;"", Changed!C48, "")</f>
        <v>Grass</v>
      </c>
      <c r="D48" s="6" t="str">
        <f>IF(Changed!D48&lt;&gt;"", Changed!D48, "")</f>
        <v>Poison</v>
      </c>
      <c r="E48" s="6" t="str">
        <f>IF(Changed!E48&lt;&gt;"", Changed!E48, "")</f>
        <v>Effect Spore</v>
      </c>
      <c r="F48" s="6" t="str">
        <f>IF(Changed!F48&lt;&gt;"", Changed!F48, "")</f>
        <v>Merciless</v>
      </c>
      <c r="G48" s="7" t="str" cm="1">
        <f t="array" ref="G48">INDEX(Changed!$G:$G,ROW())&amp;IF(Changed!$G48&gt;Base!$G48,"↑",IF(Changed!$G48&lt;Base!$G48," ↓",""))</f>
        <v>490↑</v>
      </c>
      <c r="H48" s="7" t="str" cm="1">
        <f t="array" ref="H48">INDEX(Changed!$H:$H,ROW())&amp;IF(Changed!$H48&gt;Base!$H48,"↑",IF(Changed!$H48&lt;Base!$H48," ↓",""))</f>
        <v>75</v>
      </c>
      <c r="I48" s="7" t="str" cm="1">
        <f t="array" ref="I48">INDEX(Changed!$I:$I,ROW())&amp;IF(Changed!$I48&gt;Base!$I48,"↑",IF(Changed!$I48&lt;Base!$I48," ↓",""))</f>
        <v>80</v>
      </c>
      <c r="J48" s="7" t="str" cm="1">
        <f t="array" ref="J48">INDEX(Changed!$J:$J,ROW())&amp;IF(Changed!$J48&gt;Base!$J48,"↑",IF(Changed!$J48&lt;Base!$J48," ↓",""))</f>
        <v>95↑</v>
      </c>
      <c r="K48" s="7" t="str" cm="1">
        <f t="array" ref="K48">INDEX(Changed!$K:$K,ROW())&amp;IF(Changed!$K48&gt;Base!$K48,"↑",IF(Changed!$K48&lt;Base!$K48," ↓",""))</f>
        <v>100</v>
      </c>
      <c r="L48" s="7" t="str" cm="1">
        <f t="array" ref="L48">INDEX(Changed!$L:$L,ROW())&amp;IF(Changed!$L48&gt;Base!$L48,"↑",IF(Changed!$L48&lt;Base!$L48," ↓",""))</f>
        <v>90</v>
      </c>
      <c r="M48" s="7" t="str" cm="1">
        <f t="array" ref="M48">INDEX(Changed!$M:$M,ROW())&amp;IF(Changed!$M48&gt;Base!$M48,"↑",IF(Changed!$M48&lt;Base!$M48," ↓",""))</f>
        <v>50</v>
      </c>
      <c r="N48" s="19">
        <f>Changed!G48-Base!G48</f>
        <v>10</v>
      </c>
    </row>
    <row r="49" spans="1:14" ht="15.75" customHeight="1" x14ac:dyDescent="0.2">
      <c r="A49" s="4">
        <v>48</v>
      </c>
      <c r="B49" s="5" t="s">
        <v>216</v>
      </c>
      <c r="C49" s="6" t="str">
        <f>IF(Changed!C49&lt;&gt;"", Changed!C49, "")</f>
        <v>Grass</v>
      </c>
      <c r="D49" s="6" t="str">
        <f>IF(Changed!D49&lt;&gt;"", Changed!D49, "")</f>
        <v/>
      </c>
      <c r="E49" s="6" t="str">
        <f>IF(Changed!E49&lt;&gt;"", Changed!E49, "")</f>
        <v>Healer</v>
      </c>
      <c r="F49" s="6" t="str">
        <f>IF(Changed!F49&lt;&gt;"", Changed!F49, "")</f>
        <v>Chlorophyll</v>
      </c>
      <c r="G49" s="7" t="str" cm="1">
        <f t="array" ref="G49">INDEX(Changed!$G:$G,ROW())&amp;IF(Changed!$G49&gt;Base!$G49,"↑",IF(Changed!$G49&lt;Base!$G49," ↓",""))</f>
        <v>490</v>
      </c>
      <c r="H49" s="7" t="str" cm="1">
        <f t="array" ref="H49">INDEX(Changed!$H:$H,ROW())&amp;IF(Changed!$H49&gt;Base!$H49,"↑",IF(Changed!$H49&lt;Base!$H49," ↓",""))</f>
        <v>75</v>
      </c>
      <c r="I49" s="7" t="str" cm="1">
        <f t="array" ref="I49">INDEX(Changed!$I:$I,ROW())&amp;IF(Changed!$I49&gt;Base!$I49,"↑",IF(Changed!$I49&lt;Base!$I49," ↓",""))</f>
        <v>60 ↓</v>
      </c>
      <c r="J49" s="7" t="str" cm="1">
        <f t="array" ref="J49">INDEX(Changed!$J:$J,ROW())&amp;IF(Changed!$J49&gt;Base!$J49,"↑",IF(Changed!$J49&lt;Base!$J49," ↓",""))</f>
        <v>95</v>
      </c>
      <c r="K49" s="7" t="str" cm="1">
        <f t="array" ref="K49">INDEX(Changed!$K:$K,ROW())&amp;IF(Changed!$K49&gt;Base!$K49,"↑",IF(Changed!$K49&lt;Base!$K49," ↓",""))</f>
        <v>90</v>
      </c>
      <c r="L49" s="7" t="str" cm="1">
        <f t="array" ref="L49">INDEX(Changed!$L:$L,ROW())&amp;IF(Changed!$L49&gt;Base!$L49,"↑",IF(Changed!$L49&lt;Base!$L49," ↓",""))</f>
        <v>100</v>
      </c>
      <c r="M49" s="7" t="str" cm="1">
        <f t="array" ref="M49">INDEX(Changed!$M:$M,ROW())&amp;IF(Changed!$M49&gt;Base!$M49,"↑",IF(Changed!$M49&lt;Base!$M49," ↓",""))</f>
        <v>70↑</v>
      </c>
      <c r="N49" s="19">
        <f>Changed!G49-Base!G49</f>
        <v>0</v>
      </c>
    </row>
    <row r="50" spans="1:14" ht="15.75" customHeight="1" x14ac:dyDescent="0.2">
      <c r="A50" s="4">
        <v>49</v>
      </c>
      <c r="B50" s="5" t="s">
        <v>73</v>
      </c>
      <c r="C50" s="6" t="str">
        <f>IF(Changed!C50&lt;&gt;"", Changed!C50, "")</f>
        <v>Bug</v>
      </c>
      <c r="D50" s="6" t="str">
        <f>IF(Changed!D50&lt;&gt;"", Changed!D50, "")</f>
        <v>None</v>
      </c>
      <c r="E50" s="6" t="str">
        <f>IF(Changed!E50&lt;&gt;"", Changed!E50, "")</f>
        <v>Effect Spore</v>
      </c>
      <c r="F50" s="6" t="str">
        <f>IF(Changed!F50&lt;&gt;"", Changed!F50, "")</f>
        <v>Dry Skin</v>
      </c>
      <c r="G50" s="7" t="str" cm="1">
        <f t="array" ref="G50">INDEX(Changed!$G:$G,ROW())&amp;IF(Changed!$G50&gt;Base!$G50,"↑",IF(Changed!$G50&lt;Base!$G50," ↓",""))</f>
        <v>285</v>
      </c>
      <c r="H50" s="7" t="str" cm="1">
        <f t="array" ref="H50">INDEX(Changed!$H:$H,ROW())&amp;IF(Changed!$H50&gt;Base!$H50,"↑",IF(Changed!$H50&lt;Base!$H50," ↓",""))</f>
        <v>35</v>
      </c>
      <c r="I50" s="7" t="str" cm="1">
        <f t="array" ref="I50">INDEX(Changed!$I:$I,ROW())&amp;IF(Changed!$I50&gt;Base!$I50,"↑",IF(Changed!$I50&lt;Base!$I50," ↓",""))</f>
        <v>70</v>
      </c>
      <c r="J50" s="7" t="str" cm="1">
        <f t="array" ref="J50">INDEX(Changed!$J:$J,ROW())&amp;IF(Changed!$J50&gt;Base!$J50,"↑",IF(Changed!$J50&lt;Base!$J50," ↓",""))</f>
        <v>55</v>
      </c>
      <c r="K50" s="7" t="str" cm="1">
        <f t="array" ref="K50">INDEX(Changed!$K:$K,ROW())&amp;IF(Changed!$K50&gt;Base!$K50,"↑",IF(Changed!$K50&lt;Base!$K50," ↓",""))</f>
        <v>45</v>
      </c>
      <c r="L50" s="7" t="str" cm="1">
        <f t="array" ref="L50">INDEX(Changed!$L:$L,ROW())&amp;IF(Changed!$L50&gt;Base!$L50,"↑",IF(Changed!$L50&lt;Base!$L50," ↓",""))</f>
        <v>55</v>
      </c>
      <c r="M50" s="7" t="str" cm="1">
        <f t="array" ref="M50">INDEX(Changed!$M:$M,ROW())&amp;IF(Changed!$M50&gt;Base!$M50,"↑",IF(Changed!$M50&lt;Base!$M50," ↓",""))</f>
        <v>25</v>
      </c>
      <c r="N50" s="19">
        <f>Changed!G50-Base!G50</f>
        <v>0</v>
      </c>
    </row>
    <row r="51" spans="1:14" ht="15.75" customHeight="1" x14ac:dyDescent="0.2">
      <c r="A51" s="4">
        <v>50</v>
      </c>
      <c r="B51" s="5" t="s">
        <v>74</v>
      </c>
      <c r="C51" s="6" t="str">
        <f>IF(Changed!C51&lt;&gt;"", Changed!C51, "")</f>
        <v>Bug</v>
      </c>
      <c r="D51" s="6" t="str">
        <f>IF(Changed!D51&lt;&gt;"", Changed!D51, "")</f>
        <v>Ghost</v>
      </c>
      <c r="E51" s="6" t="str">
        <f>IF(Changed!E51&lt;&gt;"", Changed!E51, "")</f>
        <v>Effect Spore</v>
      </c>
      <c r="F51" s="6" t="str">
        <f>IF(Changed!F51&lt;&gt;"", Changed!F51, "")</f>
        <v>Dry Skin</v>
      </c>
      <c r="G51" s="7" t="str" cm="1">
        <f t="array" ref="G51">INDEX(Changed!$G:$G,ROW())&amp;IF(Changed!$G51&gt;Base!$G51,"↑",IF(Changed!$G51&lt;Base!$G51," ↓",""))</f>
        <v>430↑</v>
      </c>
      <c r="H51" s="7" t="str" cm="1">
        <f t="array" ref="H51">INDEX(Changed!$H:$H,ROW())&amp;IF(Changed!$H51&gt;Base!$H51,"↑",IF(Changed!$H51&lt;Base!$H51," ↓",""))</f>
        <v>40 ↓</v>
      </c>
      <c r="I51" s="7" t="str" cm="1">
        <f t="array" ref="I51">INDEX(Changed!$I:$I,ROW())&amp;IF(Changed!$I51&gt;Base!$I51,"↑",IF(Changed!$I51&lt;Base!$I51," ↓",""))</f>
        <v>95</v>
      </c>
      <c r="J51" s="7" t="str" cm="1">
        <f t="array" ref="J51">INDEX(Changed!$J:$J,ROW())&amp;IF(Changed!$J51&gt;Base!$J51,"↑",IF(Changed!$J51&lt;Base!$J51," ↓",""))</f>
        <v>105↑</v>
      </c>
      <c r="K51" s="7" t="str" cm="1">
        <f t="array" ref="K51">INDEX(Changed!$K:$K,ROW())&amp;IF(Changed!$K51&gt;Base!$K51,"↑",IF(Changed!$K51&lt;Base!$K51," ↓",""))</f>
        <v>60</v>
      </c>
      <c r="L51" s="7" t="str" cm="1">
        <f t="array" ref="L51">INDEX(Changed!$L:$L,ROW())&amp;IF(Changed!$L51&gt;Base!$L51,"↑",IF(Changed!$L51&lt;Base!$L51," ↓",""))</f>
        <v>100↑</v>
      </c>
      <c r="M51" s="7" t="str" cm="1">
        <f t="array" ref="M51">INDEX(Changed!$M:$M,ROW())&amp;IF(Changed!$M51&gt;Base!$M51,"↑",IF(Changed!$M51&lt;Base!$M51," ↓",""))</f>
        <v>30</v>
      </c>
      <c r="N51" s="19">
        <f>Changed!G51-Base!G51</f>
        <v>25</v>
      </c>
    </row>
    <row r="52" spans="1:14" ht="15.75" customHeight="1" x14ac:dyDescent="0.2">
      <c r="A52" s="4">
        <v>51</v>
      </c>
      <c r="B52" s="5" t="s">
        <v>75</v>
      </c>
      <c r="C52" s="6" t="str">
        <f>IF(Changed!C52&lt;&gt;"", Changed!C52, "")</f>
        <v>Bug</v>
      </c>
      <c r="D52" s="6" t="str">
        <f>IF(Changed!D52&lt;&gt;"", Changed!D52, "")</f>
        <v>Poison</v>
      </c>
      <c r="E52" s="6" t="str">
        <f>IF(Changed!E52&lt;&gt;"", Changed!E52, "")</f>
        <v>Compound Eyes</v>
      </c>
      <c r="F52" s="6" t="str">
        <f>IF(Changed!F52&lt;&gt;"", Changed!F52, "")</f>
        <v>Tinted Lens</v>
      </c>
      <c r="G52" s="7" t="str" cm="1">
        <f t="array" ref="G52">INDEX(Changed!$G:$G,ROW())&amp;IF(Changed!$G52&gt;Base!$G52,"↑",IF(Changed!$G52&lt;Base!$G52," ↓",""))</f>
        <v>305</v>
      </c>
      <c r="H52" s="7" t="str" cm="1">
        <f t="array" ref="H52">INDEX(Changed!$H:$H,ROW())&amp;IF(Changed!$H52&gt;Base!$H52,"↑",IF(Changed!$H52&lt;Base!$H52," ↓",""))</f>
        <v>60</v>
      </c>
      <c r="I52" s="7" t="str" cm="1">
        <f t="array" ref="I52">INDEX(Changed!$I:$I,ROW())&amp;IF(Changed!$I52&gt;Base!$I52,"↑",IF(Changed!$I52&lt;Base!$I52," ↓",""))</f>
        <v>55</v>
      </c>
      <c r="J52" s="7" t="str" cm="1">
        <f t="array" ref="J52">INDEX(Changed!$J:$J,ROW())&amp;IF(Changed!$J52&gt;Base!$J52,"↑",IF(Changed!$J52&lt;Base!$J52," ↓",""))</f>
        <v>50</v>
      </c>
      <c r="K52" s="7" t="str" cm="1">
        <f t="array" ref="K52">INDEX(Changed!$K:$K,ROW())&amp;IF(Changed!$K52&gt;Base!$K52,"↑",IF(Changed!$K52&lt;Base!$K52," ↓",""))</f>
        <v>40</v>
      </c>
      <c r="L52" s="7" t="str" cm="1">
        <f t="array" ref="L52">INDEX(Changed!$L:$L,ROW())&amp;IF(Changed!$L52&gt;Base!$L52,"↑",IF(Changed!$L52&lt;Base!$L52," ↓",""))</f>
        <v>55</v>
      </c>
      <c r="M52" s="7" t="str" cm="1">
        <f t="array" ref="M52">INDEX(Changed!$M:$M,ROW())&amp;IF(Changed!$M52&gt;Base!$M52,"↑",IF(Changed!$M52&lt;Base!$M52," ↓",""))</f>
        <v>45</v>
      </c>
      <c r="N52" s="19">
        <f>Changed!G52-Base!G52</f>
        <v>0</v>
      </c>
    </row>
    <row r="53" spans="1:14" ht="15.75" customHeight="1" x14ac:dyDescent="0.2">
      <c r="A53" s="4">
        <v>52</v>
      </c>
      <c r="B53" s="5" t="s">
        <v>76</v>
      </c>
      <c r="C53" s="6" t="str">
        <f>IF(Changed!C53&lt;&gt;"", Changed!C53, "")</f>
        <v>Bug</v>
      </c>
      <c r="D53" s="6" t="str">
        <f>IF(Changed!D53&lt;&gt;"", Changed!D53, "")</f>
        <v>Poison</v>
      </c>
      <c r="E53" s="6" t="str">
        <f>IF(Changed!E53&lt;&gt;"", Changed!E53, "")</f>
        <v>Shield Dust</v>
      </c>
      <c r="F53" s="6" t="str">
        <f>IF(Changed!F53&lt;&gt;"", Changed!F53, "")</f>
        <v>Tinted Lens</v>
      </c>
      <c r="G53" s="7" t="str" cm="1">
        <f t="array" ref="G53">INDEX(Changed!$G:$G,ROW())&amp;IF(Changed!$G53&gt;Base!$G53,"↑",IF(Changed!$G53&lt;Base!$G53," ↓",""))</f>
        <v>455↑</v>
      </c>
      <c r="H53" s="7" t="str" cm="1">
        <f t="array" ref="H53">INDEX(Changed!$H:$H,ROW())&amp;IF(Changed!$H53&gt;Base!$H53,"↑",IF(Changed!$H53&lt;Base!$H53," ↓",""))</f>
        <v>70</v>
      </c>
      <c r="I53" s="7" t="str" cm="1">
        <f t="array" ref="I53">INDEX(Changed!$I:$I,ROW())&amp;IF(Changed!$I53&gt;Base!$I53,"↑",IF(Changed!$I53&lt;Base!$I53," ↓",""))</f>
        <v>65</v>
      </c>
      <c r="J53" s="7" t="str" cm="1">
        <f t="array" ref="J53">INDEX(Changed!$J:$J,ROW())&amp;IF(Changed!$J53&gt;Base!$J53,"↑",IF(Changed!$J53&lt;Base!$J53," ↓",""))</f>
        <v>60</v>
      </c>
      <c r="K53" s="7" t="str" cm="1">
        <f t="array" ref="K53">INDEX(Changed!$K:$K,ROW())&amp;IF(Changed!$K53&gt;Base!$K53,"↑",IF(Changed!$K53&lt;Base!$K53," ↓",""))</f>
        <v>100↑</v>
      </c>
      <c r="L53" s="7" t="str" cm="1">
        <f t="array" ref="L53">INDEX(Changed!$L:$L,ROW())&amp;IF(Changed!$L53&gt;Base!$L53,"↑",IF(Changed!$L53&lt;Base!$L53," ↓",""))</f>
        <v>70 ↓</v>
      </c>
      <c r="M53" s="7" t="str" cm="1">
        <f t="array" ref="M53">INDEX(Changed!$M:$M,ROW())&amp;IF(Changed!$M53&gt;Base!$M53,"↑",IF(Changed!$M53&lt;Base!$M53," ↓",""))</f>
        <v>90</v>
      </c>
      <c r="N53" s="19">
        <f>Changed!G53-Base!G53</f>
        <v>5</v>
      </c>
    </row>
    <row r="54" spans="1:14" ht="15.75" customHeight="1" x14ac:dyDescent="0.2">
      <c r="A54" s="4">
        <v>53</v>
      </c>
      <c r="B54" s="5" t="s">
        <v>77</v>
      </c>
      <c r="C54" s="6" t="str">
        <f>IF(Changed!C54&lt;&gt;"", Changed!C54, "")</f>
        <v>Ground</v>
      </c>
      <c r="D54" s="6" t="str">
        <f>IF(Changed!D54&lt;&gt;"", Changed!D54, "")</f>
        <v/>
      </c>
      <c r="E54" s="6" t="str">
        <f>IF(Changed!E54&lt;&gt;"", Changed!E54, "")</f>
        <v>Parental Bond</v>
      </c>
      <c r="F54" s="6" t="str">
        <f>IF(Changed!F54&lt;&gt;"", Changed!F54, "")</f>
        <v>Arena Trap</v>
      </c>
      <c r="G54" s="7" t="str" cm="1">
        <f t="array" ref="G54">INDEX(Changed!$G:$G,ROW())&amp;IF(Changed!$G54&gt;Base!$G54,"↑",IF(Changed!$G54&lt;Base!$G54," ↓",""))</f>
        <v>265</v>
      </c>
      <c r="H54" s="7" t="str" cm="1">
        <f t="array" ref="H54">INDEX(Changed!$H:$H,ROW())&amp;IF(Changed!$H54&gt;Base!$H54,"↑",IF(Changed!$H54&lt;Base!$H54," ↓",""))</f>
        <v>10</v>
      </c>
      <c r="I54" s="7" t="str" cm="1">
        <f t="array" ref="I54">INDEX(Changed!$I:$I,ROW())&amp;IF(Changed!$I54&gt;Base!$I54,"↑",IF(Changed!$I54&lt;Base!$I54," ↓",""))</f>
        <v>55</v>
      </c>
      <c r="J54" s="7" t="str" cm="1">
        <f t="array" ref="J54">INDEX(Changed!$J:$J,ROW())&amp;IF(Changed!$J54&gt;Base!$J54,"↑",IF(Changed!$J54&lt;Base!$J54," ↓",""))</f>
        <v>25</v>
      </c>
      <c r="K54" s="7" t="str" cm="1">
        <f t="array" ref="K54">INDEX(Changed!$K:$K,ROW())&amp;IF(Changed!$K54&gt;Base!$K54,"↑",IF(Changed!$K54&lt;Base!$K54," ↓",""))</f>
        <v>35</v>
      </c>
      <c r="L54" s="7" t="str" cm="1">
        <f t="array" ref="L54">INDEX(Changed!$L:$L,ROW())&amp;IF(Changed!$L54&gt;Base!$L54,"↑",IF(Changed!$L54&lt;Base!$L54," ↓",""))</f>
        <v>45</v>
      </c>
      <c r="M54" s="7" t="str" cm="1">
        <f t="array" ref="M54">INDEX(Changed!$M:$M,ROW())&amp;IF(Changed!$M54&gt;Base!$M54,"↑",IF(Changed!$M54&lt;Base!$M54," ↓",""))</f>
        <v>95</v>
      </c>
      <c r="N54" s="19">
        <f>Changed!G54-Base!G54</f>
        <v>0</v>
      </c>
    </row>
    <row r="55" spans="1:14" ht="15.75" customHeight="1" x14ac:dyDescent="0.2">
      <c r="A55" s="4">
        <v>54</v>
      </c>
      <c r="B55" s="5" t="s">
        <v>78</v>
      </c>
      <c r="C55" s="6" t="str">
        <f>IF(Changed!C55&lt;&gt;"", Changed!C55, "")</f>
        <v>Ground</v>
      </c>
      <c r="D55" s="6" t="str">
        <f>IF(Changed!D55&lt;&gt;"", Changed!D55, "")</f>
        <v/>
      </c>
      <c r="E55" s="6" t="str">
        <f>IF(Changed!E55&lt;&gt;"", Changed!E55, "")</f>
        <v>Parental Bond</v>
      </c>
      <c r="F55" s="6" t="str">
        <f>IF(Changed!F55&lt;&gt;"", Changed!F55, "")</f>
        <v>Arena Trap</v>
      </c>
      <c r="G55" s="7" t="str" cm="1">
        <f t="array" ref="G55">INDEX(Changed!$G:$G,ROW())&amp;IF(Changed!$G55&gt;Base!$G55,"↑",IF(Changed!$G55&lt;Base!$G55," ↓",""))</f>
        <v>425</v>
      </c>
      <c r="H55" s="7" t="str" cm="1">
        <f t="array" ref="H55">INDEX(Changed!$H:$H,ROW())&amp;IF(Changed!$H55&gt;Base!$H55,"↑",IF(Changed!$H55&lt;Base!$H55," ↓",""))</f>
        <v>35</v>
      </c>
      <c r="I55" s="7" t="str" cm="1">
        <f t="array" ref="I55">INDEX(Changed!$I:$I,ROW())&amp;IF(Changed!$I55&gt;Base!$I55,"↑",IF(Changed!$I55&lt;Base!$I55," ↓",""))</f>
        <v>100</v>
      </c>
      <c r="J55" s="7" t="str" cm="1">
        <f t="array" ref="J55">INDEX(Changed!$J:$J,ROW())&amp;IF(Changed!$J55&gt;Base!$J55,"↑",IF(Changed!$J55&lt;Base!$J55," ↓",""))</f>
        <v>50</v>
      </c>
      <c r="K55" s="7" t="str" cm="1">
        <f t="array" ref="K55">INDEX(Changed!$K:$K,ROW())&amp;IF(Changed!$K55&gt;Base!$K55,"↑",IF(Changed!$K55&lt;Base!$K55," ↓",""))</f>
        <v>50</v>
      </c>
      <c r="L55" s="7" t="str" cm="1">
        <f t="array" ref="L55">INDEX(Changed!$L:$L,ROW())&amp;IF(Changed!$L55&gt;Base!$L55,"↑",IF(Changed!$L55&lt;Base!$L55," ↓",""))</f>
        <v>70</v>
      </c>
      <c r="M55" s="7" t="str" cm="1">
        <f t="array" ref="M55">INDEX(Changed!$M:$M,ROW())&amp;IF(Changed!$M55&gt;Base!$M55,"↑",IF(Changed!$M55&lt;Base!$M55," ↓",""))</f>
        <v>120</v>
      </c>
      <c r="N55" s="19">
        <f>Changed!G55-Base!G55</f>
        <v>0</v>
      </c>
    </row>
    <row r="56" spans="1:14" ht="15.75" customHeight="1" x14ac:dyDescent="0.2">
      <c r="A56" s="4">
        <v>55</v>
      </c>
      <c r="B56" s="5" t="s">
        <v>79</v>
      </c>
      <c r="C56" s="6" t="str">
        <f>IF(Changed!C56&lt;&gt;"", Changed!C56, "")</f>
        <v>Normal</v>
      </c>
      <c r="D56" s="6" t="str">
        <f>IF(Changed!D56&lt;&gt;"", Changed!D56, "")</f>
        <v/>
      </c>
      <c r="E56" s="6" t="str">
        <f>IF(Changed!E56&lt;&gt;"", Changed!E56, "")</f>
        <v xml:space="preserve">Pickup </v>
      </c>
      <c r="F56" s="6" t="str">
        <f>IF(Changed!F56&lt;&gt;"", Changed!F56, "")</f>
        <v>Technician</v>
      </c>
      <c r="G56" s="7" t="str" cm="1">
        <f t="array" ref="G56">INDEX(Changed!$G:$G,ROW())&amp;IF(Changed!$G56&gt;Base!$G56,"↑",IF(Changed!$G56&lt;Base!$G56," ↓",""))</f>
        <v>290</v>
      </c>
      <c r="H56" s="7" t="str" cm="1">
        <f t="array" ref="H56">INDEX(Changed!$H:$H,ROW())&amp;IF(Changed!$H56&gt;Base!$H56,"↑",IF(Changed!$H56&lt;Base!$H56," ↓",""))</f>
        <v>40</v>
      </c>
      <c r="I56" s="7" t="str" cm="1">
        <f t="array" ref="I56">INDEX(Changed!$I:$I,ROW())&amp;IF(Changed!$I56&gt;Base!$I56,"↑",IF(Changed!$I56&lt;Base!$I56," ↓",""))</f>
        <v>45</v>
      </c>
      <c r="J56" s="7" t="str" cm="1">
        <f t="array" ref="J56">INDEX(Changed!$J:$J,ROW())&amp;IF(Changed!$J56&gt;Base!$J56,"↑",IF(Changed!$J56&lt;Base!$J56," ↓",""))</f>
        <v>35</v>
      </c>
      <c r="K56" s="7" t="str" cm="1">
        <f t="array" ref="K56">INDEX(Changed!$K:$K,ROW())&amp;IF(Changed!$K56&gt;Base!$K56,"↑",IF(Changed!$K56&lt;Base!$K56," ↓",""))</f>
        <v>40</v>
      </c>
      <c r="L56" s="7" t="str" cm="1">
        <f t="array" ref="L56">INDEX(Changed!$L:$L,ROW())&amp;IF(Changed!$L56&gt;Base!$L56,"↑",IF(Changed!$L56&lt;Base!$L56," ↓",""))</f>
        <v>40</v>
      </c>
      <c r="M56" s="7" t="str" cm="1">
        <f t="array" ref="M56">INDEX(Changed!$M:$M,ROW())&amp;IF(Changed!$M56&gt;Base!$M56,"↑",IF(Changed!$M56&lt;Base!$M56," ↓",""))</f>
        <v>90</v>
      </c>
      <c r="N56" s="19">
        <f>Changed!G56-Base!G56</f>
        <v>0</v>
      </c>
    </row>
    <row r="57" spans="1:14" ht="15.75" customHeight="1" x14ac:dyDescent="0.2">
      <c r="A57" s="4">
        <v>56</v>
      </c>
      <c r="B57" s="5" t="s">
        <v>80</v>
      </c>
      <c r="C57" s="6" t="str">
        <f>IF(Changed!C57&lt;&gt;"", Changed!C57, "")</f>
        <v>Normal</v>
      </c>
      <c r="D57" s="6" t="str">
        <f>IF(Changed!D57&lt;&gt;"", Changed!D57, "")</f>
        <v/>
      </c>
      <c r="E57" s="6" t="str">
        <f>IF(Changed!E57&lt;&gt;"", Changed!E57, "")</f>
        <v>Limber</v>
      </c>
      <c r="F57" s="6" t="str">
        <f>IF(Changed!F57&lt;&gt;"", Changed!F57, "")</f>
        <v>Technician</v>
      </c>
      <c r="G57" s="7" t="str" cm="1">
        <f t="array" ref="G57">INDEX(Changed!$G:$G,ROW())&amp;IF(Changed!$G57&gt;Base!$G57,"↑",IF(Changed!$G57&lt;Base!$G57," ↓",""))</f>
        <v>440</v>
      </c>
      <c r="H57" s="7" t="str" cm="1">
        <f t="array" ref="H57">INDEX(Changed!$H:$H,ROW())&amp;IF(Changed!$H57&gt;Base!$H57,"↑",IF(Changed!$H57&lt;Base!$H57," ↓",""))</f>
        <v>65</v>
      </c>
      <c r="I57" s="7" t="str" cm="1">
        <f t="array" ref="I57">INDEX(Changed!$I:$I,ROW())&amp;IF(Changed!$I57&gt;Base!$I57,"↑",IF(Changed!$I57&lt;Base!$I57," ↓",""))</f>
        <v>70</v>
      </c>
      <c r="J57" s="7" t="str" cm="1">
        <f t="array" ref="J57">INDEX(Changed!$J:$J,ROW())&amp;IF(Changed!$J57&gt;Base!$J57,"↑",IF(Changed!$J57&lt;Base!$J57," ↓",""))</f>
        <v>60</v>
      </c>
      <c r="K57" s="7" t="str" cm="1">
        <f t="array" ref="K57">INDEX(Changed!$K:$K,ROW())&amp;IF(Changed!$K57&gt;Base!$K57,"↑",IF(Changed!$K57&lt;Base!$K57," ↓",""))</f>
        <v>65</v>
      </c>
      <c r="L57" s="7" t="str" cm="1">
        <f t="array" ref="L57">INDEX(Changed!$L:$L,ROW())&amp;IF(Changed!$L57&gt;Base!$L57,"↑",IF(Changed!$L57&lt;Base!$L57," ↓",""))</f>
        <v>65</v>
      </c>
      <c r="M57" s="7" t="str" cm="1">
        <f t="array" ref="M57">INDEX(Changed!$M:$M,ROW())&amp;IF(Changed!$M57&gt;Base!$M57,"↑",IF(Changed!$M57&lt;Base!$M57," ↓",""))</f>
        <v>115</v>
      </c>
      <c r="N57" s="19">
        <f>Changed!G57-Base!G57</f>
        <v>0</v>
      </c>
    </row>
    <row r="58" spans="1:14" ht="15.75" customHeight="1" x14ac:dyDescent="0.2">
      <c r="A58" s="4">
        <v>57</v>
      </c>
      <c r="B58" s="5" t="s">
        <v>81</v>
      </c>
      <c r="C58" s="6" t="str">
        <f>IF(Changed!C58&lt;&gt;"", Changed!C58, "")</f>
        <v>Water</v>
      </c>
      <c r="D58" s="6" t="str">
        <f>IF(Changed!D58&lt;&gt;"", Changed!D58, "")</f>
        <v/>
      </c>
      <c r="E58" s="6" t="str">
        <f>IF(Changed!E58&lt;&gt;"", Changed!E58, "")</f>
        <v>Cephalalgia Surge</v>
      </c>
      <c r="F58" s="6" t="str">
        <f>IF(Changed!F58&lt;&gt;"", Changed!F58, "")</f>
        <v>Cloud Nine</v>
      </c>
      <c r="G58" s="7" t="str" cm="1">
        <f t="array" ref="G58">INDEX(Changed!$G:$G,ROW())&amp;IF(Changed!$G58&gt;Base!$G58,"↑",IF(Changed!$G58&lt;Base!$G58," ↓",""))</f>
        <v>320</v>
      </c>
      <c r="H58" s="7" t="str" cm="1">
        <f t="array" ref="H58">INDEX(Changed!$H:$H,ROW())&amp;IF(Changed!$H58&gt;Base!$H58,"↑",IF(Changed!$H58&lt;Base!$H58," ↓",""))</f>
        <v>50</v>
      </c>
      <c r="I58" s="7" t="str" cm="1">
        <f t="array" ref="I58">INDEX(Changed!$I:$I,ROW())&amp;IF(Changed!$I58&gt;Base!$I58,"↑",IF(Changed!$I58&lt;Base!$I58," ↓",""))</f>
        <v>72↑</v>
      </c>
      <c r="J58" s="7" t="str" cm="1">
        <f t="array" ref="J58">INDEX(Changed!$J:$J,ROW())&amp;IF(Changed!$J58&gt;Base!$J58,"↑",IF(Changed!$J58&lt;Base!$J58," ↓",""))</f>
        <v>48</v>
      </c>
      <c r="K58" s="7" t="str" cm="1">
        <f t="array" ref="K58">INDEX(Changed!$K:$K,ROW())&amp;IF(Changed!$K58&gt;Base!$K58,"↑",IF(Changed!$K58&lt;Base!$K58," ↓",""))</f>
        <v>45 ↓</v>
      </c>
      <c r="L58" s="7" t="str" cm="1">
        <f t="array" ref="L58">INDEX(Changed!$L:$L,ROW())&amp;IF(Changed!$L58&gt;Base!$L58,"↑",IF(Changed!$L58&lt;Base!$L58," ↓",""))</f>
        <v>50</v>
      </c>
      <c r="M58" s="7" t="str" cm="1">
        <f t="array" ref="M58">INDEX(Changed!$M:$M,ROW())&amp;IF(Changed!$M58&gt;Base!$M58,"↑",IF(Changed!$M58&lt;Base!$M58," ↓",""))</f>
        <v>55</v>
      </c>
      <c r="N58" s="19">
        <f>Changed!G58-Base!G58</f>
        <v>0</v>
      </c>
    </row>
    <row r="59" spans="1:14" ht="15.75" customHeight="1" x14ac:dyDescent="0.2">
      <c r="A59" s="4">
        <v>58</v>
      </c>
      <c r="B59" s="5" t="s">
        <v>82</v>
      </c>
      <c r="C59" s="6" t="str">
        <f>IF(Changed!C59&lt;&gt;"", Changed!C59, "")</f>
        <v>Water</v>
      </c>
      <c r="D59" s="6" t="str">
        <f>IF(Changed!D59&lt;&gt;"", Changed!D59, "")</f>
        <v/>
      </c>
      <c r="E59" s="6" t="str">
        <f>IF(Changed!E59&lt;&gt;"", Changed!E59, "")</f>
        <v>Cephalalgia Surge</v>
      </c>
      <c r="F59" s="6" t="str">
        <f>IF(Changed!F59&lt;&gt;"", Changed!F59, "")</f>
        <v>Cloud Nine</v>
      </c>
      <c r="G59" s="7" t="str" cm="1">
        <f t="array" ref="G59">INDEX(Changed!$G:$G,ROW())&amp;IF(Changed!$G59&gt;Base!$G59,"↑",IF(Changed!$G59&lt;Base!$G59," ↓",""))</f>
        <v>500</v>
      </c>
      <c r="H59" s="7" t="str" cm="1">
        <f t="array" ref="H59">INDEX(Changed!$H:$H,ROW())&amp;IF(Changed!$H59&gt;Base!$H59,"↑",IF(Changed!$H59&lt;Base!$H59," ↓",""))</f>
        <v>80</v>
      </c>
      <c r="I59" s="7" t="str" cm="1">
        <f t="array" ref="I59">INDEX(Changed!$I:$I,ROW())&amp;IF(Changed!$I59&gt;Base!$I59,"↑",IF(Changed!$I59&lt;Base!$I59," ↓",""))</f>
        <v>112↑</v>
      </c>
      <c r="J59" s="7" t="str" cm="1">
        <f t="array" ref="J59">INDEX(Changed!$J:$J,ROW())&amp;IF(Changed!$J59&gt;Base!$J59,"↑",IF(Changed!$J59&lt;Base!$J59," ↓",""))</f>
        <v>78</v>
      </c>
      <c r="K59" s="7" t="str" cm="1">
        <f t="array" ref="K59">INDEX(Changed!$K:$K,ROW())&amp;IF(Changed!$K59&gt;Base!$K59,"↑",IF(Changed!$K59&lt;Base!$K59," ↓",""))</f>
        <v>65 ↓</v>
      </c>
      <c r="L59" s="7" t="str" cm="1">
        <f t="array" ref="L59">INDEX(Changed!$L:$L,ROW())&amp;IF(Changed!$L59&gt;Base!$L59,"↑",IF(Changed!$L59&lt;Base!$L59," ↓",""))</f>
        <v>80</v>
      </c>
      <c r="M59" s="7" t="str" cm="1">
        <f t="array" ref="M59">INDEX(Changed!$M:$M,ROW())&amp;IF(Changed!$M59&gt;Base!$M59,"↑",IF(Changed!$M59&lt;Base!$M59," ↓",""))</f>
        <v>85</v>
      </c>
      <c r="N59" s="19">
        <f>Changed!G59-Base!G59</f>
        <v>0</v>
      </c>
    </row>
    <row r="60" spans="1:14" ht="15.75" customHeight="1" x14ac:dyDescent="0.2">
      <c r="A60" s="4">
        <v>59</v>
      </c>
      <c r="B60" s="5" t="s">
        <v>83</v>
      </c>
      <c r="C60" s="6" t="str">
        <f>IF(Changed!C60&lt;&gt;"", Changed!C60, "")</f>
        <v>Fighting</v>
      </c>
      <c r="D60" s="6" t="str">
        <f>IF(Changed!D60&lt;&gt;"", Changed!D60, "")</f>
        <v/>
      </c>
      <c r="E60" s="6" t="str">
        <f>IF(Changed!E60&lt;&gt;"", Changed!E60, "")</f>
        <v>Vital Spirit</v>
      </c>
      <c r="F60" s="6" t="str">
        <f>IF(Changed!F60&lt;&gt;"", Changed!F60, "")</f>
        <v>Anger Point</v>
      </c>
      <c r="G60" s="7" t="str" cm="1">
        <f t="array" ref="G60">INDEX(Changed!$G:$G,ROW())&amp;IF(Changed!$G60&gt;Base!$G60,"↑",IF(Changed!$G60&lt;Base!$G60," ↓",""))</f>
        <v>305</v>
      </c>
      <c r="H60" s="7" t="str" cm="1">
        <f t="array" ref="H60">INDEX(Changed!$H:$H,ROW())&amp;IF(Changed!$H60&gt;Base!$H60,"↑",IF(Changed!$H60&lt;Base!$H60," ↓",""))</f>
        <v>40</v>
      </c>
      <c r="I60" s="7" t="str" cm="1">
        <f t="array" ref="I60">INDEX(Changed!$I:$I,ROW())&amp;IF(Changed!$I60&gt;Base!$I60,"↑",IF(Changed!$I60&lt;Base!$I60," ↓",""))</f>
        <v>80</v>
      </c>
      <c r="J60" s="7" t="str" cm="1">
        <f t="array" ref="J60">INDEX(Changed!$J:$J,ROW())&amp;IF(Changed!$J60&gt;Base!$J60,"↑",IF(Changed!$J60&lt;Base!$J60," ↓",""))</f>
        <v>35</v>
      </c>
      <c r="K60" s="7" t="str" cm="1">
        <f t="array" ref="K60">INDEX(Changed!$K:$K,ROW())&amp;IF(Changed!$K60&gt;Base!$K60,"↑",IF(Changed!$K60&lt;Base!$K60," ↓",""))</f>
        <v>35</v>
      </c>
      <c r="L60" s="7" t="str" cm="1">
        <f t="array" ref="L60">INDEX(Changed!$L:$L,ROW())&amp;IF(Changed!$L60&gt;Base!$L60,"↑",IF(Changed!$L60&lt;Base!$L60," ↓",""))</f>
        <v>45</v>
      </c>
      <c r="M60" s="7" t="str" cm="1">
        <f t="array" ref="M60">INDEX(Changed!$M:$M,ROW())&amp;IF(Changed!$M60&gt;Base!$M60,"↑",IF(Changed!$M60&lt;Base!$M60," ↓",""))</f>
        <v>70</v>
      </c>
      <c r="N60" s="19">
        <f>Changed!G60-Base!G60</f>
        <v>0</v>
      </c>
    </row>
    <row r="61" spans="1:14" ht="15.75" customHeight="1" x14ac:dyDescent="0.2">
      <c r="A61" s="4">
        <v>60</v>
      </c>
      <c r="B61" s="5" t="s">
        <v>85</v>
      </c>
      <c r="C61" s="6" t="str">
        <f>IF(Changed!C61&lt;&gt;"", Changed!C61, "")</f>
        <v>Fighting</v>
      </c>
      <c r="D61" s="6" t="str">
        <f>IF(Changed!D61&lt;&gt;"", Changed!D61, "")</f>
        <v/>
      </c>
      <c r="E61" s="6" t="str">
        <f>IF(Changed!E61&lt;&gt;"", Changed!E61, "")</f>
        <v>Vital Spirit</v>
      </c>
      <c r="F61" s="6" t="str">
        <f>IF(Changed!F61&lt;&gt;"", Changed!F61, "")</f>
        <v>Anger Point</v>
      </c>
      <c r="G61" s="7" t="str" cm="1">
        <f t="array" ref="G61">INDEX(Changed!$G:$G,ROW())&amp;IF(Changed!$G61&gt;Base!$G61,"↑",IF(Changed!$G61&lt;Base!$G61," ↓",""))</f>
        <v>455</v>
      </c>
      <c r="H61" s="7" t="str" cm="1">
        <f t="array" ref="H61">INDEX(Changed!$H:$H,ROW())&amp;IF(Changed!$H61&gt;Base!$H61,"↑",IF(Changed!$H61&lt;Base!$H61," ↓",""))</f>
        <v>65</v>
      </c>
      <c r="I61" s="7" t="str" cm="1">
        <f t="array" ref="I61">INDEX(Changed!$I:$I,ROW())&amp;IF(Changed!$I61&gt;Base!$I61,"↑",IF(Changed!$I61&lt;Base!$I61," ↓",""))</f>
        <v>105</v>
      </c>
      <c r="J61" s="7" t="str" cm="1">
        <f t="array" ref="J61">INDEX(Changed!$J:$J,ROW())&amp;IF(Changed!$J61&gt;Base!$J61,"↑",IF(Changed!$J61&lt;Base!$J61," ↓",""))</f>
        <v>60</v>
      </c>
      <c r="K61" s="7" t="str" cm="1">
        <f t="array" ref="K61">INDEX(Changed!$K:$K,ROW())&amp;IF(Changed!$K61&gt;Base!$K61,"↑",IF(Changed!$K61&lt;Base!$K61," ↓",""))</f>
        <v>60</v>
      </c>
      <c r="L61" s="7" t="str" cm="1">
        <f t="array" ref="L61">INDEX(Changed!$L:$L,ROW())&amp;IF(Changed!$L61&gt;Base!$L61,"↑",IF(Changed!$L61&lt;Base!$L61," ↓",""))</f>
        <v>70</v>
      </c>
      <c r="M61" s="7" t="str" cm="1">
        <f t="array" ref="M61">INDEX(Changed!$M:$M,ROW())&amp;IF(Changed!$M61&gt;Base!$M61,"↑",IF(Changed!$M61&lt;Base!$M61," ↓",""))</f>
        <v>95</v>
      </c>
      <c r="N61" s="19">
        <f>Changed!G61-Base!G61</f>
        <v>0</v>
      </c>
    </row>
    <row r="62" spans="1:14" ht="15.75" customHeight="1" x14ac:dyDescent="0.2">
      <c r="A62" s="4">
        <v>61</v>
      </c>
      <c r="B62" s="5" t="s">
        <v>958</v>
      </c>
      <c r="C62" s="6" t="str">
        <f>IF(Changed!C62&lt;&gt;"", Changed!C62, "")</f>
        <v>Fighting</v>
      </c>
      <c r="D62" s="6" t="str">
        <f>IF(Changed!D62&lt;&gt;"", Changed!D62, "")</f>
        <v>Ghost</v>
      </c>
      <c r="E62" s="6" t="str">
        <f>IF(Changed!E62&lt;&gt;"", Changed!E62, "")</f>
        <v>Vital Spirit</v>
      </c>
      <c r="F62" s="6" t="str">
        <f>IF(Changed!F62&lt;&gt;"", Changed!F62, "")</f>
        <v>Inner Focus</v>
      </c>
      <c r="G62" s="7" t="str" cm="1">
        <f t="array" ref="G62">INDEX(Changed!$G:$G,ROW())&amp;IF(Changed!$G62&gt;Base!$G62,"↑",IF(Changed!$G62&lt;Base!$G62," ↓",""))</f>
        <v>530 ↓</v>
      </c>
      <c r="H62" s="7" t="str" cm="1">
        <f t="array" ref="H62">INDEX(Changed!$H:$H,ROW())&amp;IF(Changed!$H62&gt;Base!$H62,"↑",IF(Changed!$H62&lt;Base!$H62," ↓",""))</f>
        <v>110</v>
      </c>
      <c r="I62" s="7" t="str" cm="1">
        <f t="array" ref="I62">INDEX(Changed!$I:$I,ROW())&amp;IF(Changed!$I62&gt;Base!$I62,"↑",IF(Changed!$I62&lt;Base!$I62," ↓",""))</f>
        <v>115</v>
      </c>
      <c r="J62" s="7" t="str" cm="1">
        <f t="array" ref="J62">INDEX(Changed!$J:$J,ROW())&amp;IF(Changed!$J62&gt;Base!$J62,"↑",IF(Changed!$J62&lt;Base!$J62," ↓",""))</f>
        <v>80</v>
      </c>
      <c r="K62" s="7" t="str" cm="1">
        <f t="array" ref="K62">INDEX(Changed!$K:$K,ROW())&amp;IF(Changed!$K62&gt;Base!$K62,"↑",IF(Changed!$K62&lt;Base!$K62," ↓",""))</f>
        <v>50</v>
      </c>
      <c r="L62" s="7" t="str" cm="1">
        <f t="array" ref="L62">INDEX(Changed!$L:$L,ROW())&amp;IF(Changed!$L62&gt;Base!$L62,"↑",IF(Changed!$L62&lt;Base!$L62," ↓",""))</f>
        <v>90</v>
      </c>
      <c r="M62" s="7" t="str" cm="1">
        <f t="array" ref="M62">INDEX(Changed!$M:$M,ROW())&amp;IF(Changed!$M62&gt;Base!$M62,"↑",IF(Changed!$M62&lt;Base!$M62," ↓",""))</f>
        <v>85 ↓</v>
      </c>
      <c r="N62" s="19">
        <f>Changed!G62-Base!G62</f>
        <v>-5</v>
      </c>
    </row>
    <row r="63" spans="1:14" ht="15.75" customHeight="1" x14ac:dyDescent="0.2">
      <c r="A63" s="4">
        <v>62</v>
      </c>
      <c r="B63" s="5" t="s">
        <v>86</v>
      </c>
      <c r="C63" s="6" t="str">
        <f>IF(Changed!C63&lt;&gt;"", Changed!C63, "")</f>
        <v>Fire</v>
      </c>
      <c r="D63" s="6" t="str">
        <f>IF(Changed!D63&lt;&gt;"", Changed!D63, "")</f>
        <v/>
      </c>
      <c r="E63" s="6" t="str">
        <f>IF(Changed!E63&lt;&gt;"", Changed!E63, "")</f>
        <v xml:space="preserve">Intimidate </v>
      </c>
      <c r="F63" s="6" t="str">
        <f>IF(Changed!F63&lt;&gt;"", Changed!F63, "")</f>
        <v>Flash Fire</v>
      </c>
      <c r="G63" s="7" t="str" cm="1">
        <f t="array" ref="G63">INDEX(Changed!$G:$G,ROW())&amp;IF(Changed!$G63&gt;Base!$G63,"↑",IF(Changed!$G63&lt;Base!$G63," ↓",""))</f>
        <v>350</v>
      </c>
      <c r="H63" s="7" t="str" cm="1">
        <f t="array" ref="H63">INDEX(Changed!$H:$H,ROW())&amp;IF(Changed!$H63&gt;Base!$H63,"↑",IF(Changed!$H63&lt;Base!$H63," ↓",""))</f>
        <v>55</v>
      </c>
      <c r="I63" s="7" t="str" cm="1">
        <f t="array" ref="I63">INDEX(Changed!$I:$I,ROW())&amp;IF(Changed!$I63&gt;Base!$I63,"↑",IF(Changed!$I63&lt;Base!$I63," ↓",""))</f>
        <v>70</v>
      </c>
      <c r="J63" s="7" t="str" cm="1">
        <f t="array" ref="J63">INDEX(Changed!$J:$J,ROW())&amp;IF(Changed!$J63&gt;Base!$J63,"↑",IF(Changed!$J63&lt;Base!$J63," ↓",""))</f>
        <v>45</v>
      </c>
      <c r="K63" s="7" t="str" cm="1">
        <f t="array" ref="K63">INDEX(Changed!$K:$K,ROW())&amp;IF(Changed!$K63&gt;Base!$K63,"↑",IF(Changed!$K63&lt;Base!$K63," ↓",""))</f>
        <v>70</v>
      </c>
      <c r="L63" s="7" t="str" cm="1">
        <f t="array" ref="L63">INDEX(Changed!$L:$L,ROW())&amp;IF(Changed!$L63&gt;Base!$L63,"↑",IF(Changed!$L63&lt;Base!$L63," ↓",""))</f>
        <v>50</v>
      </c>
      <c r="M63" s="7" t="str" cm="1">
        <f t="array" ref="M63">INDEX(Changed!$M:$M,ROW())&amp;IF(Changed!$M63&gt;Base!$M63,"↑",IF(Changed!$M63&lt;Base!$M63," ↓",""))</f>
        <v>60</v>
      </c>
      <c r="N63" s="19">
        <f>Changed!G63-Base!G63</f>
        <v>0</v>
      </c>
    </row>
    <row r="64" spans="1:14" ht="15.75" customHeight="1" x14ac:dyDescent="0.2">
      <c r="A64" s="4">
        <v>63</v>
      </c>
      <c r="B64" s="5" t="s">
        <v>87</v>
      </c>
      <c r="C64" s="6" t="str">
        <f>IF(Changed!C64&lt;&gt;"", Changed!C64, "")</f>
        <v>Fire</v>
      </c>
      <c r="D64" s="6" t="str">
        <f>IF(Changed!D64&lt;&gt;"", Changed!D64, "")</f>
        <v/>
      </c>
      <c r="E64" s="6" t="str">
        <f>IF(Changed!E64&lt;&gt;"", Changed!E64, "")</f>
        <v xml:space="preserve">Intimidate </v>
      </c>
      <c r="F64" s="6" t="str">
        <f>IF(Changed!F64&lt;&gt;"", Changed!F64, "")</f>
        <v>Flash Fire</v>
      </c>
      <c r="G64" s="7" t="str" cm="1">
        <f t="array" ref="G64">INDEX(Changed!$G:$G,ROW())&amp;IF(Changed!$G64&gt;Base!$G64,"↑",IF(Changed!$G64&lt;Base!$G64," ↓",""))</f>
        <v>555</v>
      </c>
      <c r="H64" s="7" t="str" cm="1">
        <f t="array" ref="H64">INDEX(Changed!$H:$H,ROW())&amp;IF(Changed!$H64&gt;Base!$H64,"↑",IF(Changed!$H64&lt;Base!$H64," ↓",""))</f>
        <v>90</v>
      </c>
      <c r="I64" s="7" t="str" cm="1">
        <f t="array" ref="I64">INDEX(Changed!$I:$I,ROW())&amp;IF(Changed!$I64&gt;Base!$I64,"↑",IF(Changed!$I64&lt;Base!$I64," ↓",""))</f>
        <v>110</v>
      </c>
      <c r="J64" s="7" t="str" cm="1">
        <f t="array" ref="J64">INDEX(Changed!$J:$J,ROW())&amp;IF(Changed!$J64&gt;Base!$J64,"↑",IF(Changed!$J64&lt;Base!$J64," ↓",""))</f>
        <v>80</v>
      </c>
      <c r="K64" s="7" t="str" cm="1">
        <f t="array" ref="K64">INDEX(Changed!$K:$K,ROW())&amp;IF(Changed!$K64&gt;Base!$K64,"↑",IF(Changed!$K64&lt;Base!$K64," ↓",""))</f>
        <v>100</v>
      </c>
      <c r="L64" s="7" t="str" cm="1">
        <f t="array" ref="L64">INDEX(Changed!$L:$L,ROW())&amp;IF(Changed!$L64&gt;Base!$L64,"↑",IF(Changed!$L64&lt;Base!$L64," ↓",""))</f>
        <v>80</v>
      </c>
      <c r="M64" s="7" t="str" cm="1">
        <f t="array" ref="M64">INDEX(Changed!$M:$M,ROW())&amp;IF(Changed!$M64&gt;Base!$M64,"↑",IF(Changed!$M64&lt;Base!$M64," ↓",""))</f>
        <v>95</v>
      </c>
      <c r="N64" s="19">
        <f>Changed!G64-Base!G64</f>
        <v>0</v>
      </c>
    </row>
    <row r="65" spans="1:14" ht="15.75" customHeight="1" x14ac:dyDescent="0.2">
      <c r="A65" s="4">
        <v>64</v>
      </c>
      <c r="B65" s="5" t="s">
        <v>88</v>
      </c>
      <c r="C65" s="6" t="str">
        <f>IF(Changed!C65&lt;&gt;"", Changed!C65, "")</f>
        <v>Water</v>
      </c>
      <c r="D65" s="6" t="str">
        <f>IF(Changed!D65&lt;&gt;"", Changed!D65, "")</f>
        <v/>
      </c>
      <c r="E65" s="6" t="str">
        <f>IF(Changed!E65&lt;&gt;"", Changed!E65, "")</f>
        <v>Water Absorb</v>
      </c>
      <c r="F65" s="6" t="str">
        <f>IF(Changed!F65&lt;&gt;"", Changed!F65, "")</f>
        <v>Swift Swim</v>
      </c>
      <c r="G65" s="7" t="str" cm="1">
        <f t="array" ref="G65">INDEX(Changed!$G:$G,ROW())&amp;IF(Changed!$G65&gt;Base!$G65,"↑",IF(Changed!$G65&lt;Base!$G65," ↓",""))</f>
        <v>300</v>
      </c>
      <c r="H65" s="7" t="str" cm="1">
        <f t="array" ref="H65">INDEX(Changed!$H:$H,ROW())&amp;IF(Changed!$H65&gt;Base!$H65,"↑",IF(Changed!$H65&lt;Base!$H65," ↓",""))</f>
        <v>40</v>
      </c>
      <c r="I65" s="7" t="str" cm="1">
        <f t="array" ref="I65">INDEX(Changed!$I:$I,ROW())&amp;IF(Changed!$I65&gt;Base!$I65,"↑",IF(Changed!$I65&lt;Base!$I65," ↓",""))</f>
        <v>50</v>
      </c>
      <c r="J65" s="7" t="str" cm="1">
        <f t="array" ref="J65">INDEX(Changed!$J:$J,ROW())&amp;IF(Changed!$J65&gt;Base!$J65,"↑",IF(Changed!$J65&lt;Base!$J65," ↓",""))</f>
        <v>40</v>
      </c>
      <c r="K65" s="7" t="str" cm="1">
        <f t="array" ref="K65">INDEX(Changed!$K:$K,ROW())&amp;IF(Changed!$K65&gt;Base!$K65,"↑",IF(Changed!$K65&lt;Base!$K65," ↓",""))</f>
        <v>40</v>
      </c>
      <c r="L65" s="7" t="str" cm="1">
        <f t="array" ref="L65">INDEX(Changed!$L:$L,ROW())&amp;IF(Changed!$L65&gt;Base!$L65,"↑",IF(Changed!$L65&lt;Base!$L65," ↓",""))</f>
        <v>40</v>
      </c>
      <c r="M65" s="7" t="str" cm="1">
        <f t="array" ref="M65">INDEX(Changed!$M:$M,ROW())&amp;IF(Changed!$M65&gt;Base!$M65,"↑",IF(Changed!$M65&lt;Base!$M65," ↓",""))</f>
        <v>90</v>
      </c>
      <c r="N65" s="19">
        <f>Changed!G65-Base!G65</f>
        <v>0</v>
      </c>
    </row>
    <row r="66" spans="1:14" ht="15.75" customHeight="1" x14ac:dyDescent="0.2">
      <c r="A66" s="4">
        <v>65</v>
      </c>
      <c r="B66" s="5" t="s">
        <v>89</v>
      </c>
      <c r="C66" s="6" t="str">
        <f>IF(Changed!C66&lt;&gt;"", Changed!C66, "")</f>
        <v>Water</v>
      </c>
      <c r="D66" s="6" t="str">
        <f>IF(Changed!D66&lt;&gt;"", Changed!D66, "")</f>
        <v/>
      </c>
      <c r="E66" s="6" t="str">
        <f>IF(Changed!E66&lt;&gt;"", Changed!E66, "")</f>
        <v>Water Absorb</v>
      </c>
      <c r="F66" s="6" t="str">
        <f>IF(Changed!F66&lt;&gt;"", Changed!F66, "")</f>
        <v>Swift Swim</v>
      </c>
      <c r="G66" s="7" t="str" cm="1">
        <f t="array" ref="G66">INDEX(Changed!$G:$G,ROW())&amp;IF(Changed!$G66&gt;Base!$G66,"↑",IF(Changed!$G66&lt;Base!$G66," ↓",""))</f>
        <v>385</v>
      </c>
      <c r="H66" s="7" t="str" cm="1">
        <f t="array" ref="H66">INDEX(Changed!$H:$H,ROW())&amp;IF(Changed!$H66&gt;Base!$H66,"↑",IF(Changed!$H66&lt;Base!$H66," ↓",""))</f>
        <v>65</v>
      </c>
      <c r="I66" s="7" t="str" cm="1">
        <f t="array" ref="I66">INDEX(Changed!$I:$I,ROW())&amp;IF(Changed!$I66&gt;Base!$I66,"↑",IF(Changed!$I66&lt;Base!$I66," ↓",""))</f>
        <v>65</v>
      </c>
      <c r="J66" s="7" t="str" cm="1">
        <f t="array" ref="J66">INDEX(Changed!$J:$J,ROW())&amp;IF(Changed!$J66&gt;Base!$J66,"↑",IF(Changed!$J66&lt;Base!$J66," ↓",""))</f>
        <v>65</v>
      </c>
      <c r="K66" s="7" t="str" cm="1">
        <f t="array" ref="K66">INDEX(Changed!$K:$K,ROW())&amp;IF(Changed!$K66&gt;Base!$K66,"↑",IF(Changed!$K66&lt;Base!$K66," ↓",""))</f>
        <v>50</v>
      </c>
      <c r="L66" s="7" t="str" cm="1">
        <f t="array" ref="L66">INDEX(Changed!$L:$L,ROW())&amp;IF(Changed!$L66&gt;Base!$L66,"↑",IF(Changed!$L66&lt;Base!$L66," ↓",""))</f>
        <v>50</v>
      </c>
      <c r="M66" s="7" t="str" cm="1">
        <f t="array" ref="M66">INDEX(Changed!$M:$M,ROW())&amp;IF(Changed!$M66&gt;Base!$M66,"↑",IF(Changed!$M66&lt;Base!$M66," ↓",""))</f>
        <v>90</v>
      </c>
      <c r="N66" s="19">
        <f>Changed!G66-Base!G66</f>
        <v>0</v>
      </c>
    </row>
    <row r="67" spans="1:14" ht="15.75" customHeight="1" x14ac:dyDescent="0.2">
      <c r="A67" s="4">
        <v>66</v>
      </c>
      <c r="B67" s="5" t="s">
        <v>90</v>
      </c>
      <c r="C67" s="6" t="str">
        <f>IF(Changed!C67&lt;&gt;"", Changed!C67, "")</f>
        <v>Water</v>
      </c>
      <c r="D67" s="6" t="str">
        <f>IF(Changed!D67&lt;&gt;"", Changed!D67, "")</f>
        <v>Fighting</v>
      </c>
      <c r="E67" s="6" t="str">
        <f>IF(Changed!E67&lt;&gt;"", Changed!E67, "")</f>
        <v>Water Absorb</v>
      </c>
      <c r="F67" s="6" t="str">
        <f>IF(Changed!F67&lt;&gt;"", Changed!F67, "")</f>
        <v>Swift Swim</v>
      </c>
      <c r="G67" s="7" t="str" cm="1">
        <f t="array" ref="G67">INDEX(Changed!$G:$G,ROW())&amp;IF(Changed!$G67&gt;Base!$G67,"↑",IF(Changed!$G67&lt;Base!$G67," ↓",""))</f>
        <v>505↑</v>
      </c>
      <c r="H67" s="7" t="str" cm="1">
        <f t="array" ref="H67">INDEX(Changed!$H:$H,ROW())&amp;IF(Changed!$H67&gt;Base!$H67,"↑",IF(Changed!$H67&lt;Base!$H67," ↓",""))</f>
        <v>90</v>
      </c>
      <c r="I67" s="7" t="str" cm="1">
        <f t="array" ref="I67">INDEX(Changed!$I:$I,ROW())&amp;IF(Changed!$I67&gt;Base!$I67,"↑",IF(Changed!$I67&lt;Base!$I67," ↓",""))</f>
        <v>95↑</v>
      </c>
      <c r="J67" s="7" t="str" cm="1">
        <f t="array" ref="J67">INDEX(Changed!$J:$J,ROW())&amp;IF(Changed!$J67&gt;Base!$J67,"↑",IF(Changed!$J67&lt;Base!$J67," ↓",""))</f>
        <v>95</v>
      </c>
      <c r="K67" s="7" t="str" cm="1">
        <f t="array" ref="K67">INDEX(Changed!$K:$K,ROW())&amp;IF(Changed!$K67&gt;Base!$K67,"↑",IF(Changed!$K67&lt;Base!$K67," ↓",""))</f>
        <v>60 ↓</v>
      </c>
      <c r="L67" s="7" t="str" cm="1">
        <f t="array" ref="L67">INDEX(Changed!$L:$L,ROW())&amp;IF(Changed!$L67&gt;Base!$L67,"↑",IF(Changed!$L67&lt;Base!$L67," ↓",""))</f>
        <v>95↑</v>
      </c>
      <c r="M67" s="7" t="str" cm="1">
        <f t="array" ref="M67">INDEX(Changed!$M:$M,ROW())&amp;IF(Changed!$M67&gt;Base!$M67,"↑",IF(Changed!$M67&lt;Base!$M67," ↓",""))</f>
        <v>70</v>
      </c>
      <c r="N67" s="19">
        <f>Changed!G67-Base!G67</f>
        <v>5</v>
      </c>
    </row>
    <row r="68" spans="1:14" ht="15.75" customHeight="1" x14ac:dyDescent="0.2">
      <c r="A68" s="4">
        <v>67</v>
      </c>
      <c r="B68" s="5" t="s">
        <v>220</v>
      </c>
      <c r="C68" s="6" t="str">
        <f>IF(Changed!C68&lt;&gt;"", Changed!C68, "")</f>
        <v>Water</v>
      </c>
      <c r="D68" s="6" t="str">
        <f>IF(Changed!D68&lt;&gt;"", Changed!D68, "")</f>
        <v/>
      </c>
      <c r="E68" s="6" t="str">
        <f>IF(Changed!E68&lt;&gt;"", Changed!E68, "")</f>
        <v>Water Absorb</v>
      </c>
      <c r="F68" s="6" t="str">
        <f>IF(Changed!F68&lt;&gt;"", Changed!F68, "")</f>
        <v>Drizzle</v>
      </c>
      <c r="G68" s="7" t="str" cm="1">
        <f t="array" ref="G68">INDEX(Changed!$G:$G,ROW())&amp;IF(Changed!$G68&gt;Base!$G68,"↑",IF(Changed!$G68&lt;Base!$G68," ↓",""))</f>
        <v>495 ↓</v>
      </c>
      <c r="H68" s="7" t="str" cm="1">
        <f t="array" ref="H68">INDEX(Changed!$H:$H,ROW())&amp;IF(Changed!$H68&gt;Base!$H68,"↑",IF(Changed!$H68&lt;Base!$H68," ↓",""))</f>
        <v>90</v>
      </c>
      <c r="I68" s="7" t="str" cm="1">
        <f t="array" ref="I68">INDEX(Changed!$I:$I,ROW())&amp;IF(Changed!$I68&gt;Base!$I68,"↑",IF(Changed!$I68&lt;Base!$I68," ↓",""))</f>
        <v>65 ↓</v>
      </c>
      <c r="J68" s="7" t="str" cm="1">
        <f t="array" ref="J68">INDEX(Changed!$J:$J,ROW())&amp;IF(Changed!$J68&gt;Base!$J68,"↑",IF(Changed!$J68&lt;Base!$J68," ↓",""))</f>
        <v>80↑</v>
      </c>
      <c r="K68" s="7" t="str" cm="1">
        <f t="array" ref="K68">INDEX(Changed!$K:$K,ROW())&amp;IF(Changed!$K68&gt;Base!$K68,"↑",IF(Changed!$K68&lt;Base!$K68," ↓",""))</f>
        <v>90</v>
      </c>
      <c r="L68" s="7" t="str" cm="1">
        <f t="array" ref="L68">INDEX(Changed!$L:$L,ROW())&amp;IF(Changed!$L68&gt;Base!$L68,"↑",IF(Changed!$L68&lt;Base!$L68," ↓",""))</f>
        <v>100</v>
      </c>
      <c r="M68" s="7" t="str" cm="1">
        <f t="array" ref="M68">INDEX(Changed!$M:$M,ROW())&amp;IF(Changed!$M68&gt;Base!$M68,"↑",IF(Changed!$M68&lt;Base!$M68," ↓",""))</f>
        <v>70</v>
      </c>
      <c r="N68" s="19">
        <f>Changed!G68-Base!G68</f>
        <v>-5</v>
      </c>
    </row>
    <row r="69" spans="1:14" ht="15.75" customHeight="1" x14ac:dyDescent="0.2">
      <c r="A69" s="4">
        <v>68</v>
      </c>
      <c r="B69" s="5" t="s">
        <v>91</v>
      </c>
      <c r="C69" s="6" t="str">
        <f>IF(Changed!C69&lt;&gt;"", Changed!C69, "")</f>
        <v>Psychic</v>
      </c>
      <c r="D69" s="6" t="str">
        <f>IF(Changed!D69&lt;&gt;"", Changed!D69, "")</f>
        <v/>
      </c>
      <c r="E69" s="6" t="str">
        <f>IF(Changed!E69&lt;&gt;"", Changed!E69, "")</f>
        <v xml:space="preserve">Synchronize </v>
      </c>
      <c r="F69" s="6" t="str">
        <f>IF(Changed!F69&lt;&gt;"", Changed!F69, "")</f>
        <v>Inner Focus</v>
      </c>
      <c r="G69" s="7" t="str" cm="1">
        <f t="array" ref="G69">INDEX(Changed!$G:$G,ROW())&amp;IF(Changed!$G69&gt;Base!$G69,"↑",IF(Changed!$G69&lt;Base!$G69," ↓",""))</f>
        <v>310</v>
      </c>
      <c r="H69" s="7" t="str" cm="1">
        <f t="array" ref="H69">INDEX(Changed!$H:$H,ROW())&amp;IF(Changed!$H69&gt;Base!$H69,"↑",IF(Changed!$H69&lt;Base!$H69," ↓",""))</f>
        <v>25</v>
      </c>
      <c r="I69" s="7" t="str" cm="1">
        <f t="array" ref="I69">INDEX(Changed!$I:$I,ROW())&amp;IF(Changed!$I69&gt;Base!$I69,"↑",IF(Changed!$I69&lt;Base!$I69," ↓",""))</f>
        <v>20</v>
      </c>
      <c r="J69" s="7" t="str" cm="1">
        <f t="array" ref="J69">INDEX(Changed!$J:$J,ROW())&amp;IF(Changed!$J69&gt;Base!$J69,"↑",IF(Changed!$J69&lt;Base!$J69," ↓",""))</f>
        <v>15</v>
      </c>
      <c r="K69" s="7" t="str" cm="1">
        <f t="array" ref="K69">INDEX(Changed!$K:$K,ROW())&amp;IF(Changed!$K69&gt;Base!$K69,"↑",IF(Changed!$K69&lt;Base!$K69," ↓",""))</f>
        <v>105</v>
      </c>
      <c r="L69" s="7" t="str" cm="1">
        <f t="array" ref="L69">INDEX(Changed!$L:$L,ROW())&amp;IF(Changed!$L69&gt;Base!$L69,"↑",IF(Changed!$L69&lt;Base!$L69," ↓",""))</f>
        <v>55</v>
      </c>
      <c r="M69" s="7" t="str" cm="1">
        <f t="array" ref="M69">INDEX(Changed!$M:$M,ROW())&amp;IF(Changed!$M69&gt;Base!$M69,"↑",IF(Changed!$M69&lt;Base!$M69," ↓",""))</f>
        <v>90</v>
      </c>
      <c r="N69" s="19">
        <f>Changed!G69-Base!G69</f>
        <v>0</v>
      </c>
    </row>
    <row r="70" spans="1:14" ht="15.75" customHeight="1" x14ac:dyDescent="0.2">
      <c r="A70" s="4">
        <v>69</v>
      </c>
      <c r="B70" s="5" t="s">
        <v>93</v>
      </c>
      <c r="C70" s="6" t="str">
        <f>IF(Changed!C70&lt;&gt;"", Changed!C70, "")</f>
        <v>Psychic</v>
      </c>
      <c r="D70" s="6" t="str">
        <f>IF(Changed!D70&lt;&gt;"", Changed!D70, "")</f>
        <v/>
      </c>
      <c r="E70" s="6" t="str">
        <f>IF(Changed!E70&lt;&gt;"", Changed!E70, "")</f>
        <v xml:space="preserve">Synchronize </v>
      </c>
      <c r="F70" s="6" t="str">
        <f>IF(Changed!F70&lt;&gt;"", Changed!F70, "")</f>
        <v>Inner Focus</v>
      </c>
      <c r="G70" s="7" t="str" cm="1">
        <f t="array" ref="G70">INDEX(Changed!$G:$G,ROW())&amp;IF(Changed!$G70&gt;Base!$G70,"↑",IF(Changed!$G70&lt;Base!$G70," ↓",""))</f>
        <v>400</v>
      </c>
      <c r="H70" s="7" t="str" cm="1">
        <f t="array" ref="H70">INDEX(Changed!$H:$H,ROW())&amp;IF(Changed!$H70&gt;Base!$H70,"↑",IF(Changed!$H70&lt;Base!$H70," ↓",""))</f>
        <v>40</v>
      </c>
      <c r="I70" s="7" t="str" cm="1">
        <f t="array" ref="I70">INDEX(Changed!$I:$I,ROW())&amp;IF(Changed!$I70&gt;Base!$I70,"↑",IF(Changed!$I70&lt;Base!$I70," ↓",""))</f>
        <v>35</v>
      </c>
      <c r="J70" s="7" t="str" cm="1">
        <f t="array" ref="J70">INDEX(Changed!$J:$J,ROW())&amp;IF(Changed!$J70&gt;Base!$J70,"↑",IF(Changed!$J70&lt;Base!$J70," ↓",""))</f>
        <v>30</v>
      </c>
      <c r="K70" s="7" t="str" cm="1">
        <f t="array" ref="K70">INDEX(Changed!$K:$K,ROW())&amp;IF(Changed!$K70&gt;Base!$K70,"↑",IF(Changed!$K70&lt;Base!$K70," ↓",""))</f>
        <v>120</v>
      </c>
      <c r="L70" s="7" t="str" cm="1">
        <f t="array" ref="L70">INDEX(Changed!$L:$L,ROW())&amp;IF(Changed!$L70&gt;Base!$L70,"↑",IF(Changed!$L70&lt;Base!$L70," ↓",""))</f>
        <v>70</v>
      </c>
      <c r="M70" s="7" t="str" cm="1">
        <f t="array" ref="M70">INDEX(Changed!$M:$M,ROW())&amp;IF(Changed!$M70&gt;Base!$M70,"↑",IF(Changed!$M70&lt;Base!$M70," ↓",""))</f>
        <v>105</v>
      </c>
      <c r="N70" s="19">
        <f>Changed!G70-Base!G70</f>
        <v>0</v>
      </c>
    </row>
    <row r="71" spans="1:14" ht="15.75" customHeight="1" x14ac:dyDescent="0.2">
      <c r="A71" s="4">
        <v>70</v>
      </c>
      <c r="B71" s="5" t="s">
        <v>94</v>
      </c>
      <c r="C71" s="6" t="str">
        <f>IF(Changed!C71&lt;&gt;"", Changed!C71, "")</f>
        <v>Psychic</v>
      </c>
      <c r="D71" s="6" t="str">
        <f>IF(Changed!D71&lt;&gt;"", Changed!D71, "")</f>
        <v/>
      </c>
      <c r="E71" s="6" t="str">
        <f>IF(Changed!E71&lt;&gt;"", Changed!E71, "")</f>
        <v xml:space="preserve">Synchronize </v>
      </c>
      <c r="F71" s="6" t="str">
        <f>IF(Changed!F71&lt;&gt;"", Changed!F71, "")</f>
        <v>Inner Focus</v>
      </c>
      <c r="G71" s="7" t="str" cm="1">
        <f t="array" ref="G71">INDEX(Changed!$G:$G,ROW())&amp;IF(Changed!$G71&gt;Base!$G71,"↑",IF(Changed!$G71&lt;Base!$G71," ↓",""))</f>
        <v>490</v>
      </c>
      <c r="H71" s="7" t="str" cm="1">
        <f t="array" ref="H71">INDEX(Changed!$H:$H,ROW())&amp;IF(Changed!$H71&gt;Base!$H71,"↑",IF(Changed!$H71&lt;Base!$H71," ↓",""))</f>
        <v>55</v>
      </c>
      <c r="I71" s="7" t="str" cm="1">
        <f t="array" ref="I71">INDEX(Changed!$I:$I,ROW())&amp;IF(Changed!$I71&gt;Base!$I71,"↑",IF(Changed!$I71&lt;Base!$I71," ↓",""))</f>
        <v>50</v>
      </c>
      <c r="J71" s="7" t="str" cm="1">
        <f t="array" ref="J71">INDEX(Changed!$J:$J,ROW())&amp;IF(Changed!$J71&gt;Base!$J71,"↑",IF(Changed!$J71&lt;Base!$J71," ↓",""))</f>
        <v>45</v>
      </c>
      <c r="K71" s="7" t="str" cm="1">
        <f t="array" ref="K71">INDEX(Changed!$K:$K,ROW())&amp;IF(Changed!$K71&gt;Base!$K71,"↑",IF(Changed!$K71&lt;Base!$K71," ↓",""))</f>
        <v>135</v>
      </c>
      <c r="L71" s="7" t="str" cm="1">
        <f t="array" ref="L71">INDEX(Changed!$L:$L,ROW())&amp;IF(Changed!$L71&gt;Base!$L71,"↑",IF(Changed!$L71&lt;Base!$L71," ↓",""))</f>
        <v>85</v>
      </c>
      <c r="M71" s="7" t="str" cm="1">
        <f t="array" ref="M71">INDEX(Changed!$M:$M,ROW())&amp;IF(Changed!$M71&gt;Base!$M71,"↑",IF(Changed!$M71&lt;Base!$M71," ↓",""))</f>
        <v>120</v>
      </c>
      <c r="N71" s="19">
        <f>Changed!G71-Base!G71</f>
        <v>0</v>
      </c>
    </row>
    <row r="72" spans="1:14" ht="15.75" customHeight="1" x14ac:dyDescent="0.2">
      <c r="A72" s="4">
        <v>71</v>
      </c>
      <c r="B72" s="5" t="s">
        <v>95</v>
      </c>
      <c r="C72" s="6" t="str">
        <f>IF(Changed!C72&lt;&gt;"", Changed!C72, "")</f>
        <v>Fighting</v>
      </c>
      <c r="D72" s="6" t="str">
        <f>IF(Changed!D72&lt;&gt;"", Changed!D72, "")</f>
        <v/>
      </c>
      <c r="E72" s="6" t="str">
        <f>IF(Changed!E72&lt;&gt;"", Changed!E72, "")</f>
        <v>Guts</v>
      </c>
      <c r="F72" s="6" t="str">
        <f>IF(Changed!F72&lt;&gt;"", Changed!F72, "")</f>
        <v>No Guard</v>
      </c>
      <c r="G72" s="7" t="str" cm="1">
        <f t="array" ref="G72">INDEX(Changed!$G:$G,ROW())&amp;IF(Changed!$G72&gt;Base!$G72,"↑",IF(Changed!$G72&lt;Base!$G72," ↓",""))</f>
        <v>305</v>
      </c>
      <c r="H72" s="7" t="str" cm="1">
        <f t="array" ref="H72">INDEX(Changed!$H:$H,ROW())&amp;IF(Changed!$H72&gt;Base!$H72,"↑",IF(Changed!$H72&lt;Base!$H72," ↓",""))</f>
        <v>70</v>
      </c>
      <c r="I72" s="7" t="str" cm="1">
        <f t="array" ref="I72">INDEX(Changed!$I:$I,ROW())&amp;IF(Changed!$I72&gt;Base!$I72,"↑",IF(Changed!$I72&lt;Base!$I72," ↓",""))</f>
        <v>80</v>
      </c>
      <c r="J72" s="7" t="str" cm="1">
        <f t="array" ref="J72">INDEX(Changed!$J:$J,ROW())&amp;IF(Changed!$J72&gt;Base!$J72,"↑",IF(Changed!$J72&lt;Base!$J72," ↓",""))</f>
        <v>50</v>
      </c>
      <c r="K72" s="7" t="str" cm="1">
        <f t="array" ref="K72">INDEX(Changed!$K:$K,ROW())&amp;IF(Changed!$K72&gt;Base!$K72,"↑",IF(Changed!$K72&lt;Base!$K72," ↓",""))</f>
        <v>35</v>
      </c>
      <c r="L72" s="7" t="str" cm="1">
        <f t="array" ref="L72">INDEX(Changed!$L:$L,ROW())&amp;IF(Changed!$L72&gt;Base!$L72,"↑",IF(Changed!$L72&lt;Base!$L72," ↓",""))</f>
        <v>35</v>
      </c>
      <c r="M72" s="7" t="str" cm="1">
        <f t="array" ref="M72">INDEX(Changed!$M:$M,ROW())&amp;IF(Changed!$M72&gt;Base!$M72,"↑",IF(Changed!$M72&lt;Base!$M72," ↓",""))</f>
        <v>35</v>
      </c>
      <c r="N72" s="19">
        <f>Changed!G72-Base!G72</f>
        <v>0</v>
      </c>
    </row>
    <row r="73" spans="1:14" ht="15.75" customHeight="1" x14ac:dyDescent="0.2">
      <c r="A73" s="4">
        <v>72</v>
      </c>
      <c r="B73" s="5" t="s">
        <v>96</v>
      </c>
      <c r="C73" s="6" t="str">
        <f>IF(Changed!C73&lt;&gt;"", Changed!C73, "")</f>
        <v>Fighting</v>
      </c>
      <c r="D73" s="6" t="str">
        <f>IF(Changed!D73&lt;&gt;"", Changed!D73, "")</f>
        <v/>
      </c>
      <c r="E73" s="6" t="str">
        <f>IF(Changed!E73&lt;&gt;"", Changed!E73, "")</f>
        <v>Guts</v>
      </c>
      <c r="F73" s="6" t="str">
        <f>IF(Changed!F73&lt;&gt;"", Changed!F73, "")</f>
        <v>No Guard</v>
      </c>
      <c r="G73" s="7" t="str" cm="1">
        <f t="array" ref="G73">INDEX(Changed!$G:$G,ROW())&amp;IF(Changed!$G73&gt;Base!$G73,"↑",IF(Changed!$G73&lt;Base!$G73," ↓",""))</f>
        <v>405</v>
      </c>
      <c r="H73" s="7" t="str" cm="1">
        <f t="array" ref="H73">INDEX(Changed!$H:$H,ROW())&amp;IF(Changed!$H73&gt;Base!$H73,"↑",IF(Changed!$H73&lt;Base!$H73," ↓",""))</f>
        <v>80</v>
      </c>
      <c r="I73" s="7" t="str" cm="1">
        <f t="array" ref="I73">INDEX(Changed!$I:$I,ROW())&amp;IF(Changed!$I73&gt;Base!$I73,"↑",IF(Changed!$I73&lt;Base!$I73," ↓",""))</f>
        <v>100</v>
      </c>
      <c r="J73" s="7" t="str" cm="1">
        <f t="array" ref="J73">INDEX(Changed!$J:$J,ROW())&amp;IF(Changed!$J73&gt;Base!$J73,"↑",IF(Changed!$J73&lt;Base!$J73," ↓",""))</f>
        <v>70</v>
      </c>
      <c r="K73" s="7" t="str" cm="1">
        <f t="array" ref="K73">INDEX(Changed!$K:$K,ROW())&amp;IF(Changed!$K73&gt;Base!$K73,"↑",IF(Changed!$K73&lt;Base!$K73," ↓",""))</f>
        <v>50</v>
      </c>
      <c r="L73" s="7" t="str" cm="1">
        <f t="array" ref="L73">INDEX(Changed!$L:$L,ROW())&amp;IF(Changed!$L73&gt;Base!$L73,"↑",IF(Changed!$L73&lt;Base!$L73," ↓",""))</f>
        <v>60</v>
      </c>
      <c r="M73" s="7" t="str" cm="1">
        <f t="array" ref="M73">INDEX(Changed!$M:$M,ROW())&amp;IF(Changed!$M73&gt;Base!$M73,"↑",IF(Changed!$M73&lt;Base!$M73," ↓",""))</f>
        <v>45</v>
      </c>
      <c r="N73" s="19">
        <f>Changed!G73-Base!G73</f>
        <v>0</v>
      </c>
    </row>
    <row r="74" spans="1:14" ht="15.75" customHeight="1" x14ac:dyDescent="0.2">
      <c r="A74" s="4">
        <v>73</v>
      </c>
      <c r="B74" s="5" t="s">
        <v>97</v>
      </c>
      <c r="C74" s="6" t="str">
        <f>IF(Changed!C74&lt;&gt;"", Changed!C74, "")</f>
        <v>Fighting</v>
      </c>
      <c r="D74" s="6" t="str">
        <f>IF(Changed!D74&lt;&gt;"", Changed!D74, "")</f>
        <v/>
      </c>
      <c r="E74" s="6" t="str">
        <f>IF(Changed!E74&lt;&gt;"", Changed!E74, "")</f>
        <v>Guts</v>
      </c>
      <c r="F74" s="6" t="str">
        <f>IF(Changed!F74&lt;&gt;"", Changed!F74, "")</f>
        <v>No Guard</v>
      </c>
      <c r="G74" s="7" t="str" cm="1">
        <f t="array" ref="G74">INDEX(Changed!$G:$G,ROW())&amp;IF(Changed!$G74&gt;Base!$G74,"↑",IF(Changed!$G74&lt;Base!$G74," ↓",""))</f>
        <v>505</v>
      </c>
      <c r="H74" s="7" t="str" cm="1">
        <f t="array" ref="H74">INDEX(Changed!$H:$H,ROW())&amp;IF(Changed!$H74&gt;Base!$H74,"↑",IF(Changed!$H74&lt;Base!$H74," ↓",""))</f>
        <v>90</v>
      </c>
      <c r="I74" s="7" t="str" cm="1">
        <f t="array" ref="I74">INDEX(Changed!$I:$I,ROW())&amp;IF(Changed!$I74&gt;Base!$I74,"↑",IF(Changed!$I74&lt;Base!$I74," ↓",""))</f>
        <v>130</v>
      </c>
      <c r="J74" s="7" t="str" cm="1">
        <f t="array" ref="J74">INDEX(Changed!$J:$J,ROW())&amp;IF(Changed!$J74&gt;Base!$J74,"↑",IF(Changed!$J74&lt;Base!$J74," ↓",""))</f>
        <v>80</v>
      </c>
      <c r="K74" s="7" t="str" cm="1">
        <f t="array" ref="K74">INDEX(Changed!$K:$K,ROW())&amp;IF(Changed!$K74&gt;Base!$K74,"↑",IF(Changed!$K74&lt;Base!$K74," ↓",""))</f>
        <v>65</v>
      </c>
      <c r="L74" s="7" t="str" cm="1">
        <f t="array" ref="L74">INDEX(Changed!$L:$L,ROW())&amp;IF(Changed!$L74&gt;Base!$L74,"↑",IF(Changed!$L74&lt;Base!$L74," ↓",""))</f>
        <v>85</v>
      </c>
      <c r="M74" s="7" t="str" cm="1">
        <f t="array" ref="M74">INDEX(Changed!$M:$M,ROW())&amp;IF(Changed!$M74&gt;Base!$M74,"↑",IF(Changed!$M74&lt;Base!$M74," ↓",""))</f>
        <v>55</v>
      </c>
      <c r="N74" s="19">
        <f>Changed!G74-Base!G74</f>
        <v>0</v>
      </c>
    </row>
    <row r="75" spans="1:14" ht="15.75" customHeight="1" x14ac:dyDescent="0.2">
      <c r="A75" s="4">
        <v>74</v>
      </c>
      <c r="B75" s="5" t="s">
        <v>98</v>
      </c>
      <c r="C75" s="6" t="str">
        <f>IF(Changed!C75&lt;&gt;"", Changed!C75, "")</f>
        <v>Grass</v>
      </c>
      <c r="D75" s="6" t="str">
        <f>IF(Changed!D75&lt;&gt;"", Changed!D75, "")</f>
        <v>Poison</v>
      </c>
      <c r="E75" s="6" t="str">
        <f>IF(Changed!E75&lt;&gt;"", Changed!E75, "")</f>
        <v>Chlorophyll</v>
      </c>
      <c r="F75" s="6" t="str">
        <f>IF(Changed!F75&lt;&gt;"", Changed!F75, "")</f>
        <v>Gluttony</v>
      </c>
      <c r="G75" s="7" t="str" cm="1">
        <f t="array" ref="G75">INDEX(Changed!$G:$G,ROW())&amp;IF(Changed!$G75&gt;Base!$G75,"↑",IF(Changed!$G75&lt;Base!$G75," ↓",""))</f>
        <v>300</v>
      </c>
      <c r="H75" s="7" t="str" cm="1">
        <f t="array" ref="H75">INDEX(Changed!$H:$H,ROW())&amp;IF(Changed!$H75&gt;Base!$H75,"↑",IF(Changed!$H75&lt;Base!$H75," ↓",""))</f>
        <v>50</v>
      </c>
      <c r="I75" s="7" t="str" cm="1">
        <f t="array" ref="I75">INDEX(Changed!$I:$I,ROW())&amp;IF(Changed!$I75&gt;Base!$I75,"↑",IF(Changed!$I75&lt;Base!$I75," ↓",""))</f>
        <v>75</v>
      </c>
      <c r="J75" s="7" t="str" cm="1">
        <f t="array" ref="J75">INDEX(Changed!$J:$J,ROW())&amp;IF(Changed!$J75&gt;Base!$J75,"↑",IF(Changed!$J75&lt;Base!$J75," ↓",""))</f>
        <v>35</v>
      </c>
      <c r="K75" s="7" t="str" cm="1">
        <f t="array" ref="K75">INDEX(Changed!$K:$K,ROW())&amp;IF(Changed!$K75&gt;Base!$K75,"↑",IF(Changed!$K75&lt;Base!$K75," ↓",""))</f>
        <v>70</v>
      </c>
      <c r="L75" s="7" t="str" cm="1">
        <f t="array" ref="L75">INDEX(Changed!$L:$L,ROW())&amp;IF(Changed!$L75&gt;Base!$L75,"↑",IF(Changed!$L75&lt;Base!$L75," ↓",""))</f>
        <v>30</v>
      </c>
      <c r="M75" s="7" t="str" cm="1">
        <f t="array" ref="M75">INDEX(Changed!$M:$M,ROW())&amp;IF(Changed!$M75&gt;Base!$M75,"↑",IF(Changed!$M75&lt;Base!$M75," ↓",""))</f>
        <v>40</v>
      </c>
      <c r="N75" s="19">
        <f>Changed!G75-Base!G75</f>
        <v>0</v>
      </c>
    </row>
    <row r="76" spans="1:14" ht="15.75" customHeight="1" x14ac:dyDescent="0.2">
      <c r="A76" s="4">
        <v>75</v>
      </c>
      <c r="B76" s="5" t="s">
        <v>99</v>
      </c>
      <c r="C76" s="6" t="str">
        <f>IF(Changed!C76&lt;&gt;"", Changed!C76, "")</f>
        <v>Grass</v>
      </c>
      <c r="D76" s="6" t="str">
        <f>IF(Changed!D76&lt;&gt;"", Changed!D76, "")</f>
        <v>Poison</v>
      </c>
      <c r="E76" s="6" t="str">
        <f>IF(Changed!E76&lt;&gt;"", Changed!E76, "")</f>
        <v>Chlorophyll</v>
      </c>
      <c r="F76" s="6" t="str">
        <f>IF(Changed!F76&lt;&gt;"", Changed!F76, "")</f>
        <v>Gluttony</v>
      </c>
      <c r="G76" s="7" t="str" cm="1">
        <f t="array" ref="G76">INDEX(Changed!$G:$G,ROW())&amp;IF(Changed!$G76&gt;Base!$G76,"↑",IF(Changed!$G76&lt;Base!$G76," ↓",""))</f>
        <v>390</v>
      </c>
      <c r="H76" s="7" t="str" cm="1">
        <f t="array" ref="H76">INDEX(Changed!$H:$H,ROW())&amp;IF(Changed!$H76&gt;Base!$H76,"↑",IF(Changed!$H76&lt;Base!$H76," ↓",""))</f>
        <v>65</v>
      </c>
      <c r="I76" s="7" t="str" cm="1">
        <f t="array" ref="I76">INDEX(Changed!$I:$I,ROW())&amp;IF(Changed!$I76&gt;Base!$I76,"↑",IF(Changed!$I76&lt;Base!$I76," ↓",""))</f>
        <v>90</v>
      </c>
      <c r="J76" s="7" t="str" cm="1">
        <f t="array" ref="J76">INDEX(Changed!$J:$J,ROW())&amp;IF(Changed!$J76&gt;Base!$J76,"↑",IF(Changed!$J76&lt;Base!$J76," ↓",""))</f>
        <v>50</v>
      </c>
      <c r="K76" s="7" t="str" cm="1">
        <f t="array" ref="K76">INDEX(Changed!$K:$K,ROW())&amp;IF(Changed!$K76&gt;Base!$K76,"↑",IF(Changed!$K76&lt;Base!$K76," ↓",""))</f>
        <v>85</v>
      </c>
      <c r="L76" s="7" t="str" cm="1">
        <f t="array" ref="L76">INDEX(Changed!$L:$L,ROW())&amp;IF(Changed!$L76&gt;Base!$L76,"↑",IF(Changed!$L76&lt;Base!$L76," ↓",""))</f>
        <v>45</v>
      </c>
      <c r="M76" s="7" t="str" cm="1">
        <f t="array" ref="M76">INDEX(Changed!$M:$M,ROW())&amp;IF(Changed!$M76&gt;Base!$M76,"↑",IF(Changed!$M76&lt;Base!$M76," ↓",""))</f>
        <v>55</v>
      </c>
      <c r="N76" s="19">
        <f>Changed!G76-Base!G76</f>
        <v>0</v>
      </c>
    </row>
    <row r="77" spans="1:14" ht="15.75" customHeight="1" x14ac:dyDescent="0.2">
      <c r="A77" s="4">
        <v>76</v>
      </c>
      <c r="B77" s="5" t="s">
        <v>100</v>
      </c>
      <c r="C77" s="6" t="str">
        <f>IF(Changed!C77&lt;&gt;"", Changed!C77, "")</f>
        <v>Grass</v>
      </c>
      <c r="D77" s="6" t="str">
        <f>IF(Changed!D77&lt;&gt;"", Changed!D77, "")</f>
        <v>Poison</v>
      </c>
      <c r="E77" s="6" t="str">
        <f>IF(Changed!E77&lt;&gt;"", Changed!E77, "")</f>
        <v>Chlorophyll</v>
      </c>
      <c r="F77" s="6" t="str">
        <f>IF(Changed!F77&lt;&gt;"", Changed!F77, "")</f>
        <v>Victory Star</v>
      </c>
      <c r="G77" s="7" t="str" cm="1">
        <f t="array" ref="G77">INDEX(Changed!$G:$G,ROW())&amp;IF(Changed!$G77&gt;Base!$G77,"↑",IF(Changed!$G77&lt;Base!$G77," ↓",""))</f>
        <v>500↑</v>
      </c>
      <c r="H77" s="7" t="str" cm="1">
        <f t="array" ref="H77">INDEX(Changed!$H:$H,ROW())&amp;IF(Changed!$H77&gt;Base!$H77,"↑",IF(Changed!$H77&lt;Base!$H77," ↓",""))</f>
        <v>80</v>
      </c>
      <c r="I77" s="7" t="str" cm="1">
        <f t="array" ref="I77">INDEX(Changed!$I:$I,ROW())&amp;IF(Changed!$I77&gt;Base!$I77,"↑",IF(Changed!$I77&lt;Base!$I77," ↓",""))</f>
        <v>105</v>
      </c>
      <c r="J77" s="7" t="str" cm="1">
        <f t="array" ref="J77">INDEX(Changed!$J:$J,ROW())&amp;IF(Changed!$J77&gt;Base!$J77,"↑",IF(Changed!$J77&lt;Base!$J77," ↓",""))</f>
        <v>70↑</v>
      </c>
      <c r="K77" s="7" t="str" cm="1">
        <f t="array" ref="K77">INDEX(Changed!$K:$K,ROW())&amp;IF(Changed!$K77&gt;Base!$K77,"↑",IF(Changed!$K77&lt;Base!$K77," ↓",""))</f>
        <v>105↑</v>
      </c>
      <c r="L77" s="7" t="str" cm="1">
        <f t="array" ref="L77">INDEX(Changed!$L:$L,ROW())&amp;IF(Changed!$L77&gt;Base!$L77,"↑",IF(Changed!$L77&lt;Base!$L77," ↓",""))</f>
        <v>70↑</v>
      </c>
      <c r="M77" s="7" t="str" cm="1">
        <f t="array" ref="M77">INDEX(Changed!$M:$M,ROW())&amp;IF(Changed!$M77&gt;Base!$M77,"↑",IF(Changed!$M77&lt;Base!$M77," ↓",""))</f>
        <v>70</v>
      </c>
      <c r="N77" s="19">
        <f>Changed!G77-Base!G77</f>
        <v>20</v>
      </c>
    </row>
    <row r="78" spans="1:14" ht="15.75" customHeight="1" x14ac:dyDescent="0.2">
      <c r="A78" s="4">
        <v>77</v>
      </c>
      <c r="B78" s="5" t="s">
        <v>101</v>
      </c>
      <c r="C78" s="6" t="str">
        <f>IF(Changed!C78&lt;&gt;"", Changed!C78, "")</f>
        <v>Water</v>
      </c>
      <c r="D78" s="6" t="str">
        <f>IF(Changed!D78&lt;&gt;"", Changed!D78, "")</f>
        <v>Poison</v>
      </c>
      <c r="E78" s="6" t="str">
        <f>IF(Changed!E78&lt;&gt;"", Changed!E78, "")</f>
        <v>Rain Dish</v>
      </c>
      <c r="F78" s="6" t="str">
        <f>IF(Changed!F78&lt;&gt;"", Changed!F78, "")</f>
        <v>Liquid Ooze</v>
      </c>
      <c r="G78" s="7" t="str" cm="1">
        <f t="array" ref="G78">INDEX(Changed!$G:$G,ROW())&amp;IF(Changed!$G78&gt;Base!$G78,"↑",IF(Changed!$G78&lt;Base!$G78," ↓",""))</f>
        <v>335</v>
      </c>
      <c r="H78" s="7" t="str" cm="1">
        <f t="array" ref="H78">INDEX(Changed!$H:$H,ROW())&amp;IF(Changed!$H78&gt;Base!$H78,"↑",IF(Changed!$H78&lt;Base!$H78," ↓",""))</f>
        <v>40</v>
      </c>
      <c r="I78" s="7" t="str" cm="1">
        <f t="array" ref="I78">INDEX(Changed!$I:$I,ROW())&amp;IF(Changed!$I78&gt;Base!$I78,"↑",IF(Changed!$I78&lt;Base!$I78," ↓",""))</f>
        <v>40</v>
      </c>
      <c r="J78" s="7" t="str" cm="1">
        <f t="array" ref="J78">INDEX(Changed!$J:$J,ROW())&amp;IF(Changed!$J78&gt;Base!$J78,"↑",IF(Changed!$J78&lt;Base!$J78," ↓",""))</f>
        <v>35</v>
      </c>
      <c r="K78" s="7" t="str" cm="1">
        <f t="array" ref="K78">INDEX(Changed!$K:$K,ROW())&amp;IF(Changed!$K78&gt;Base!$K78,"↑",IF(Changed!$K78&lt;Base!$K78," ↓",""))</f>
        <v>50</v>
      </c>
      <c r="L78" s="7" t="str" cm="1">
        <f t="array" ref="L78">INDEX(Changed!$L:$L,ROW())&amp;IF(Changed!$L78&gt;Base!$L78,"↑",IF(Changed!$L78&lt;Base!$L78," ↓",""))</f>
        <v>100</v>
      </c>
      <c r="M78" s="7" t="str" cm="1">
        <f t="array" ref="M78">INDEX(Changed!$M:$M,ROW())&amp;IF(Changed!$M78&gt;Base!$M78,"↑",IF(Changed!$M78&lt;Base!$M78," ↓",""))</f>
        <v>70</v>
      </c>
      <c r="N78" s="19">
        <f>Changed!G78-Base!G78</f>
        <v>0</v>
      </c>
    </row>
    <row r="79" spans="1:14" ht="15.75" customHeight="1" x14ac:dyDescent="0.2">
      <c r="A79" s="4">
        <v>78</v>
      </c>
      <c r="B79" s="5" t="s">
        <v>102</v>
      </c>
      <c r="C79" s="6" t="str">
        <f>IF(Changed!C79&lt;&gt;"", Changed!C79, "")</f>
        <v>Water</v>
      </c>
      <c r="D79" s="6" t="str">
        <f>IF(Changed!D79&lt;&gt;"", Changed!D79, "")</f>
        <v>Poison</v>
      </c>
      <c r="E79" s="6" t="str">
        <f>IF(Changed!E79&lt;&gt;"", Changed!E79, "")</f>
        <v>Rain Dish</v>
      </c>
      <c r="F79" s="6" t="str">
        <f>IF(Changed!F79&lt;&gt;"", Changed!F79, "")</f>
        <v>Liquid Ooze</v>
      </c>
      <c r="G79" s="7" t="str" cm="1">
        <f t="array" ref="G79">INDEX(Changed!$G:$G,ROW())&amp;IF(Changed!$G79&gt;Base!$G79,"↑",IF(Changed!$G79&lt;Base!$G79," ↓",""))</f>
        <v>535↑</v>
      </c>
      <c r="H79" s="7" t="str" cm="1">
        <f t="array" ref="H79">INDEX(Changed!$H:$H,ROW())&amp;IF(Changed!$H79&gt;Base!$H79,"↑",IF(Changed!$H79&lt;Base!$H79," ↓",""))</f>
        <v>80</v>
      </c>
      <c r="I79" s="7" t="str" cm="1">
        <f t="array" ref="I79">INDEX(Changed!$I:$I,ROW())&amp;IF(Changed!$I79&gt;Base!$I79,"↑",IF(Changed!$I79&lt;Base!$I79," ↓",""))</f>
        <v>90↑</v>
      </c>
      <c r="J79" s="7" t="str" cm="1">
        <f t="array" ref="J79">INDEX(Changed!$J:$J,ROW())&amp;IF(Changed!$J79&gt;Base!$J79,"↑",IF(Changed!$J79&lt;Base!$J79," ↓",""))</f>
        <v>65</v>
      </c>
      <c r="K79" s="7" t="str" cm="1">
        <f t="array" ref="K79">INDEX(Changed!$K:$K,ROW())&amp;IF(Changed!$K79&gt;Base!$K79,"↑",IF(Changed!$K79&lt;Base!$K79," ↓",""))</f>
        <v>80</v>
      </c>
      <c r="L79" s="7" t="str" cm="1">
        <f t="array" ref="L79">INDEX(Changed!$L:$L,ROW())&amp;IF(Changed!$L79&gt;Base!$L79,"↑",IF(Changed!$L79&lt;Base!$L79," ↓",""))</f>
        <v>120</v>
      </c>
      <c r="M79" s="7" t="str" cm="1">
        <f t="array" ref="M79">INDEX(Changed!$M:$M,ROW())&amp;IF(Changed!$M79&gt;Base!$M79,"↑",IF(Changed!$M79&lt;Base!$M79," ↓",""))</f>
        <v>100</v>
      </c>
      <c r="N79" s="19">
        <f>Changed!G79-Base!G79</f>
        <v>20</v>
      </c>
    </row>
    <row r="80" spans="1:14" ht="15.75" customHeight="1" x14ac:dyDescent="0.2">
      <c r="A80" s="4">
        <v>79</v>
      </c>
      <c r="B80" s="5" t="s">
        <v>103</v>
      </c>
      <c r="C80" s="6" t="str">
        <f>IF(Changed!C80&lt;&gt;"", Changed!C80, "")</f>
        <v>Rock</v>
      </c>
      <c r="D80" s="6" t="str">
        <f>IF(Changed!D80&lt;&gt;"", Changed!D80, "")</f>
        <v/>
      </c>
      <c r="E80" s="6" t="str">
        <f>IF(Changed!E80&lt;&gt;"", Changed!E80, "")</f>
        <v>Rock Head</v>
      </c>
      <c r="F80" s="6" t="str">
        <f>IF(Changed!F80&lt;&gt;"", Changed!F80, "")</f>
        <v>Galvanize</v>
      </c>
      <c r="G80" s="7" t="str" cm="1">
        <f t="array" ref="G80">INDEX(Changed!$G:$G,ROW())&amp;IF(Changed!$G80&gt;Base!$G80,"↑",IF(Changed!$G80&lt;Base!$G80," ↓",""))</f>
        <v>300</v>
      </c>
      <c r="H80" s="7" t="str" cm="1">
        <f t="array" ref="H80">INDEX(Changed!$H:$H,ROW())&amp;IF(Changed!$H80&gt;Base!$H80,"↑",IF(Changed!$H80&lt;Base!$H80," ↓",""))</f>
        <v>40</v>
      </c>
      <c r="I80" s="7" t="str" cm="1">
        <f t="array" ref="I80">INDEX(Changed!$I:$I,ROW())&amp;IF(Changed!$I80&gt;Base!$I80,"↑",IF(Changed!$I80&lt;Base!$I80," ↓",""))</f>
        <v>80</v>
      </c>
      <c r="J80" s="7" t="str" cm="1">
        <f t="array" ref="J80">INDEX(Changed!$J:$J,ROW())&amp;IF(Changed!$J80&gt;Base!$J80,"↑",IF(Changed!$J80&lt;Base!$J80," ↓",""))</f>
        <v>100</v>
      </c>
      <c r="K80" s="7" t="str" cm="1">
        <f t="array" ref="K80">INDEX(Changed!$K:$K,ROW())&amp;IF(Changed!$K80&gt;Base!$K80,"↑",IF(Changed!$K80&lt;Base!$K80," ↓",""))</f>
        <v>30</v>
      </c>
      <c r="L80" s="7" t="str" cm="1">
        <f t="array" ref="L80">INDEX(Changed!$L:$L,ROW())&amp;IF(Changed!$L80&gt;Base!$L80,"↑",IF(Changed!$L80&lt;Base!$L80," ↓",""))</f>
        <v>30</v>
      </c>
      <c r="M80" s="7" t="str" cm="1">
        <f t="array" ref="M80">INDEX(Changed!$M:$M,ROW())&amp;IF(Changed!$M80&gt;Base!$M80,"↑",IF(Changed!$M80&lt;Base!$M80," ↓",""))</f>
        <v>20</v>
      </c>
      <c r="N80" s="19">
        <f>Changed!G80-Base!G80</f>
        <v>0</v>
      </c>
    </row>
    <row r="81" spans="1:14" ht="15.75" customHeight="1" x14ac:dyDescent="0.2">
      <c r="A81" s="4">
        <v>80</v>
      </c>
      <c r="B81" s="5" t="s">
        <v>105</v>
      </c>
      <c r="C81" s="6" t="str">
        <f>IF(Changed!C81&lt;&gt;"", Changed!C81, "")</f>
        <v>Rock</v>
      </c>
      <c r="D81" s="6" t="str">
        <f>IF(Changed!D81&lt;&gt;"", Changed!D81, "")</f>
        <v/>
      </c>
      <c r="E81" s="6" t="str">
        <f>IF(Changed!E81&lt;&gt;"", Changed!E81, "")</f>
        <v>Rock Head</v>
      </c>
      <c r="F81" s="6" t="str">
        <f>IF(Changed!F81&lt;&gt;"", Changed!F81, "")</f>
        <v>Galvanize</v>
      </c>
      <c r="G81" s="7" t="str" cm="1">
        <f t="array" ref="G81">INDEX(Changed!$G:$G,ROW())&amp;IF(Changed!$G81&gt;Base!$G81,"↑",IF(Changed!$G81&lt;Base!$G81," ↓",""))</f>
        <v>390</v>
      </c>
      <c r="H81" s="7" t="str" cm="1">
        <f t="array" ref="H81">INDEX(Changed!$H:$H,ROW())&amp;IF(Changed!$H81&gt;Base!$H81,"↑",IF(Changed!$H81&lt;Base!$H81," ↓",""))</f>
        <v>55</v>
      </c>
      <c r="I81" s="7" t="str" cm="1">
        <f t="array" ref="I81">INDEX(Changed!$I:$I,ROW())&amp;IF(Changed!$I81&gt;Base!$I81,"↑",IF(Changed!$I81&lt;Base!$I81," ↓",""))</f>
        <v>95</v>
      </c>
      <c r="J81" s="7" t="str" cm="1">
        <f t="array" ref="J81">INDEX(Changed!$J:$J,ROW())&amp;IF(Changed!$J81&gt;Base!$J81,"↑",IF(Changed!$J81&lt;Base!$J81," ↓",""))</f>
        <v>115</v>
      </c>
      <c r="K81" s="7" t="str" cm="1">
        <f t="array" ref="K81">INDEX(Changed!$K:$K,ROW())&amp;IF(Changed!$K81&gt;Base!$K81,"↑",IF(Changed!$K81&lt;Base!$K81," ↓",""))</f>
        <v>45</v>
      </c>
      <c r="L81" s="7" t="str" cm="1">
        <f t="array" ref="L81">INDEX(Changed!$L:$L,ROW())&amp;IF(Changed!$L81&gt;Base!$L81,"↑",IF(Changed!$L81&lt;Base!$L81," ↓",""))</f>
        <v>45</v>
      </c>
      <c r="M81" s="7" t="str" cm="1">
        <f t="array" ref="M81">INDEX(Changed!$M:$M,ROW())&amp;IF(Changed!$M81&gt;Base!$M81,"↑",IF(Changed!$M81&lt;Base!$M81," ↓",""))</f>
        <v>35</v>
      </c>
      <c r="N81" s="19">
        <f>Changed!G81-Base!G81</f>
        <v>0</v>
      </c>
    </row>
    <row r="82" spans="1:14" ht="15.75" customHeight="1" x14ac:dyDescent="0.2">
      <c r="A82" s="4">
        <v>81</v>
      </c>
      <c r="B82" s="5" t="s">
        <v>106</v>
      </c>
      <c r="C82" s="6" t="str">
        <f>IF(Changed!C82&lt;&gt;"", Changed!C82, "")</f>
        <v>Rock</v>
      </c>
      <c r="D82" s="6" t="str">
        <f>IF(Changed!D82&lt;&gt;"", Changed!D82, "")</f>
        <v/>
      </c>
      <c r="E82" s="6" t="str">
        <f>IF(Changed!E82&lt;&gt;"", Changed!E82, "")</f>
        <v>Rock Head</v>
      </c>
      <c r="F82" s="6" t="str">
        <f>IF(Changed!F82&lt;&gt;"", Changed!F82, "")</f>
        <v>Galvanize</v>
      </c>
      <c r="G82" s="7" t="str" cm="1">
        <f t="array" ref="G82">INDEX(Changed!$G:$G,ROW())&amp;IF(Changed!$G82&gt;Base!$G82,"↑",IF(Changed!$G82&lt;Base!$G82," ↓",""))</f>
        <v>485</v>
      </c>
      <c r="H82" s="7" t="str" cm="1">
        <f t="array" ref="H82">INDEX(Changed!$H:$H,ROW())&amp;IF(Changed!$H82&gt;Base!$H82,"↑",IF(Changed!$H82&lt;Base!$H82," ↓",""))</f>
        <v>80</v>
      </c>
      <c r="I82" s="7" t="str" cm="1">
        <f t="array" ref="I82">INDEX(Changed!$I:$I,ROW())&amp;IF(Changed!$I82&gt;Base!$I82,"↑",IF(Changed!$I82&lt;Base!$I82," ↓",""))</f>
        <v>110</v>
      </c>
      <c r="J82" s="7" t="str" cm="1">
        <f t="array" ref="J82">INDEX(Changed!$J:$J,ROW())&amp;IF(Changed!$J82&gt;Base!$J82,"↑",IF(Changed!$J82&lt;Base!$J82," ↓",""))</f>
        <v>130</v>
      </c>
      <c r="K82" s="7" t="str" cm="1">
        <f t="array" ref="K82">INDEX(Changed!$K:$K,ROW())&amp;IF(Changed!$K82&gt;Base!$K82,"↑",IF(Changed!$K82&lt;Base!$K82," ↓",""))</f>
        <v>55</v>
      </c>
      <c r="L82" s="7" t="str" cm="1">
        <f t="array" ref="L82">INDEX(Changed!$L:$L,ROW())&amp;IF(Changed!$L82&gt;Base!$L82,"↑",IF(Changed!$L82&lt;Base!$L82," ↓",""))</f>
        <v>65</v>
      </c>
      <c r="M82" s="7" t="str" cm="1">
        <f t="array" ref="M82">INDEX(Changed!$M:$M,ROW())&amp;IF(Changed!$M82&gt;Base!$M82,"↑",IF(Changed!$M82&lt;Base!$M82," ↓",""))</f>
        <v>45</v>
      </c>
      <c r="N82" s="19">
        <f>Changed!G82-Base!G82</f>
        <v>0</v>
      </c>
    </row>
    <row r="83" spans="1:14" ht="15.75" customHeight="1" x14ac:dyDescent="0.2">
      <c r="A83" s="4">
        <v>82</v>
      </c>
      <c r="B83" s="5" t="s">
        <v>107</v>
      </c>
      <c r="C83" s="6" t="str">
        <f>IF(Changed!C83&lt;&gt;"", Changed!C83, "")</f>
        <v>Fire</v>
      </c>
      <c r="D83" s="6" t="str">
        <f>IF(Changed!D83&lt;&gt;"", Changed!D83, "")</f>
        <v/>
      </c>
      <c r="E83" s="6" t="str">
        <f>IF(Changed!E83&lt;&gt;"", Changed!E83, "")</f>
        <v>Run Away</v>
      </c>
      <c r="F83" s="6" t="str">
        <f>IF(Changed!F83&lt;&gt;"", Changed!F83, "")</f>
        <v>Flash Fire</v>
      </c>
      <c r="G83" s="7" t="str" cm="1">
        <f t="array" ref="G83">INDEX(Changed!$G:$G,ROW())&amp;IF(Changed!$G83&gt;Base!$G83,"↑",IF(Changed!$G83&lt;Base!$G83," ↓",""))</f>
        <v>410</v>
      </c>
      <c r="H83" s="7" t="str" cm="1">
        <f t="array" ref="H83">INDEX(Changed!$H:$H,ROW())&amp;IF(Changed!$H83&gt;Base!$H83,"↑",IF(Changed!$H83&lt;Base!$H83," ↓",""))</f>
        <v>50</v>
      </c>
      <c r="I83" s="7" t="str" cm="1">
        <f t="array" ref="I83">INDEX(Changed!$I:$I,ROW())&amp;IF(Changed!$I83&gt;Base!$I83,"↑",IF(Changed!$I83&lt;Base!$I83," ↓",""))</f>
        <v>85</v>
      </c>
      <c r="J83" s="7" t="str" cm="1">
        <f t="array" ref="J83">INDEX(Changed!$J:$J,ROW())&amp;IF(Changed!$J83&gt;Base!$J83,"↑",IF(Changed!$J83&lt;Base!$J83," ↓",""))</f>
        <v>55</v>
      </c>
      <c r="K83" s="7" t="str" cm="1">
        <f t="array" ref="K83">INDEX(Changed!$K:$K,ROW())&amp;IF(Changed!$K83&gt;Base!$K83,"↑",IF(Changed!$K83&lt;Base!$K83," ↓",""))</f>
        <v>65</v>
      </c>
      <c r="L83" s="7" t="str" cm="1">
        <f t="array" ref="L83">INDEX(Changed!$L:$L,ROW())&amp;IF(Changed!$L83&gt;Base!$L83,"↑",IF(Changed!$L83&lt;Base!$L83," ↓",""))</f>
        <v>65</v>
      </c>
      <c r="M83" s="7" t="str" cm="1">
        <f t="array" ref="M83">INDEX(Changed!$M:$M,ROW())&amp;IF(Changed!$M83&gt;Base!$M83,"↑",IF(Changed!$M83&lt;Base!$M83," ↓",""))</f>
        <v>90</v>
      </c>
      <c r="N83" s="19">
        <f>Changed!G83-Base!G83</f>
        <v>0</v>
      </c>
    </row>
    <row r="84" spans="1:14" ht="15.75" customHeight="1" x14ac:dyDescent="0.2">
      <c r="A84" s="4">
        <v>83</v>
      </c>
      <c r="B84" s="5" t="s">
        <v>108</v>
      </c>
      <c r="C84" s="6" t="str">
        <f>IF(Changed!C84&lt;&gt;"", Changed!C84, "")</f>
        <v>Fire</v>
      </c>
      <c r="D84" s="6" t="str">
        <f>IF(Changed!D84&lt;&gt;"", Changed!D84, "")</f>
        <v/>
      </c>
      <c r="E84" s="6" t="str">
        <f>IF(Changed!E84&lt;&gt;"", Changed!E84, "")</f>
        <v>Run Away</v>
      </c>
      <c r="F84" s="6" t="str">
        <f>IF(Changed!F84&lt;&gt;"", Changed!F84, "")</f>
        <v>Flash Fire</v>
      </c>
      <c r="G84" s="7" t="str" cm="1">
        <f t="array" ref="G84">INDEX(Changed!$G:$G,ROW())&amp;IF(Changed!$G84&gt;Base!$G84,"↑",IF(Changed!$G84&lt;Base!$G84," ↓",""))</f>
        <v>500</v>
      </c>
      <c r="H84" s="7" t="str" cm="1">
        <f t="array" ref="H84">INDEX(Changed!$H:$H,ROW())&amp;IF(Changed!$H84&gt;Base!$H84,"↑",IF(Changed!$H84&lt;Base!$H84," ↓",""))</f>
        <v>65</v>
      </c>
      <c r="I84" s="7" t="str" cm="1">
        <f t="array" ref="I84">INDEX(Changed!$I:$I,ROW())&amp;IF(Changed!$I84&gt;Base!$I84,"↑",IF(Changed!$I84&lt;Base!$I84," ↓",""))</f>
        <v>100</v>
      </c>
      <c r="J84" s="7" t="str" cm="1">
        <f t="array" ref="J84">INDEX(Changed!$J:$J,ROW())&amp;IF(Changed!$J84&gt;Base!$J84,"↑",IF(Changed!$J84&lt;Base!$J84," ↓",""))</f>
        <v>70</v>
      </c>
      <c r="K84" s="7" t="str" cm="1">
        <f t="array" ref="K84">INDEX(Changed!$K:$K,ROW())&amp;IF(Changed!$K84&gt;Base!$K84,"↑",IF(Changed!$K84&lt;Base!$K84," ↓",""))</f>
        <v>80</v>
      </c>
      <c r="L84" s="7" t="str" cm="1">
        <f t="array" ref="L84">INDEX(Changed!$L:$L,ROW())&amp;IF(Changed!$L84&gt;Base!$L84,"↑",IF(Changed!$L84&lt;Base!$L84," ↓",""))</f>
        <v>80</v>
      </c>
      <c r="M84" s="7" t="str" cm="1">
        <f t="array" ref="M84">INDEX(Changed!$M:$M,ROW())&amp;IF(Changed!$M84&gt;Base!$M84,"↑",IF(Changed!$M84&lt;Base!$M84," ↓",""))</f>
        <v>105</v>
      </c>
      <c r="N84" s="19">
        <f>Changed!G84-Base!G84</f>
        <v>0</v>
      </c>
    </row>
    <row r="85" spans="1:14" ht="15.75" customHeight="1" x14ac:dyDescent="0.2">
      <c r="A85" s="4">
        <v>84</v>
      </c>
      <c r="B85" s="5" t="s">
        <v>109</v>
      </c>
      <c r="C85" s="6" t="str">
        <f>IF(Changed!C85&lt;&gt;"", Changed!C85, "")</f>
        <v>Water</v>
      </c>
      <c r="D85" s="6" t="str">
        <f>IF(Changed!D85&lt;&gt;"", Changed!D85, "")</f>
        <v>Psychic</v>
      </c>
      <c r="E85" s="6" t="str">
        <f>IF(Changed!E85&lt;&gt;"", Changed!E85, "")</f>
        <v>Oblivious</v>
      </c>
      <c r="F85" s="6" t="str">
        <f>IF(Changed!F85&lt;&gt;"", Changed!F85, "")</f>
        <v>Own Tempo</v>
      </c>
      <c r="G85" s="7" t="str" cm="1">
        <f t="array" ref="G85">INDEX(Changed!$G:$G,ROW())&amp;IF(Changed!$G85&gt;Base!$G85,"↑",IF(Changed!$G85&lt;Base!$G85," ↓",""))</f>
        <v>315</v>
      </c>
      <c r="H85" s="7" t="str" cm="1">
        <f t="array" ref="H85">INDEX(Changed!$H:$H,ROW())&amp;IF(Changed!$H85&gt;Base!$H85,"↑",IF(Changed!$H85&lt;Base!$H85," ↓",""))</f>
        <v>90</v>
      </c>
      <c r="I85" s="7" t="str" cm="1">
        <f t="array" ref="I85">INDEX(Changed!$I:$I,ROW())&amp;IF(Changed!$I85&gt;Base!$I85,"↑",IF(Changed!$I85&lt;Base!$I85," ↓",""))</f>
        <v>65</v>
      </c>
      <c r="J85" s="7" t="str" cm="1">
        <f t="array" ref="J85">INDEX(Changed!$J:$J,ROW())&amp;IF(Changed!$J85&gt;Base!$J85,"↑",IF(Changed!$J85&lt;Base!$J85," ↓",""))</f>
        <v>65</v>
      </c>
      <c r="K85" s="7" t="str" cm="1">
        <f t="array" ref="K85">INDEX(Changed!$K:$K,ROW())&amp;IF(Changed!$K85&gt;Base!$K85,"↑",IF(Changed!$K85&lt;Base!$K85," ↓",""))</f>
        <v>40</v>
      </c>
      <c r="L85" s="7" t="str" cm="1">
        <f t="array" ref="L85">INDEX(Changed!$L:$L,ROW())&amp;IF(Changed!$L85&gt;Base!$L85,"↑",IF(Changed!$L85&lt;Base!$L85," ↓",""))</f>
        <v>40</v>
      </c>
      <c r="M85" s="7" t="str" cm="1">
        <f t="array" ref="M85">INDEX(Changed!$M:$M,ROW())&amp;IF(Changed!$M85&gt;Base!$M85,"↑",IF(Changed!$M85&lt;Base!$M85," ↓",""))</f>
        <v>15</v>
      </c>
      <c r="N85" s="19">
        <f>Changed!G85-Base!G85</f>
        <v>0</v>
      </c>
    </row>
    <row r="86" spans="1:14" ht="15.75" customHeight="1" x14ac:dyDescent="0.2">
      <c r="A86" s="4">
        <v>85</v>
      </c>
      <c r="B86" s="5" t="s">
        <v>110</v>
      </c>
      <c r="C86" s="6" t="str">
        <f>IF(Changed!C86&lt;&gt;"", Changed!C86, "")</f>
        <v>Water</v>
      </c>
      <c r="D86" s="6" t="str">
        <f>IF(Changed!D86&lt;&gt;"", Changed!D86, "")</f>
        <v>Psychic</v>
      </c>
      <c r="E86" s="6" t="str">
        <f>IF(Changed!E86&lt;&gt;"", Changed!E86, "")</f>
        <v>Oblivious</v>
      </c>
      <c r="F86" s="6" t="str">
        <f>IF(Changed!F86&lt;&gt;"", Changed!F86, "")</f>
        <v>Regenerator</v>
      </c>
      <c r="G86" s="7" t="str" cm="1">
        <f t="array" ref="G86">INDEX(Changed!$G:$G,ROW())&amp;IF(Changed!$G86&gt;Base!$G86,"↑",IF(Changed!$G86&lt;Base!$G86," ↓",""))</f>
        <v>490</v>
      </c>
      <c r="H86" s="7" t="str" cm="1">
        <f t="array" ref="H86">INDEX(Changed!$H:$H,ROW())&amp;IF(Changed!$H86&gt;Base!$H86,"↑",IF(Changed!$H86&lt;Base!$H86," ↓",""))</f>
        <v>95</v>
      </c>
      <c r="I86" s="7" t="str" cm="1">
        <f t="array" ref="I86">INDEX(Changed!$I:$I,ROW())&amp;IF(Changed!$I86&gt;Base!$I86,"↑",IF(Changed!$I86&lt;Base!$I86," ↓",""))</f>
        <v>75</v>
      </c>
      <c r="J86" s="7" t="str" cm="1">
        <f t="array" ref="J86">INDEX(Changed!$J:$J,ROW())&amp;IF(Changed!$J86&gt;Base!$J86,"↑",IF(Changed!$J86&lt;Base!$J86," ↓",""))</f>
        <v>110</v>
      </c>
      <c r="K86" s="7" t="str" cm="1">
        <f t="array" ref="K86">INDEX(Changed!$K:$K,ROW())&amp;IF(Changed!$K86&gt;Base!$K86,"↑",IF(Changed!$K86&lt;Base!$K86," ↓",""))</f>
        <v>100</v>
      </c>
      <c r="L86" s="7" t="str" cm="1">
        <f t="array" ref="L86">INDEX(Changed!$L:$L,ROW())&amp;IF(Changed!$L86&gt;Base!$L86,"↑",IF(Changed!$L86&lt;Base!$L86," ↓",""))</f>
        <v>80</v>
      </c>
      <c r="M86" s="7" t="str" cm="1">
        <f t="array" ref="M86">INDEX(Changed!$M:$M,ROW())&amp;IF(Changed!$M86&gt;Base!$M86,"↑",IF(Changed!$M86&lt;Base!$M86," ↓",""))</f>
        <v>30</v>
      </c>
      <c r="N86" s="19">
        <f>Changed!G86-Base!G86</f>
        <v>0</v>
      </c>
    </row>
    <row r="87" spans="1:14" ht="15.75" customHeight="1" x14ac:dyDescent="0.2">
      <c r="A87" s="4">
        <v>86</v>
      </c>
      <c r="B87" s="5" t="s">
        <v>234</v>
      </c>
      <c r="C87" s="6" t="str">
        <f>IF(Changed!C87&lt;&gt;"", Changed!C87, "")</f>
        <v>Water</v>
      </c>
      <c r="D87" s="6" t="str">
        <f>IF(Changed!D87&lt;&gt;"", Changed!D87, "")</f>
        <v>Psychic</v>
      </c>
      <c r="E87" s="6" t="str">
        <f>IF(Changed!F87&lt;&gt;"", Changed!F87, "")</f>
        <v>Own Tempo</v>
      </c>
      <c r="F87" s="6" t="str">
        <f>IF(Changed!F87&lt;&gt;"", Changed!F87, "")</f>
        <v>Own Tempo</v>
      </c>
      <c r="G87" s="7" t="str" cm="1">
        <f t="array" ref="G87">INDEX(Changed!$G:$G,ROW())&amp;IF(Changed!$G87&gt;Base!$G87,"↑",IF(Changed!$G87&lt;Base!$G87," ↓",""))</f>
        <v>490</v>
      </c>
      <c r="H87" s="7" t="str" cm="1">
        <f t="array" ref="H87">INDEX(Changed!$H:$H,ROW())&amp;IF(Changed!$H87&gt;Base!$H87,"↑",IF(Changed!$H87&lt;Base!$H87," ↓",""))</f>
        <v>95</v>
      </c>
      <c r="I87" s="7" t="str" cm="1">
        <f t="array" ref="I87">INDEX(Changed!$I:$I,ROW())&amp;IF(Changed!$I87&gt;Base!$I87,"↑",IF(Changed!$I87&lt;Base!$I87," ↓",""))</f>
        <v>75</v>
      </c>
      <c r="J87" s="7" t="str" cm="1">
        <f t="array" ref="J87">INDEX(Changed!$J:$J,ROW())&amp;IF(Changed!$J87&gt;Base!$J87,"↑",IF(Changed!$J87&lt;Base!$J87," ↓",""))</f>
        <v>80</v>
      </c>
      <c r="K87" s="7" t="str" cm="1">
        <f t="array" ref="K87">INDEX(Changed!$K:$K,ROW())&amp;IF(Changed!$K87&gt;Base!$K87,"↑",IF(Changed!$K87&lt;Base!$K87," ↓",""))</f>
        <v>100</v>
      </c>
      <c r="L87" s="7" t="str" cm="1">
        <f t="array" ref="L87">INDEX(Changed!$L:$L,ROW())&amp;IF(Changed!$L87&gt;Base!$L87,"↑",IF(Changed!$L87&lt;Base!$L87," ↓",""))</f>
        <v>110</v>
      </c>
      <c r="M87" s="7" t="str" cm="1">
        <f t="array" ref="M87">INDEX(Changed!$M:$M,ROW())&amp;IF(Changed!$M87&gt;Base!$M87,"↑",IF(Changed!$M87&lt;Base!$M87," ↓",""))</f>
        <v>30</v>
      </c>
      <c r="N87" s="19">
        <f>Changed!G87-Base!G87</f>
        <v>0</v>
      </c>
    </row>
    <row r="88" spans="1:14" ht="15.75" customHeight="1" x14ac:dyDescent="0.2">
      <c r="A88" s="4">
        <v>87</v>
      </c>
      <c r="B88" s="5" t="s">
        <v>111</v>
      </c>
      <c r="C88" s="6" t="str">
        <f>IF(Changed!C88&lt;&gt;"", Changed!C88, "")</f>
        <v>Electric</v>
      </c>
      <c r="D88" s="6" t="str">
        <f>IF(Changed!D88&lt;&gt;"", Changed!D88, "")</f>
        <v>Steel</v>
      </c>
      <c r="E88" s="6" t="str">
        <f>IF(Changed!E88&lt;&gt;"", Changed!E88, "")</f>
        <v>Manget Pull</v>
      </c>
      <c r="F88" s="6" t="str">
        <f>IF(Changed!F88&lt;&gt;"", Changed!F88, "")</f>
        <v>Levitate</v>
      </c>
      <c r="G88" s="7" t="str" cm="1">
        <f t="array" ref="G88">INDEX(Changed!$G:$G,ROW())&amp;IF(Changed!$G88&gt;Base!$G88,"↑",IF(Changed!$G88&lt;Base!$G88," ↓",""))</f>
        <v>325</v>
      </c>
      <c r="H88" s="7" t="str" cm="1">
        <f t="array" ref="H88">INDEX(Changed!$H:$H,ROW())&amp;IF(Changed!$H88&gt;Base!$H88,"↑",IF(Changed!$H88&lt;Base!$H88," ↓",""))</f>
        <v>25</v>
      </c>
      <c r="I88" s="7" t="str" cm="1">
        <f t="array" ref="I88">INDEX(Changed!$I:$I,ROW())&amp;IF(Changed!$I88&gt;Base!$I88,"↑",IF(Changed!$I88&lt;Base!$I88," ↓",""))</f>
        <v>35</v>
      </c>
      <c r="J88" s="7" t="str" cm="1">
        <f t="array" ref="J88">INDEX(Changed!$J:$J,ROW())&amp;IF(Changed!$J88&gt;Base!$J88,"↑",IF(Changed!$J88&lt;Base!$J88," ↓",""))</f>
        <v>70</v>
      </c>
      <c r="K88" s="7" t="str" cm="1">
        <f t="array" ref="K88">INDEX(Changed!$K:$K,ROW())&amp;IF(Changed!$K88&gt;Base!$K88,"↑",IF(Changed!$K88&lt;Base!$K88," ↓",""))</f>
        <v>95</v>
      </c>
      <c r="L88" s="7" t="str" cm="1">
        <f t="array" ref="L88">INDEX(Changed!$L:$L,ROW())&amp;IF(Changed!$L88&gt;Base!$L88,"↑",IF(Changed!$L88&lt;Base!$L88," ↓",""))</f>
        <v>55</v>
      </c>
      <c r="M88" s="7" t="str" cm="1">
        <f t="array" ref="M88">INDEX(Changed!$M:$M,ROW())&amp;IF(Changed!$M88&gt;Base!$M88,"↑",IF(Changed!$M88&lt;Base!$M88," ↓",""))</f>
        <v>45</v>
      </c>
      <c r="N88" s="19">
        <f>Changed!G88-Base!G88</f>
        <v>0</v>
      </c>
    </row>
    <row r="89" spans="1:14" ht="15.75" customHeight="1" x14ac:dyDescent="0.2">
      <c r="A89" s="4">
        <v>88</v>
      </c>
      <c r="B89" s="5" t="s">
        <v>113</v>
      </c>
      <c r="C89" s="6" t="str">
        <f>IF(Changed!C89&lt;&gt;"", Changed!C89, "")</f>
        <v>Electric</v>
      </c>
      <c r="D89" s="6" t="str">
        <f>IF(Changed!D89&lt;&gt;"", Changed!D89, "")</f>
        <v>Steel</v>
      </c>
      <c r="E89" s="6" t="str">
        <f>IF(Changed!E89&lt;&gt;"", Changed!E89, "")</f>
        <v>Manget Pull</v>
      </c>
      <c r="F89" s="6" t="str">
        <f>IF(Changed!F89&lt;&gt;"", Changed!F89, "")</f>
        <v>Levitate</v>
      </c>
      <c r="G89" s="7" t="str" cm="1">
        <f t="array" ref="G89">INDEX(Changed!$G:$G,ROW())&amp;IF(Changed!$G89&gt;Base!$G89,"↑",IF(Changed!$G89&lt;Base!$G89," ↓",""))</f>
        <v>465</v>
      </c>
      <c r="H89" s="7" t="str" cm="1">
        <f t="array" ref="H89">INDEX(Changed!$H:$H,ROW())&amp;IF(Changed!$H89&gt;Base!$H89,"↑",IF(Changed!$H89&lt;Base!$H89," ↓",""))</f>
        <v>50</v>
      </c>
      <c r="I89" s="7" t="str" cm="1">
        <f t="array" ref="I89">INDEX(Changed!$I:$I,ROW())&amp;IF(Changed!$I89&gt;Base!$I89,"↑",IF(Changed!$I89&lt;Base!$I89," ↓",""))</f>
        <v>60</v>
      </c>
      <c r="J89" s="7" t="str" cm="1">
        <f t="array" ref="J89">INDEX(Changed!$J:$J,ROW())&amp;IF(Changed!$J89&gt;Base!$J89,"↑",IF(Changed!$J89&lt;Base!$J89," ↓",""))</f>
        <v>95</v>
      </c>
      <c r="K89" s="7" t="str" cm="1">
        <f t="array" ref="K89">INDEX(Changed!$K:$K,ROW())&amp;IF(Changed!$K89&gt;Base!$K89,"↑",IF(Changed!$K89&lt;Base!$K89," ↓",""))</f>
        <v>120</v>
      </c>
      <c r="L89" s="7" t="str" cm="1">
        <f t="array" ref="L89">INDEX(Changed!$L:$L,ROW())&amp;IF(Changed!$L89&gt;Base!$L89,"↑",IF(Changed!$L89&lt;Base!$L89," ↓",""))</f>
        <v>70</v>
      </c>
      <c r="M89" s="7" t="str" cm="1">
        <f t="array" ref="M89">INDEX(Changed!$M:$M,ROW())&amp;IF(Changed!$M89&gt;Base!$M89,"↑",IF(Changed!$M89&lt;Base!$M89," ↓",""))</f>
        <v>70</v>
      </c>
      <c r="N89" s="19">
        <f>Changed!G89-Base!G89</f>
        <v>0</v>
      </c>
    </row>
    <row r="90" spans="1:14" ht="15.75" customHeight="1" x14ac:dyDescent="0.2">
      <c r="A90" s="4">
        <v>89</v>
      </c>
      <c r="B90" s="5" t="s">
        <v>497</v>
      </c>
      <c r="C90" s="6" t="str">
        <f>IF(Changed!C90&lt;&gt;"", Changed!C90, "")</f>
        <v>Electric</v>
      </c>
      <c r="D90" s="6" t="str">
        <f>IF(Changed!D90&lt;&gt;"", Changed!D90, "")</f>
        <v>Steel</v>
      </c>
      <c r="E90" s="6" t="str">
        <f>IF(Changed!E90&lt;&gt;"", Changed!E90, "")</f>
        <v>Magnet Pull</v>
      </c>
      <c r="F90" s="6" t="str">
        <f>IF(Changed!F90&lt;&gt;"", Changed!F90, "")</f>
        <v>Levitate</v>
      </c>
      <c r="G90" s="7" t="str" cm="1">
        <f t="array" ref="G90">INDEX(Changed!$G:$G,ROW())&amp;IF(Changed!$G90&gt;Base!$G90,"↑",IF(Changed!$G90&lt;Base!$G90," ↓",""))</f>
        <v>535</v>
      </c>
      <c r="H90" s="7" t="str" cm="1">
        <f t="array" ref="H90">INDEX(Changed!$H:$H,ROW())&amp;IF(Changed!$H90&gt;Base!$H90,"↑",IF(Changed!$H90&lt;Base!$H90," ↓",""))</f>
        <v>70</v>
      </c>
      <c r="I90" s="7" t="str" cm="1">
        <f t="array" ref="I90">INDEX(Changed!$I:$I,ROW())&amp;IF(Changed!$I90&gt;Base!$I90,"↑",IF(Changed!$I90&lt;Base!$I90," ↓",""))</f>
        <v>70</v>
      </c>
      <c r="J90" s="7" t="str" cm="1">
        <f t="array" ref="J90">INDEX(Changed!$J:$J,ROW())&amp;IF(Changed!$J90&gt;Base!$J90,"↑",IF(Changed!$J90&lt;Base!$J90," ↓",""))</f>
        <v>115</v>
      </c>
      <c r="K90" s="7" t="str" cm="1">
        <f t="array" ref="K90">INDEX(Changed!$K:$K,ROW())&amp;IF(Changed!$K90&gt;Base!$K90,"↑",IF(Changed!$K90&lt;Base!$K90," ↓",""))</f>
        <v>130</v>
      </c>
      <c r="L90" s="7" t="str" cm="1">
        <f t="array" ref="L90">INDEX(Changed!$L:$L,ROW())&amp;IF(Changed!$L90&gt;Base!$L90,"↑",IF(Changed!$L90&lt;Base!$L90," ↓",""))</f>
        <v>90</v>
      </c>
      <c r="M90" s="7" t="str" cm="1">
        <f t="array" ref="M90">INDEX(Changed!$M:$M,ROW())&amp;IF(Changed!$M90&gt;Base!$M90,"↑",IF(Changed!$M90&lt;Base!$M90," ↓",""))</f>
        <v>60</v>
      </c>
      <c r="N90" s="19">
        <f>Changed!G90-Base!G90</f>
        <v>0</v>
      </c>
    </row>
    <row r="91" spans="1:14" ht="15.75" customHeight="1" x14ac:dyDescent="0.2">
      <c r="A91" s="4">
        <v>90</v>
      </c>
      <c r="B91" s="5" t="s">
        <v>114</v>
      </c>
      <c r="C91" s="6" t="str">
        <f>IF(Changed!C91&lt;&gt;"", Changed!C91, "")</f>
        <v>Fighting</v>
      </c>
      <c r="D91" s="6" t="str">
        <f>IF(Changed!D91&lt;&gt;"", Changed!D91, "")</f>
        <v>Flying</v>
      </c>
      <c r="E91" s="6" t="str">
        <f>IF(Changed!E91&lt;&gt;"", Changed!E91, "")</f>
        <v>Super Luck</v>
      </c>
      <c r="F91" s="6" t="str">
        <f>IF(Changed!F91&lt;&gt;"", Changed!F91, "")</f>
        <v>Sniper</v>
      </c>
      <c r="G91" s="7" t="str" cm="1">
        <f t="array" ref="G91">INDEX(Changed!$G:$G,ROW())&amp;IF(Changed!$G91&gt;Base!$G91,"↑",IF(Changed!$G91&lt;Base!$G91," ↓",""))</f>
        <v>377</v>
      </c>
      <c r="H91" s="7" t="str" cm="1">
        <f t="array" ref="H91">INDEX(Changed!$H:$H,ROW())&amp;IF(Changed!$H91&gt;Base!$H91,"↑",IF(Changed!$H91&lt;Base!$H91," ↓",""))</f>
        <v>52</v>
      </c>
      <c r="I91" s="7" t="str" cm="1">
        <f t="array" ref="I91">INDEX(Changed!$I:$I,ROW())&amp;IF(Changed!$I91&gt;Base!$I91,"↑",IF(Changed!$I91&lt;Base!$I91," ↓",""))</f>
        <v>90</v>
      </c>
      <c r="J91" s="7" t="str" cm="1">
        <f t="array" ref="J91">INDEX(Changed!$J:$J,ROW())&amp;IF(Changed!$J91&gt;Base!$J91,"↑",IF(Changed!$J91&lt;Base!$J91," ↓",""))</f>
        <v>55</v>
      </c>
      <c r="K91" s="7" t="str" cm="1">
        <f t="array" ref="K91">INDEX(Changed!$K:$K,ROW())&amp;IF(Changed!$K91&gt;Base!$K91,"↑",IF(Changed!$K91&lt;Base!$K91," ↓",""))</f>
        <v>58</v>
      </c>
      <c r="L91" s="7" t="str" cm="1">
        <f t="array" ref="L91">INDEX(Changed!$L:$L,ROW())&amp;IF(Changed!$L91&gt;Base!$L91,"↑",IF(Changed!$L91&lt;Base!$L91," ↓",""))</f>
        <v>62</v>
      </c>
      <c r="M91" s="7" t="str" cm="1">
        <f t="array" ref="M91">INDEX(Changed!$M:$M,ROW())&amp;IF(Changed!$M91&gt;Base!$M91,"↑",IF(Changed!$M91&lt;Base!$M91," ↓",""))</f>
        <v>60</v>
      </c>
      <c r="N91" s="19">
        <f>Changed!G91-Base!G91</f>
        <v>0</v>
      </c>
    </row>
    <row r="92" spans="1:14" ht="15.75" customHeight="1" x14ac:dyDescent="0.2">
      <c r="A92" s="4">
        <v>91</v>
      </c>
      <c r="B92" s="5" t="s">
        <v>942</v>
      </c>
      <c r="C92" s="6" t="str">
        <f>IF(Changed!C92&lt;&gt;"", Changed!C92, "")</f>
        <v>Fighting</v>
      </c>
      <c r="D92" s="6" t="str">
        <f>IF(Changed!D92&lt;&gt;"", Changed!D92, "")</f>
        <v>Flying</v>
      </c>
      <c r="E92" s="6" t="str">
        <f>IF(Changed!E92&lt;&gt;"", Changed!E92, "")</f>
        <v>Super Luck</v>
      </c>
      <c r="F92" s="6" t="str">
        <f>IF(Changed!F92&lt;&gt;"", Changed!F92, "")</f>
        <v>Sniper</v>
      </c>
      <c r="G92" s="7" t="str" cm="1">
        <f t="array" ref="G92">INDEX(Changed!$G:$G,ROW())&amp;IF(Changed!$G92&gt;Base!$G92,"↑",IF(Changed!$G92&lt;Base!$G92," ↓",""))</f>
        <v>507</v>
      </c>
      <c r="H92" s="7" t="str" cm="1">
        <f t="array" ref="H92">INDEX(Changed!$H:$H,ROW())&amp;IF(Changed!$H92&gt;Base!$H92,"↑",IF(Changed!$H92&lt;Base!$H92," ↓",""))</f>
        <v>62</v>
      </c>
      <c r="I92" s="7" t="str" cm="1">
        <f t="array" ref="I92">INDEX(Changed!$I:$I,ROW())&amp;IF(Changed!$I92&gt;Base!$I92,"↑",IF(Changed!$I92&lt;Base!$I92," ↓",""))</f>
        <v>135</v>
      </c>
      <c r="J92" s="7" t="str" cm="1">
        <f t="array" ref="J92">INDEX(Changed!$J:$J,ROW())&amp;IF(Changed!$J92&gt;Base!$J92,"↑",IF(Changed!$J92&lt;Base!$J92," ↓",""))</f>
        <v>95</v>
      </c>
      <c r="K92" s="7" t="str" cm="1">
        <f t="array" ref="K92">INDEX(Changed!$K:$K,ROW())&amp;IF(Changed!$K92&gt;Base!$K92,"↑",IF(Changed!$K92&lt;Base!$K92," ↓",""))</f>
        <v>68</v>
      </c>
      <c r="L92" s="7" t="str" cm="1">
        <f t="array" ref="L92">INDEX(Changed!$L:$L,ROW())&amp;IF(Changed!$L92&gt;Base!$L92,"↑",IF(Changed!$L92&lt;Base!$L92," ↓",""))</f>
        <v>82</v>
      </c>
      <c r="M92" s="7" t="str" cm="1">
        <f t="array" ref="M92">INDEX(Changed!$M:$M,ROW())&amp;IF(Changed!$M92&gt;Base!$M92,"↑",IF(Changed!$M92&lt;Base!$M92," ↓",""))</f>
        <v>65</v>
      </c>
      <c r="N92" s="19">
        <f>Changed!G92-Base!G92</f>
        <v>0</v>
      </c>
    </row>
    <row r="93" spans="1:14" ht="15.75" customHeight="1" x14ac:dyDescent="0.2">
      <c r="A93" s="4">
        <v>92</v>
      </c>
      <c r="B93" s="5" t="s">
        <v>115</v>
      </c>
      <c r="C93" s="6" t="str">
        <f>IF(Changed!C93&lt;&gt;"", Changed!C93, "")</f>
        <v>Ground</v>
      </c>
      <c r="D93" s="6" t="str">
        <f>IF(Changed!D93&lt;&gt;"", Changed!D93, "")</f>
        <v>Flying</v>
      </c>
      <c r="E93" s="6" t="str">
        <f>IF(Changed!E93&lt;&gt;"", Changed!E93, "")</f>
        <v>Parental Bond</v>
      </c>
      <c r="F93" s="6" t="str">
        <f>IF(Changed!F93&lt;&gt;"", Changed!F93, "")</f>
        <v>Early Bird</v>
      </c>
      <c r="G93" s="7" t="str" cm="1">
        <f t="array" ref="G93">INDEX(Changed!$G:$G,ROW())&amp;IF(Changed!$G93&gt;Base!$G93,"↑",IF(Changed!$G93&lt;Base!$G93," ↓",""))</f>
        <v>310</v>
      </c>
      <c r="H93" s="7" t="str" cm="1">
        <f t="array" ref="H93">INDEX(Changed!$H:$H,ROW())&amp;IF(Changed!$H93&gt;Base!$H93,"↑",IF(Changed!$H93&lt;Base!$H93," ↓",""))</f>
        <v>35</v>
      </c>
      <c r="I93" s="7" t="str" cm="1">
        <f t="array" ref="I93">INDEX(Changed!$I:$I,ROW())&amp;IF(Changed!$I93&gt;Base!$I93,"↑",IF(Changed!$I93&lt;Base!$I93," ↓",""))</f>
        <v>85</v>
      </c>
      <c r="J93" s="7" t="str" cm="1">
        <f t="array" ref="J93">INDEX(Changed!$J:$J,ROW())&amp;IF(Changed!$J93&gt;Base!$J93,"↑",IF(Changed!$J93&lt;Base!$J93," ↓",""))</f>
        <v>45</v>
      </c>
      <c r="K93" s="7" t="str" cm="1">
        <f t="array" ref="K93">INDEX(Changed!$K:$K,ROW())&amp;IF(Changed!$K93&gt;Base!$K93,"↑",IF(Changed!$K93&lt;Base!$K93," ↓",""))</f>
        <v>35</v>
      </c>
      <c r="L93" s="7" t="str" cm="1">
        <f t="array" ref="L93">INDEX(Changed!$L:$L,ROW())&amp;IF(Changed!$L93&gt;Base!$L93,"↑",IF(Changed!$L93&lt;Base!$L93," ↓",""))</f>
        <v>35</v>
      </c>
      <c r="M93" s="7" t="str" cm="1">
        <f t="array" ref="M93">INDEX(Changed!$M:$M,ROW())&amp;IF(Changed!$M93&gt;Base!$M93,"↑",IF(Changed!$M93&lt;Base!$M93," ↓",""))</f>
        <v>75</v>
      </c>
      <c r="N93" s="19">
        <f>Changed!G93-Base!G93</f>
        <v>0</v>
      </c>
    </row>
    <row r="94" spans="1:14" ht="15.75" customHeight="1" x14ac:dyDescent="0.2">
      <c r="A94" s="4">
        <v>93</v>
      </c>
      <c r="B94" s="5" t="s">
        <v>116</v>
      </c>
      <c r="C94" s="6" t="str">
        <f>IF(Changed!C94&lt;&gt;"", Changed!C94, "")</f>
        <v>Ground</v>
      </c>
      <c r="D94" s="6" t="str">
        <f>IF(Changed!D94&lt;&gt;"", Changed!D94, "")</f>
        <v>Flying</v>
      </c>
      <c r="E94" s="6" t="str">
        <f>IF(Changed!E94&lt;&gt;"", Changed!E94, "")</f>
        <v>Parental Bond</v>
      </c>
      <c r="F94" s="6" t="str">
        <f>IF(Changed!F94&lt;&gt;"", Changed!F94, "")</f>
        <v>Early Bird</v>
      </c>
      <c r="G94" s="7" t="str" cm="1">
        <f t="array" ref="G94">INDEX(Changed!$G:$G,ROW())&amp;IF(Changed!$G94&gt;Base!$G94,"↑",IF(Changed!$G94&lt;Base!$G94," ↓",""))</f>
        <v>470</v>
      </c>
      <c r="H94" s="7" t="str" cm="1">
        <f t="array" ref="H94">INDEX(Changed!$H:$H,ROW())&amp;IF(Changed!$H94&gt;Base!$H94,"↑",IF(Changed!$H94&lt;Base!$H94," ↓",""))</f>
        <v>60</v>
      </c>
      <c r="I94" s="7" t="str" cm="1">
        <f t="array" ref="I94">INDEX(Changed!$I:$I,ROW())&amp;IF(Changed!$I94&gt;Base!$I94,"↑",IF(Changed!$I94&lt;Base!$I94," ↓",""))</f>
        <v>110</v>
      </c>
      <c r="J94" s="7" t="str" cm="1">
        <f t="array" ref="J94">INDEX(Changed!$J:$J,ROW())&amp;IF(Changed!$J94&gt;Base!$J94,"↑",IF(Changed!$J94&lt;Base!$J94," ↓",""))</f>
        <v>70</v>
      </c>
      <c r="K94" s="7" t="str" cm="1">
        <f t="array" ref="K94">INDEX(Changed!$K:$K,ROW())&amp;IF(Changed!$K94&gt;Base!$K94,"↑",IF(Changed!$K94&lt;Base!$K94," ↓",""))</f>
        <v>60</v>
      </c>
      <c r="L94" s="7" t="str" cm="1">
        <f t="array" ref="L94">INDEX(Changed!$L:$L,ROW())&amp;IF(Changed!$L94&gt;Base!$L94,"↑",IF(Changed!$L94&lt;Base!$L94," ↓",""))</f>
        <v>60</v>
      </c>
      <c r="M94" s="7" t="str" cm="1">
        <f t="array" ref="M94">INDEX(Changed!$M:$M,ROW())&amp;IF(Changed!$M94&gt;Base!$M94,"↑",IF(Changed!$M94&lt;Base!$M94," ↓",""))</f>
        <v>110</v>
      </c>
      <c r="N94" s="19">
        <f>Changed!G94-Base!G94</f>
        <v>0</v>
      </c>
    </row>
    <row r="95" spans="1:14" ht="15.75" customHeight="1" x14ac:dyDescent="0.2">
      <c r="A95" s="4">
        <v>94</v>
      </c>
      <c r="B95" s="5" t="s">
        <v>117</v>
      </c>
      <c r="C95" s="6" t="str">
        <f>IF(Changed!C95&lt;&gt;"", Changed!C95, "")</f>
        <v>Water</v>
      </c>
      <c r="D95" s="6" t="str">
        <f>IF(Changed!D95&lt;&gt;"", Changed!D95, "")</f>
        <v/>
      </c>
      <c r="E95" s="6" t="str">
        <f>IF(Changed!E95&lt;&gt;"", Changed!E95, "")</f>
        <v>Thick Fat</v>
      </c>
      <c r="F95" s="6" t="str">
        <f>IF(Changed!F95&lt;&gt;"", Changed!F95, "")</f>
        <v>Refrigerate</v>
      </c>
      <c r="G95" s="7" t="str" cm="1">
        <f t="array" ref="G95">INDEX(Changed!$G:$G,ROW())&amp;IF(Changed!$G95&gt;Base!$G95,"↑",IF(Changed!$G95&lt;Base!$G95," ↓",""))</f>
        <v>335↑</v>
      </c>
      <c r="H95" s="7" t="str" cm="1">
        <f t="array" ref="H95">INDEX(Changed!$H:$H,ROW())&amp;IF(Changed!$H95&gt;Base!$H95,"↑",IF(Changed!$H95&lt;Base!$H95," ↓",""))</f>
        <v>65</v>
      </c>
      <c r="I95" s="7" t="str" cm="1">
        <f t="array" ref="I95">INDEX(Changed!$I:$I,ROW())&amp;IF(Changed!$I95&gt;Base!$I95,"↑",IF(Changed!$I95&lt;Base!$I95," ↓",""))</f>
        <v>45</v>
      </c>
      <c r="J95" s="7" t="str" cm="1">
        <f t="array" ref="J95">INDEX(Changed!$J:$J,ROW())&amp;IF(Changed!$J95&gt;Base!$J95,"↑",IF(Changed!$J95&lt;Base!$J95," ↓",""))</f>
        <v>55</v>
      </c>
      <c r="K95" s="7" t="str" cm="1">
        <f t="array" ref="K95">INDEX(Changed!$K:$K,ROW())&amp;IF(Changed!$K95&gt;Base!$K95,"↑",IF(Changed!$K95&lt;Base!$K95," ↓",""))</f>
        <v>45</v>
      </c>
      <c r="L95" s="7" t="str" cm="1">
        <f t="array" ref="L95">INDEX(Changed!$L:$L,ROW())&amp;IF(Changed!$L95&gt;Base!$L95,"↑",IF(Changed!$L95&lt;Base!$L95," ↓",""))</f>
        <v>80↑</v>
      </c>
      <c r="M95" s="7" t="str" cm="1">
        <f t="array" ref="M95">INDEX(Changed!$M:$M,ROW())&amp;IF(Changed!$M95&gt;Base!$M95,"↑",IF(Changed!$M95&lt;Base!$M95," ↓",""))</f>
        <v>45</v>
      </c>
      <c r="N95" s="19">
        <f>Changed!G95-Base!G95</f>
        <v>10</v>
      </c>
    </row>
    <row r="96" spans="1:14" ht="15.75" customHeight="1" x14ac:dyDescent="0.2">
      <c r="A96" s="4">
        <v>95</v>
      </c>
      <c r="B96" s="5" t="s">
        <v>118</v>
      </c>
      <c r="C96" s="6" t="str">
        <f>IF(Changed!C96&lt;&gt;"", Changed!C96, "")</f>
        <v>Water</v>
      </c>
      <c r="D96" s="6" t="str">
        <f>IF(Changed!D96&lt;&gt;"", Changed!D96, "")</f>
        <v>Ice</v>
      </c>
      <c r="E96" s="6" t="str">
        <f>IF(Changed!E96&lt;&gt;"", Changed!E96, "")</f>
        <v>Thick Fat</v>
      </c>
      <c r="F96" s="6" t="str">
        <f>IF(Changed!F96&lt;&gt;"", Changed!F96, "")</f>
        <v>Refrigerate</v>
      </c>
      <c r="G96" s="7" t="str" cm="1">
        <f t="array" ref="G96">INDEX(Changed!$G:$G,ROW())&amp;IF(Changed!$G96&gt;Base!$G96,"↑",IF(Changed!$G96&lt;Base!$G96," ↓",""))</f>
        <v>485↑</v>
      </c>
      <c r="H96" s="7" t="str" cm="1">
        <f t="array" ref="H96">INDEX(Changed!$H:$H,ROW())&amp;IF(Changed!$H96&gt;Base!$H96,"↑",IF(Changed!$H96&lt;Base!$H96," ↓",""))</f>
        <v>90</v>
      </c>
      <c r="I96" s="7" t="str" cm="1">
        <f t="array" ref="I96">INDEX(Changed!$I:$I,ROW())&amp;IF(Changed!$I96&gt;Base!$I96,"↑",IF(Changed!$I96&lt;Base!$I96," ↓",""))</f>
        <v>70</v>
      </c>
      <c r="J96" s="7" t="str" cm="1">
        <f t="array" ref="J96">INDEX(Changed!$J:$J,ROW())&amp;IF(Changed!$J96&gt;Base!$J96,"↑",IF(Changed!$J96&lt;Base!$J96," ↓",""))</f>
        <v>80</v>
      </c>
      <c r="K96" s="7" t="str" cm="1">
        <f t="array" ref="K96">INDEX(Changed!$K:$K,ROW())&amp;IF(Changed!$K96&gt;Base!$K96,"↑",IF(Changed!$K96&lt;Base!$K96," ↓",""))</f>
        <v>70</v>
      </c>
      <c r="L96" s="7" t="str" cm="1">
        <f t="array" ref="L96">INDEX(Changed!$L:$L,ROW())&amp;IF(Changed!$L96&gt;Base!$L96,"↑",IF(Changed!$L96&lt;Base!$L96," ↓",""))</f>
        <v>105↑</v>
      </c>
      <c r="M96" s="7" t="str" cm="1">
        <f t="array" ref="M96">INDEX(Changed!$M:$M,ROW())&amp;IF(Changed!$M96&gt;Base!$M96,"↑",IF(Changed!$M96&lt;Base!$M96," ↓",""))</f>
        <v>70</v>
      </c>
      <c r="N96" s="19">
        <f>Changed!G96-Base!G96</f>
        <v>10</v>
      </c>
    </row>
    <row r="97" spans="1:15" ht="15.75" customHeight="1" x14ac:dyDescent="0.2">
      <c r="A97" s="4">
        <v>96</v>
      </c>
      <c r="B97" s="5" t="s">
        <v>120</v>
      </c>
      <c r="C97" s="6" t="str">
        <f>IF(Changed!C97&lt;&gt;"", Changed!C97, "")</f>
        <v>Poison</v>
      </c>
      <c r="D97" s="6" t="str">
        <f>IF(Changed!D97&lt;&gt;"", Changed!D97, "")</f>
        <v/>
      </c>
      <c r="E97" s="6" t="str">
        <f>IF(Changed!E97&lt;&gt;"", Changed!E97, "")</f>
        <v>Corrosion</v>
      </c>
      <c r="F97" s="6" t="str">
        <f>IF(Changed!F97&lt;&gt;"", Changed!F97, "")</f>
        <v>Sticky Hold</v>
      </c>
      <c r="G97" s="7" t="str" cm="1">
        <f t="array" ref="G97">INDEX(Changed!$G:$G,ROW())&amp;IF(Changed!$G97&gt;Base!$G97,"↑",IF(Changed!$G97&lt;Base!$G97," ↓",""))</f>
        <v>325</v>
      </c>
      <c r="H97" s="7" t="str" cm="1">
        <f t="array" ref="H97">INDEX(Changed!$H:$H,ROW())&amp;IF(Changed!$H97&gt;Base!$H97,"↑",IF(Changed!$H97&lt;Base!$H97," ↓",""))</f>
        <v>80</v>
      </c>
      <c r="I97" s="7" t="str" cm="1">
        <f t="array" ref="I97">INDEX(Changed!$I:$I,ROW())&amp;IF(Changed!$I97&gt;Base!$I97,"↑",IF(Changed!$I97&lt;Base!$I97," ↓",""))</f>
        <v>80</v>
      </c>
      <c r="J97" s="7" t="str" cm="1">
        <f t="array" ref="J97">INDEX(Changed!$J:$J,ROW())&amp;IF(Changed!$J97&gt;Base!$J97,"↑",IF(Changed!$J97&lt;Base!$J97," ↓",""))</f>
        <v>50</v>
      </c>
      <c r="K97" s="7" t="str" cm="1">
        <f t="array" ref="K97">INDEX(Changed!$K:$K,ROW())&amp;IF(Changed!$K97&gt;Base!$K97,"↑",IF(Changed!$K97&lt;Base!$K97," ↓",""))</f>
        <v>40</v>
      </c>
      <c r="L97" s="7" t="str" cm="1">
        <f t="array" ref="L97">INDEX(Changed!$L:$L,ROW())&amp;IF(Changed!$L97&gt;Base!$L97,"↑",IF(Changed!$L97&lt;Base!$L97," ↓",""))</f>
        <v>50</v>
      </c>
      <c r="M97" s="7" t="str" cm="1">
        <f t="array" ref="M97">INDEX(Changed!$M:$M,ROW())&amp;IF(Changed!$M97&gt;Base!$M97,"↑",IF(Changed!$M97&lt;Base!$M97," ↓",""))</f>
        <v>25</v>
      </c>
      <c r="N97" s="19">
        <f>Changed!G97-Base!G97</f>
        <v>0</v>
      </c>
    </row>
    <row r="98" spans="1:15" ht="15.75" customHeight="1" x14ac:dyDescent="0.2">
      <c r="A98" s="4">
        <v>97</v>
      </c>
      <c r="B98" s="5" t="s">
        <v>121</v>
      </c>
      <c r="C98" s="6" t="str">
        <f>IF(Changed!C98&lt;&gt;"", Changed!C98, "")</f>
        <v>Poison</v>
      </c>
      <c r="D98" s="6" t="str">
        <f>IF(Changed!D98&lt;&gt;"", Changed!D98, "")</f>
        <v/>
      </c>
      <c r="E98" s="6" t="str">
        <f>IF(Changed!E98&lt;&gt;"", Changed!E98, "")</f>
        <v>Corrosion</v>
      </c>
      <c r="F98" s="6" t="str">
        <f>IF(Changed!F98&lt;&gt;"", Changed!F98, "")</f>
        <v>Sticky Hold</v>
      </c>
      <c r="G98" s="7" t="str" cm="1">
        <f t="array" ref="G98">INDEX(Changed!$G:$G,ROW())&amp;IF(Changed!$G98&gt;Base!$G98,"↑",IF(Changed!$G98&lt;Base!$G98," ↓",""))</f>
        <v>500</v>
      </c>
      <c r="H98" s="7" t="str" cm="1">
        <f t="array" ref="H98">INDEX(Changed!$H:$H,ROW())&amp;IF(Changed!$H98&gt;Base!$H98,"↑",IF(Changed!$H98&lt;Base!$H98," ↓",""))</f>
        <v>105</v>
      </c>
      <c r="I98" s="7" t="str" cm="1">
        <f t="array" ref="I98">INDEX(Changed!$I:$I,ROW())&amp;IF(Changed!$I98&gt;Base!$I98,"↑",IF(Changed!$I98&lt;Base!$I98," ↓",""))</f>
        <v>105</v>
      </c>
      <c r="J98" s="7" t="str" cm="1">
        <f t="array" ref="J98">INDEX(Changed!$J:$J,ROW())&amp;IF(Changed!$J98&gt;Base!$J98,"↑",IF(Changed!$J98&lt;Base!$J98," ↓",""))</f>
        <v>75</v>
      </c>
      <c r="K98" s="7" t="str" cm="1">
        <f t="array" ref="K98">INDEX(Changed!$K:$K,ROW())&amp;IF(Changed!$K98&gt;Base!$K98,"↑",IF(Changed!$K98&lt;Base!$K98," ↓",""))</f>
        <v>65</v>
      </c>
      <c r="L98" s="7" t="str" cm="1">
        <f t="array" ref="L98">INDEX(Changed!$L:$L,ROW())&amp;IF(Changed!$L98&gt;Base!$L98,"↑",IF(Changed!$L98&lt;Base!$L98," ↓",""))</f>
        <v>100</v>
      </c>
      <c r="M98" s="7" t="str" cm="1">
        <f t="array" ref="M98">INDEX(Changed!$M:$M,ROW())&amp;IF(Changed!$M98&gt;Base!$M98,"↑",IF(Changed!$M98&lt;Base!$M98," ↓",""))</f>
        <v>50</v>
      </c>
      <c r="N98" s="19">
        <f>Changed!G98-Base!G98</f>
        <v>0</v>
      </c>
    </row>
    <row r="99" spans="1:15" ht="15.75" customHeight="1" x14ac:dyDescent="0.2">
      <c r="A99" s="4">
        <v>98</v>
      </c>
      <c r="B99" s="5" t="s">
        <v>122</v>
      </c>
      <c r="C99" s="6" t="str">
        <f>IF(Changed!C99&lt;&gt;"", Changed!C99, "")</f>
        <v>Water</v>
      </c>
      <c r="D99" s="6" t="str">
        <f>IF(Changed!D99&lt;&gt;"", Changed!D99, "")</f>
        <v/>
      </c>
      <c r="E99" s="6" t="str">
        <f>IF(Changed!E99&lt;&gt;"", Changed!E99, "")</f>
        <v>Shell Armor</v>
      </c>
      <c r="F99" s="6" t="str">
        <f>IF(Changed!F99&lt;&gt;"", Changed!F99, "")</f>
        <v>Skill Link</v>
      </c>
      <c r="G99" s="7" t="str" cm="1">
        <f t="array" ref="G99">INDEX(Changed!$G:$G,ROW())&amp;IF(Changed!$G99&gt;Base!$G99,"↑",IF(Changed!$G99&lt;Base!$G99," ↓",""))</f>
        <v>305</v>
      </c>
      <c r="H99" s="7" t="str" cm="1">
        <f t="array" ref="H99">INDEX(Changed!$H:$H,ROW())&amp;IF(Changed!$H99&gt;Base!$H99,"↑",IF(Changed!$H99&lt;Base!$H99," ↓",""))</f>
        <v>30</v>
      </c>
      <c r="I99" s="7" t="str" cm="1">
        <f t="array" ref="I99">INDEX(Changed!$I:$I,ROW())&amp;IF(Changed!$I99&gt;Base!$I99,"↑",IF(Changed!$I99&lt;Base!$I99," ↓",""))</f>
        <v>65</v>
      </c>
      <c r="J99" s="7" t="str" cm="1">
        <f t="array" ref="J99">INDEX(Changed!$J:$J,ROW())&amp;IF(Changed!$J99&gt;Base!$J99,"↑",IF(Changed!$J99&lt;Base!$J99," ↓",""))</f>
        <v>100</v>
      </c>
      <c r="K99" s="7" t="str" cm="1">
        <f t="array" ref="K99">INDEX(Changed!$K:$K,ROW())&amp;IF(Changed!$K99&gt;Base!$K99,"↑",IF(Changed!$K99&lt;Base!$K99," ↓",""))</f>
        <v>45</v>
      </c>
      <c r="L99" s="7" t="str" cm="1">
        <f t="array" ref="L99">INDEX(Changed!$L:$L,ROW())&amp;IF(Changed!$L99&gt;Base!$L99,"↑",IF(Changed!$L99&lt;Base!$L99," ↓",""))</f>
        <v>25</v>
      </c>
      <c r="M99" s="7" t="str" cm="1">
        <f t="array" ref="M99">INDEX(Changed!$M:$M,ROW())&amp;IF(Changed!$M99&gt;Base!$M99,"↑",IF(Changed!$M99&lt;Base!$M99," ↓",""))</f>
        <v>40</v>
      </c>
      <c r="N99" s="19">
        <f>Changed!G99-Base!G99</f>
        <v>0</v>
      </c>
    </row>
    <row r="100" spans="1:15" ht="15.75" customHeight="1" x14ac:dyDescent="0.2">
      <c r="A100" s="4">
        <v>99</v>
      </c>
      <c r="B100" s="5" t="s">
        <v>123</v>
      </c>
      <c r="C100" s="6" t="str">
        <f>IF(Changed!C100&lt;&gt;"", Changed!C100, "")</f>
        <v>Water</v>
      </c>
      <c r="D100" s="6" t="str">
        <f>IF(Changed!D100&lt;&gt;"", Changed!D100, "")</f>
        <v>Ice</v>
      </c>
      <c r="E100" s="6" t="str">
        <f>IF(Changed!E100&lt;&gt;"", Changed!E100, "")</f>
        <v>Shell Armor</v>
      </c>
      <c r="F100" s="6" t="str">
        <f>IF(Changed!F100&lt;&gt;"", Changed!F100, "")</f>
        <v>Skill Link</v>
      </c>
      <c r="G100" s="7" t="str" cm="1">
        <f t="array" ref="G100">INDEX(Changed!$G:$G,ROW())&amp;IF(Changed!$G100&gt;Base!$G100,"↑",IF(Changed!$G100&lt;Base!$G100," ↓",""))</f>
        <v>525</v>
      </c>
      <c r="H100" s="7" t="str" cm="1">
        <f t="array" ref="H100">INDEX(Changed!$H:$H,ROW())&amp;IF(Changed!$H100&gt;Base!$H100,"↑",IF(Changed!$H100&lt;Base!$H100," ↓",""))</f>
        <v>50</v>
      </c>
      <c r="I100" s="7" t="str" cm="1">
        <f t="array" ref="I100">INDEX(Changed!$I:$I,ROW())&amp;IF(Changed!$I100&gt;Base!$I100,"↑",IF(Changed!$I100&lt;Base!$I100," ↓",""))</f>
        <v>95</v>
      </c>
      <c r="J100" s="7" t="str" cm="1">
        <f t="array" ref="J100">INDEX(Changed!$J:$J,ROW())&amp;IF(Changed!$J100&gt;Base!$J100,"↑",IF(Changed!$J100&lt;Base!$J100," ↓",""))</f>
        <v>180</v>
      </c>
      <c r="K100" s="7" t="str" cm="1">
        <f t="array" ref="K100">INDEX(Changed!$K:$K,ROW())&amp;IF(Changed!$K100&gt;Base!$K100,"↑",IF(Changed!$K100&lt;Base!$K100," ↓",""))</f>
        <v>85</v>
      </c>
      <c r="L100" s="7" t="str" cm="1">
        <f t="array" ref="L100">INDEX(Changed!$L:$L,ROW())&amp;IF(Changed!$L100&gt;Base!$L100,"↑",IF(Changed!$L100&lt;Base!$L100," ↓",""))</f>
        <v>45</v>
      </c>
      <c r="M100" s="7" t="str" cm="1">
        <f t="array" ref="M100">INDEX(Changed!$M:$M,ROW())&amp;IF(Changed!$M100&gt;Base!$M100,"↑",IF(Changed!$M100&lt;Base!$M100," ↓",""))</f>
        <v>70</v>
      </c>
      <c r="N100" s="19">
        <f>Changed!G100-Base!G100</f>
        <v>0</v>
      </c>
    </row>
    <row r="101" spans="1:15" ht="15.75" customHeight="1" x14ac:dyDescent="0.2">
      <c r="A101" s="4">
        <v>100</v>
      </c>
      <c r="B101" s="5" t="s">
        <v>124</v>
      </c>
      <c r="C101" s="6" t="str">
        <f>IF(Changed!C101&lt;&gt;"", Changed!C101, "")</f>
        <v>Ghost</v>
      </c>
      <c r="D101" s="6" t="str">
        <f>IF(Changed!D101&lt;&gt;"", Changed!D101, "")</f>
        <v>Poison</v>
      </c>
      <c r="E101" s="6" t="str">
        <f>IF(Changed!E101&lt;&gt;"", Changed!E101, "")</f>
        <v>Levitate</v>
      </c>
      <c r="F101" s="6" t="str">
        <f>IF(Changed!F101&lt;&gt;"", Changed!F101, "")</f>
        <v/>
      </c>
      <c r="G101" s="7" t="str" cm="1">
        <f t="array" ref="G101">INDEX(Changed!$G:$G,ROW())&amp;IF(Changed!$G101&gt;Base!$G101,"↑",IF(Changed!$G101&lt;Base!$G101," ↓",""))</f>
        <v>310</v>
      </c>
      <c r="H101" s="7" t="str" cm="1">
        <f t="array" ref="H101">INDEX(Changed!$H:$H,ROW())&amp;IF(Changed!$H101&gt;Base!$H101,"↑",IF(Changed!$H101&lt;Base!$H101," ↓",""))</f>
        <v>30</v>
      </c>
      <c r="I101" s="7" t="str" cm="1">
        <f t="array" ref="I101">INDEX(Changed!$I:$I,ROW())&amp;IF(Changed!$I101&gt;Base!$I101,"↑",IF(Changed!$I101&lt;Base!$I101," ↓",""))</f>
        <v>35</v>
      </c>
      <c r="J101" s="7" t="str" cm="1">
        <f t="array" ref="J101">INDEX(Changed!$J:$J,ROW())&amp;IF(Changed!$J101&gt;Base!$J101,"↑",IF(Changed!$J101&lt;Base!$J101," ↓",""))</f>
        <v>30</v>
      </c>
      <c r="K101" s="7" t="str" cm="1">
        <f t="array" ref="K101">INDEX(Changed!$K:$K,ROW())&amp;IF(Changed!$K101&gt;Base!$K101,"↑",IF(Changed!$K101&lt;Base!$K101," ↓",""))</f>
        <v>100</v>
      </c>
      <c r="L101" s="7" t="str" cm="1">
        <f t="array" ref="L101">INDEX(Changed!$L:$L,ROW())&amp;IF(Changed!$L101&gt;Base!$L101,"↑",IF(Changed!$L101&lt;Base!$L101," ↓",""))</f>
        <v>35</v>
      </c>
      <c r="M101" s="7" t="str" cm="1">
        <f t="array" ref="M101">INDEX(Changed!$M:$M,ROW())&amp;IF(Changed!$M101&gt;Base!$M101,"↑",IF(Changed!$M101&lt;Base!$M101," ↓",""))</f>
        <v>80</v>
      </c>
      <c r="N101" s="19">
        <f>Changed!G101-Base!G101</f>
        <v>0</v>
      </c>
    </row>
    <row r="102" spans="1:15" ht="15.75" customHeight="1" x14ac:dyDescent="0.2">
      <c r="A102" s="4">
        <v>101</v>
      </c>
      <c r="B102" s="5" t="s">
        <v>126</v>
      </c>
      <c r="C102" s="6" t="str">
        <f>IF(Changed!C102&lt;&gt;"", Changed!C102, "")</f>
        <v>Ghost</v>
      </c>
      <c r="D102" s="6" t="str">
        <f>IF(Changed!D102&lt;&gt;"", Changed!D102, "")</f>
        <v>Poison</v>
      </c>
      <c r="E102" s="6" t="str">
        <f>IF(Changed!E102&lt;&gt;"", Changed!E102, "")</f>
        <v>Levitate</v>
      </c>
      <c r="F102" s="6" t="str">
        <f>IF(Changed!F102&lt;&gt;"", Changed!F102, "")</f>
        <v/>
      </c>
      <c r="G102" s="7" t="str" cm="1">
        <f t="array" ref="G102">INDEX(Changed!$G:$G,ROW())&amp;IF(Changed!$G102&gt;Base!$G102,"↑",IF(Changed!$G102&lt;Base!$G102," ↓",""))</f>
        <v>405</v>
      </c>
      <c r="H102" s="7" t="str" cm="1">
        <f t="array" ref="H102">INDEX(Changed!$H:$H,ROW())&amp;IF(Changed!$H102&gt;Base!$H102,"↑",IF(Changed!$H102&lt;Base!$H102," ↓",""))</f>
        <v>45</v>
      </c>
      <c r="I102" s="7" t="str" cm="1">
        <f t="array" ref="I102">INDEX(Changed!$I:$I,ROW())&amp;IF(Changed!$I102&gt;Base!$I102,"↑",IF(Changed!$I102&lt;Base!$I102," ↓",""))</f>
        <v>50</v>
      </c>
      <c r="J102" s="7" t="str" cm="1">
        <f t="array" ref="J102">INDEX(Changed!$J:$J,ROW())&amp;IF(Changed!$J102&gt;Base!$J102,"↑",IF(Changed!$J102&lt;Base!$J102," ↓",""))</f>
        <v>45</v>
      </c>
      <c r="K102" s="7" t="str" cm="1">
        <f t="array" ref="K102">INDEX(Changed!$K:$K,ROW())&amp;IF(Changed!$K102&gt;Base!$K102,"↑",IF(Changed!$K102&lt;Base!$K102," ↓",""))</f>
        <v>115</v>
      </c>
      <c r="L102" s="7" t="str" cm="1">
        <f t="array" ref="L102">INDEX(Changed!$L:$L,ROW())&amp;IF(Changed!$L102&gt;Base!$L102,"↑",IF(Changed!$L102&lt;Base!$L102," ↓",""))</f>
        <v>55</v>
      </c>
      <c r="M102" s="7" t="str" cm="1">
        <f t="array" ref="M102">INDEX(Changed!$M:$M,ROW())&amp;IF(Changed!$M102&gt;Base!$M102,"↑",IF(Changed!$M102&lt;Base!$M102," ↓",""))</f>
        <v>95</v>
      </c>
      <c r="N102" s="19">
        <f>Changed!G102-Base!G102</f>
        <v>0</v>
      </c>
    </row>
    <row r="103" spans="1:15" ht="15.75" customHeight="1" x14ac:dyDescent="0.2">
      <c r="A103" s="4">
        <v>102</v>
      </c>
      <c r="B103" s="5" t="s">
        <v>127</v>
      </c>
      <c r="C103" s="6" t="str">
        <f>IF(Changed!C103&lt;&gt;"", Changed!C103, "")</f>
        <v>Ghost</v>
      </c>
      <c r="D103" s="6" t="str">
        <f>IF(Changed!D103&lt;&gt;"", Changed!D103, "")</f>
        <v>Poison</v>
      </c>
      <c r="E103" s="6" t="str">
        <f>IF(Changed!E103&lt;&gt;"", Changed!E103, "")</f>
        <v>Levitate</v>
      </c>
      <c r="F103" s="6" t="str">
        <f>IF(Changed!F103&lt;&gt;"", Changed!F103, "")</f>
        <v/>
      </c>
      <c r="G103" s="7" t="str" cm="1">
        <f t="array" ref="G103">INDEX(Changed!$G:$G,ROW())&amp;IF(Changed!$G103&gt;Base!$G103,"↑",IF(Changed!$G103&lt;Base!$G103," ↓",""))</f>
        <v>500</v>
      </c>
      <c r="H103" s="7" t="str" cm="1">
        <f t="array" ref="H103">INDEX(Changed!$H:$H,ROW())&amp;IF(Changed!$H103&gt;Base!$H103,"↑",IF(Changed!$H103&lt;Base!$H103," ↓",""))</f>
        <v>60</v>
      </c>
      <c r="I103" s="7" t="str" cm="1">
        <f t="array" ref="I103">INDEX(Changed!$I:$I,ROW())&amp;IF(Changed!$I103&gt;Base!$I103,"↑",IF(Changed!$I103&lt;Base!$I103," ↓",""))</f>
        <v>65</v>
      </c>
      <c r="J103" s="7" t="str" cm="1">
        <f t="array" ref="J103">INDEX(Changed!$J:$J,ROW())&amp;IF(Changed!$J103&gt;Base!$J103,"↑",IF(Changed!$J103&lt;Base!$J103," ↓",""))</f>
        <v>60</v>
      </c>
      <c r="K103" s="7" t="str" cm="1">
        <f t="array" ref="K103">INDEX(Changed!$K:$K,ROW())&amp;IF(Changed!$K103&gt;Base!$K103,"↑",IF(Changed!$K103&lt;Base!$K103," ↓",""))</f>
        <v>130</v>
      </c>
      <c r="L103" s="7" t="str" cm="1">
        <f t="array" ref="L103">INDEX(Changed!$L:$L,ROW())&amp;IF(Changed!$L103&gt;Base!$L103,"↑",IF(Changed!$L103&lt;Base!$L103," ↓",""))</f>
        <v>75</v>
      </c>
      <c r="M103" s="7" t="str" cm="1">
        <f t="array" ref="M103">INDEX(Changed!$M:$M,ROW())&amp;IF(Changed!$M103&gt;Base!$M103,"↑",IF(Changed!$M103&lt;Base!$M103," ↓",""))</f>
        <v>110</v>
      </c>
      <c r="N103" s="19">
        <f>Changed!G103-Base!G103</f>
        <v>0</v>
      </c>
    </row>
    <row r="104" spans="1:15" ht="15.75" customHeight="1" x14ac:dyDescent="0.2">
      <c r="A104" s="4">
        <v>103</v>
      </c>
      <c r="B104" s="5" t="s">
        <v>128</v>
      </c>
      <c r="C104" s="6" t="str">
        <f>IF(Changed!C104&lt;&gt;"", Changed!C104, "")</f>
        <v>Rock</v>
      </c>
      <c r="D104" s="6" t="str">
        <f>IF(Changed!D104&lt;&gt;"", Changed!D104, "")</f>
        <v>Ground</v>
      </c>
      <c r="E104" s="6" t="str">
        <f>IF(Changed!E104&lt;&gt;"", Changed!E104, "")</f>
        <v>Sand Stream</v>
      </c>
      <c r="F104" s="6" t="str">
        <f>IF(Changed!F104&lt;&gt;"", Changed!F104, "")</f>
        <v>Sheer Force</v>
      </c>
      <c r="G104" s="7" t="str" cm="1">
        <f t="array" ref="G104">INDEX(Changed!$G:$G,ROW())&amp;IF(Changed!$G104&gt;Base!$G104,"↑",IF(Changed!$G104&lt;Base!$G104," ↓",""))</f>
        <v>415↑</v>
      </c>
      <c r="H104" s="7" t="str" cm="1">
        <f t="array" ref="H104">INDEX(Changed!$H:$H,ROW())&amp;IF(Changed!$H104&gt;Base!$H104,"↑",IF(Changed!$H104&lt;Base!$H104," ↓",""))</f>
        <v>35</v>
      </c>
      <c r="I104" s="7" t="str" cm="1">
        <f t="array" ref="I104">INDEX(Changed!$I:$I,ROW())&amp;IF(Changed!$I104&gt;Base!$I104,"↑",IF(Changed!$I104&lt;Base!$I104," ↓",""))</f>
        <v>85↑</v>
      </c>
      <c r="J104" s="7" t="str" cm="1">
        <f t="array" ref="J104">INDEX(Changed!$J:$J,ROW())&amp;IF(Changed!$J104&gt;Base!$J104,"↑",IF(Changed!$J104&lt;Base!$J104," ↓",""))</f>
        <v>150 ↓</v>
      </c>
      <c r="K104" s="7" t="str" cm="1">
        <f t="array" ref="K104">INDEX(Changed!$K:$K,ROW())&amp;IF(Changed!$K104&gt;Base!$K104,"↑",IF(Changed!$K104&lt;Base!$K104," ↓",""))</f>
        <v>30</v>
      </c>
      <c r="L104" s="7" t="str" cm="1">
        <f t="array" ref="L104">INDEX(Changed!$L:$L,ROW())&amp;IF(Changed!$L104&gt;Base!$L104,"↑",IF(Changed!$L104&lt;Base!$L104," ↓",""))</f>
        <v>45</v>
      </c>
      <c r="M104" s="7" t="str" cm="1">
        <f t="array" ref="M104">INDEX(Changed!$M:$M,ROW())&amp;IF(Changed!$M104&gt;Base!$M104,"↑",IF(Changed!$M104&lt;Base!$M104," ↓",""))</f>
        <v>70</v>
      </c>
      <c r="N104" s="19">
        <f>Changed!G104-Base!G104</f>
        <v>30</v>
      </c>
    </row>
    <row r="105" spans="1:15" ht="15.75" customHeight="1" x14ac:dyDescent="0.2">
      <c r="A105" s="4">
        <v>104</v>
      </c>
      <c r="B105" s="5" t="s">
        <v>243</v>
      </c>
      <c r="C105" s="6" t="str">
        <f>IF(Changed!C105&lt;&gt;"", Changed!C105, "")</f>
        <v>Steel</v>
      </c>
      <c r="D105" s="6" t="str">
        <f>IF(Changed!D105&lt;&gt;"", Changed!D105, "")</f>
        <v>Ground</v>
      </c>
      <c r="E105" s="6" t="str">
        <f>IF(Changed!E105&lt;&gt;"", Changed!E105, "")</f>
        <v>Sand Stream</v>
      </c>
      <c r="F105" s="6" t="str">
        <f>IF(Changed!F105&lt;&gt;"", Changed!F105, "")</f>
        <v>Sheer Force</v>
      </c>
      <c r="G105" s="7" t="str" cm="1">
        <f t="array" ref="G105">INDEX(Changed!$G:$G,ROW())&amp;IF(Changed!$G105&gt;Base!$G105,"↑",IF(Changed!$G105&lt;Base!$G105," ↓",""))</f>
        <v>510</v>
      </c>
      <c r="H105" s="7" t="str" cm="1">
        <f t="array" ref="H105">INDEX(Changed!$H:$H,ROW())&amp;IF(Changed!$H105&gt;Base!$H105,"↑",IF(Changed!$H105&lt;Base!$H105," ↓",""))</f>
        <v>75</v>
      </c>
      <c r="I105" s="7" t="str" cm="1">
        <f t="array" ref="I105">INDEX(Changed!$I:$I,ROW())&amp;IF(Changed!$I105&gt;Base!$I105,"↑",IF(Changed!$I105&lt;Base!$I105," ↓",""))</f>
        <v>110↑</v>
      </c>
      <c r="J105" s="7" t="str" cm="1">
        <f t="array" ref="J105">INDEX(Changed!$J:$J,ROW())&amp;IF(Changed!$J105&gt;Base!$J105,"↑",IF(Changed!$J105&lt;Base!$J105," ↓",""))</f>
        <v>175 ↓</v>
      </c>
      <c r="K105" s="7" t="str" cm="1">
        <f t="array" ref="K105">INDEX(Changed!$K:$K,ROW())&amp;IF(Changed!$K105&gt;Base!$K105,"↑",IF(Changed!$K105&lt;Base!$K105," ↓",""))</f>
        <v>55</v>
      </c>
      <c r="L105" s="7" t="str" cm="1">
        <f t="array" ref="L105">INDEX(Changed!$L:$L,ROW())&amp;IF(Changed!$L105&gt;Base!$L105,"↑",IF(Changed!$L105&lt;Base!$L105," ↓",""))</f>
        <v>65</v>
      </c>
      <c r="M105" s="7" t="str" cm="1">
        <f t="array" ref="M105">INDEX(Changed!$M:$M,ROW())&amp;IF(Changed!$M105&gt;Base!$M105,"↑",IF(Changed!$M105&lt;Base!$M105," ↓",""))</f>
        <v>30</v>
      </c>
      <c r="N105" s="19">
        <f>Changed!G105-Base!G105</f>
        <v>0</v>
      </c>
      <c r="O105" s="253" t="s">
        <v>1429</v>
      </c>
    </row>
    <row r="106" spans="1:15" ht="15.75" customHeight="1" x14ac:dyDescent="0.2">
      <c r="A106" s="4">
        <v>105</v>
      </c>
      <c r="B106" s="5" t="s">
        <v>129</v>
      </c>
      <c r="C106" s="6" t="str">
        <f>IF(Changed!C106&lt;&gt;"", Changed!C106, "")</f>
        <v>Psychic</v>
      </c>
      <c r="D106" s="6" t="str">
        <f>IF(Changed!D106&lt;&gt;"", Changed!D106, "")</f>
        <v>Normal</v>
      </c>
      <c r="E106" s="6" t="str">
        <f>IF(Changed!E106&lt;&gt;"", Changed!E106, "")</f>
        <v>Insomnia</v>
      </c>
      <c r="F106" s="6" t="str">
        <f>IF(Changed!F106&lt;&gt;"", Changed!F106, "")</f>
        <v>Bad Dreams</v>
      </c>
      <c r="G106" s="7" t="str" cm="1">
        <f t="array" ref="G106">INDEX(Changed!$G:$G,ROW())&amp;IF(Changed!$G106&gt;Base!$G106,"↑",IF(Changed!$G106&lt;Base!$G106," ↓",""))</f>
        <v>328</v>
      </c>
      <c r="H106" s="7" t="str" cm="1">
        <f t="array" ref="H106">INDEX(Changed!$H:$H,ROW())&amp;IF(Changed!$H106&gt;Base!$H106,"↑",IF(Changed!$H106&lt;Base!$H106," ↓",""))</f>
        <v>60</v>
      </c>
      <c r="I106" s="7" t="str" cm="1">
        <f t="array" ref="I106">INDEX(Changed!$I:$I,ROW())&amp;IF(Changed!$I106&gt;Base!$I106,"↑",IF(Changed!$I106&lt;Base!$I106," ↓",""))</f>
        <v>48</v>
      </c>
      <c r="J106" s="7" t="str" cm="1">
        <f t="array" ref="J106">INDEX(Changed!$J:$J,ROW())&amp;IF(Changed!$J106&gt;Base!$J106,"↑",IF(Changed!$J106&lt;Base!$J106," ↓",""))</f>
        <v>45</v>
      </c>
      <c r="K106" s="7" t="str" cm="1">
        <f t="array" ref="K106">INDEX(Changed!$K:$K,ROW())&amp;IF(Changed!$K106&gt;Base!$K106,"↑",IF(Changed!$K106&lt;Base!$K106," ↓",""))</f>
        <v>43</v>
      </c>
      <c r="L106" s="7" t="str" cm="1">
        <f t="array" ref="L106">INDEX(Changed!$L:$L,ROW())&amp;IF(Changed!$L106&gt;Base!$L106,"↑",IF(Changed!$L106&lt;Base!$L106," ↓",""))</f>
        <v>90</v>
      </c>
      <c r="M106" s="7" t="str" cm="1">
        <f t="array" ref="M106">INDEX(Changed!$M:$M,ROW())&amp;IF(Changed!$M106&gt;Base!$M106,"↑",IF(Changed!$M106&lt;Base!$M106," ↓",""))</f>
        <v>42</v>
      </c>
      <c r="N106" s="19">
        <f>Changed!G106-Base!G106</f>
        <v>0</v>
      </c>
    </row>
    <row r="107" spans="1:15" ht="15.75" customHeight="1" x14ac:dyDescent="0.2">
      <c r="A107" s="4">
        <v>106</v>
      </c>
      <c r="B107" s="5" t="s">
        <v>130</v>
      </c>
      <c r="C107" s="6" t="str">
        <f>IF(Changed!C107&lt;&gt;"", Changed!C107, "")</f>
        <v>Psychic</v>
      </c>
      <c r="D107" s="6" t="str">
        <f>IF(Changed!D107&lt;&gt;"", Changed!D107, "")</f>
        <v>Normal</v>
      </c>
      <c r="E107" s="6" t="str">
        <f>IF(Changed!E107&lt;&gt;"", Changed!E107, "")</f>
        <v>Insomnia</v>
      </c>
      <c r="F107" s="6" t="str">
        <f>IF(Changed!F107&lt;&gt;"", Changed!F107, "")</f>
        <v>Bad Dreams</v>
      </c>
      <c r="G107" s="7" t="str" cm="1">
        <f t="array" ref="G107">INDEX(Changed!$G:$G,ROW())&amp;IF(Changed!$G107&gt;Base!$G107,"↑",IF(Changed!$G107&lt;Base!$G107," ↓",""))</f>
        <v>483</v>
      </c>
      <c r="H107" s="7" t="str" cm="1">
        <f t="array" ref="H107">INDEX(Changed!$H:$H,ROW())&amp;IF(Changed!$H107&gt;Base!$H107,"↑",IF(Changed!$H107&lt;Base!$H107," ↓",""))</f>
        <v>85</v>
      </c>
      <c r="I107" s="7" t="str" cm="1">
        <f t="array" ref="I107">INDEX(Changed!$I:$I,ROW())&amp;IF(Changed!$I107&gt;Base!$I107,"↑",IF(Changed!$I107&lt;Base!$I107," ↓",""))</f>
        <v>73</v>
      </c>
      <c r="J107" s="7" t="str" cm="1">
        <f t="array" ref="J107">INDEX(Changed!$J:$J,ROW())&amp;IF(Changed!$J107&gt;Base!$J107,"↑",IF(Changed!$J107&lt;Base!$J107," ↓",""))</f>
        <v>70</v>
      </c>
      <c r="K107" s="7" t="str" cm="1">
        <f t="array" ref="K107">INDEX(Changed!$K:$K,ROW())&amp;IF(Changed!$K107&gt;Base!$K107,"↑",IF(Changed!$K107&lt;Base!$K107," ↓",""))</f>
        <v>73</v>
      </c>
      <c r="L107" s="7" t="str" cm="1">
        <f t="array" ref="L107">INDEX(Changed!$L:$L,ROW())&amp;IF(Changed!$L107&gt;Base!$L107,"↑",IF(Changed!$L107&lt;Base!$L107," ↓",""))</f>
        <v>115</v>
      </c>
      <c r="M107" s="7" t="str" cm="1">
        <f t="array" ref="M107">INDEX(Changed!$M:$M,ROW())&amp;IF(Changed!$M107&gt;Base!$M107,"↑",IF(Changed!$M107&lt;Base!$M107," ↓",""))</f>
        <v>67</v>
      </c>
      <c r="N107" s="19">
        <f>Changed!G107-Base!G107</f>
        <v>0</v>
      </c>
    </row>
    <row r="108" spans="1:15" ht="15.75" customHeight="1" x14ac:dyDescent="0.2">
      <c r="A108" s="4">
        <v>107</v>
      </c>
      <c r="B108" s="5" t="s">
        <v>131</v>
      </c>
      <c r="C108" s="6" t="str">
        <f>IF(Changed!C108&lt;&gt;"", Changed!C108, "")</f>
        <v>Water</v>
      </c>
      <c r="D108" s="6" t="str">
        <f>IF(Changed!D108&lt;&gt;"", Changed!D108, "")</f>
        <v/>
      </c>
      <c r="E108" s="6" t="str">
        <f>IF(Changed!E108&lt;&gt;"", Changed!E108, "")</f>
        <v>Hyper Cutter</v>
      </c>
      <c r="F108" s="6" t="str">
        <f>IF(Changed!F108&lt;&gt;"", Changed!F108, "")</f>
        <v>Shell Armor</v>
      </c>
      <c r="G108" s="7" t="str" cm="1">
        <f t="array" ref="G108">INDEX(Changed!$G:$G,ROW())&amp;IF(Changed!$G108&gt;Base!$G108,"↑",IF(Changed!$G108&lt;Base!$G108," ↓",""))</f>
        <v>325</v>
      </c>
      <c r="H108" s="7" t="str" cm="1">
        <f t="array" ref="H108">INDEX(Changed!$H:$H,ROW())&amp;IF(Changed!$H108&gt;Base!$H108,"↑",IF(Changed!$H108&lt;Base!$H108," ↓",""))</f>
        <v>30</v>
      </c>
      <c r="I108" s="7" t="str" cm="1">
        <f t="array" ref="I108">INDEX(Changed!$I:$I,ROW())&amp;IF(Changed!$I108&gt;Base!$I108,"↑",IF(Changed!$I108&lt;Base!$I108," ↓",""))</f>
        <v>105</v>
      </c>
      <c r="J108" s="7" t="str" cm="1">
        <f t="array" ref="J108">INDEX(Changed!$J:$J,ROW())&amp;IF(Changed!$J108&gt;Base!$J108,"↑",IF(Changed!$J108&lt;Base!$J108," ↓",""))</f>
        <v>90</v>
      </c>
      <c r="K108" s="7" t="str" cm="1">
        <f t="array" ref="K108">INDEX(Changed!$K:$K,ROW())&amp;IF(Changed!$K108&gt;Base!$K108,"↑",IF(Changed!$K108&lt;Base!$K108," ↓",""))</f>
        <v>25</v>
      </c>
      <c r="L108" s="7" t="str" cm="1">
        <f t="array" ref="L108">INDEX(Changed!$L:$L,ROW())&amp;IF(Changed!$L108&gt;Base!$L108,"↑",IF(Changed!$L108&lt;Base!$L108," ↓",""))</f>
        <v>25</v>
      </c>
      <c r="M108" s="7" t="str" cm="1">
        <f t="array" ref="M108">INDEX(Changed!$M:$M,ROW())&amp;IF(Changed!$M108&gt;Base!$M108,"↑",IF(Changed!$M108&lt;Base!$M108," ↓",""))</f>
        <v>50</v>
      </c>
      <c r="N108" s="19">
        <f>Changed!G108-Base!G108</f>
        <v>0</v>
      </c>
    </row>
    <row r="109" spans="1:15" ht="15.75" customHeight="1" x14ac:dyDescent="0.2">
      <c r="A109" s="4">
        <v>108</v>
      </c>
      <c r="B109" s="5" t="s">
        <v>132</v>
      </c>
      <c r="C109" s="6" t="str">
        <f>IF(Changed!C109&lt;&gt;"", Changed!C109, "")</f>
        <v>Water</v>
      </c>
      <c r="D109" s="6" t="str">
        <f>IF(Changed!D109&lt;&gt;"", Changed!D109, "")</f>
        <v/>
      </c>
      <c r="E109" s="6" t="str">
        <f>IF(Changed!E109&lt;&gt;"", Changed!E109, "")</f>
        <v>Sheer Force</v>
      </c>
      <c r="F109" s="6" t="str">
        <f>IF(Changed!F109&lt;&gt;"", Changed!F109, "")</f>
        <v>Shell Armor</v>
      </c>
      <c r="G109" s="7" t="str" cm="1">
        <f t="array" ref="G109">INDEX(Changed!$G:$G,ROW())&amp;IF(Changed!$G109&gt;Base!$G109,"↑",IF(Changed!$G109&lt;Base!$G109," ↓",""))</f>
        <v>495↑</v>
      </c>
      <c r="H109" s="7" t="str" cm="1">
        <f t="array" ref="H109">INDEX(Changed!$H:$H,ROW())&amp;IF(Changed!$H109&gt;Base!$H109,"↑",IF(Changed!$H109&lt;Base!$H109," ↓",""))</f>
        <v>75↑</v>
      </c>
      <c r="I109" s="7" t="str" cm="1">
        <f t="array" ref="I109">INDEX(Changed!$I:$I,ROW())&amp;IF(Changed!$I109&gt;Base!$I109,"↑",IF(Changed!$I109&lt;Base!$I109," ↓",""))</f>
        <v>130</v>
      </c>
      <c r="J109" s="7" t="str" cm="1">
        <f t="array" ref="J109">INDEX(Changed!$J:$J,ROW())&amp;IF(Changed!$J109&gt;Base!$J109,"↑",IF(Changed!$J109&lt;Base!$J109," ↓",""))</f>
        <v>115</v>
      </c>
      <c r="K109" s="7" t="str" cm="1">
        <f t="array" ref="K109">INDEX(Changed!$K:$K,ROW())&amp;IF(Changed!$K109&gt;Base!$K109,"↑",IF(Changed!$K109&lt;Base!$K109," ↓",""))</f>
        <v>50</v>
      </c>
      <c r="L109" s="7" t="str" cm="1">
        <f t="array" ref="L109">INDEX(Changed!$L:$L,ROW())&amp;IF(Changed!$L109&gt;Base!$L109,"↑",IF(Changed!$L109&lt;Base!$L109," ↓",""))</f>
        <v>50</v>
      </c>
      <c r="M109" s="7" t="str" cm="1">
        <f t="array" ref="M109">INDEX(Changed!$M:$M,ROW())&amp;IF(Changed!$M109&gt;Base!$M109,"↑",IF(Changed!$M109&lt;Base!$M109," ↓",""))</f>
        <v>75</v>
      </c>
      <c r="N109" s="19">
        <f>Changed!G109-Base!G109</f>
        <v>20</v>
      </c>
    </row>
    <row r="110" spans="1:15" ht="15.75" customHeight="1" x14ac:dyDescent="0.2">
      <c r="A110" s="4">
        <v>109</v>
      </c>
      <c r="B110" s="5" t="s">
        <v>133</v>
      </c>
      <c r="C110" s="6" t="str">
        <f>IF(Changed!C110&lt;&gt;"", Changed!C110, "")</f>
        <v>Electric</v>
      </c>
      <c r="D110" s="6" t="str">
        <f>IF(Changed!D110&lt;&gt;"", Changed!D110, "")</f>
        <v/>
      </c>
      <c r="E110" s="6" t="str">
        <f>IF(Changed!E110&lt;&gt;"", Changed!E110, "")</f>
        <v>Transistor</v>
      </c>
      <c r="F110" s="6" t="str">
        <f>IF(Changed!F110&lt;&gt;"", Changed!F110, "")</f>
        <v>Static</v>
      </c>
      <c r="G110" s="7" t="str" cm="1">
        <f t="array" ref="G110">INDEX(Changed!$G:$G,ROW())&amp;IF(Changed!$G110&gt;Base!$G110,"↑",IF(Changed!$G110&lt;Base!$G110," ↓",""))</f>
        <v>330</v>
      </c>
      <c r="H110" s="7" t="str" cm="1">
        <f t="array" ref="H110">INDEX(Changed!$H:$H,ROW())&amp;IF(Changed!$H110&gt;Base!$H110,"↑",IF(Changed!$H110&lt;Base!$H110," ↓",""))</f>
        <v>40</v>
      </c>
      <c r="I110" s="7" t="str" cm="1">
        <f t="array" ref="I110">INDEX(Changed!$I:$I,ROW())&amp;IF(Changed!$I110&gt;Base!$I110,"↑",IF(Changed!$I110&lt;Base!$I110," ↓",""))</f>
        <v>30</v>
      </c>
      <c r="J110" s="7" t="str" cm="1">
        <f t="array" ref="J110">INDEX(Changed!$J:$J,ROW())&amp;IF(Changed!$J110&gt;Base!$J110,"↑",IF(Changed!$J110&lt;Base!$J110," ↓",""))</f>
        <v>50</v>
      </c>
      <c r="K110" s="7" t="str" cm="1">
        <f t="array" ref="K110">INDEX(Changed!$K:$K,ROW())&amp;IF(Changed!$K110&gt;Base!$K110,"↑",IF(Changed!$K110&lt;Base!$K110," ↓",""))</f>
        <v>55</v>
      </c>
      <c r="L110" s="7" t="str" cm="1">
        <f t="array" ref="L110">INDEX(Changed!$L:$L,ROW())&amp;IF(Changed!$L110&gt;Base!$L110,"↑",IF(Changed!$L110&lt;Base!$L110," ↓",""))</f>
        <v>55</v>
      </c>
      <c r="M110" s="7" t="str" cm="1">
        <f t="array" ref="M110">INDEX(Changed!$M:$M,ROW())&amp;IF(Changed!$M110&gt;Base!$M110,"↑",IF(Changed!$M110&lt;Base!$M110," ↓",""))</f>
        <v>100</v>
      </c>
      <c r="N110" s="19">
        <f>Changed!G110-Base!G110</f>
        <v>0</v>
      </c>
    </row>
    <row r="111" spans="1:15" ht="15.75" customHeight="1" x14ac:dyDescent="0.2">
      <c r="A111" s="4">
        <v>110</v>
      </c>
      <c r="B111" s="5" t="s">
        <v>134</v>
      </c>
      <c r="C111" s="6" t="str">
        <f>IF(Changed!C111&lt;&gt;"", Changed!C111, "")</f>
        <v>Electric</v>
      </c>
      <c r="D111" s="6" t="str">
        <f>IF(Changed!D111&lt;&gt;"", Changed!D111, "")</f>
        <v/>
      </c>
      <c r="E111" s="6" t="str">
        <f>IF(Changed!E111&lt;&gt;"", Changed!E111, "")</f>
        <v>Transistor</v>
      </c>
      <c r="F111" s="6" t="str">
        <f>IF(Changed!F111&lt;&gt;"", Changed!F111, "")</f>
        <v>Static</v>
      </c>
      <c r="G111" s="7" t="str" cm="1">
        <f t="array" ref="G111">INDEX(Changed!$G:$G,ROW())&amp;IF(Changed!$G111&gt;Base!$G111,"↑",IF(Changed!$G111&lt;Base!$G111," ↓",""))</f>
        <v>495↑</v>
      </c>
      <c r="H111" s="7" t="str" cm="1">
        <f t="array" ref="H111">INDEX(Changed!$H:$H,ROW())&amp;IF(Changed!$H111&gt;Base!$H111,"↑",IF(Changed!$H111&lt;Base!$H111," ↓",""))</f>
        <v>60</v>
      </c>
      <c r="I111" s="7" t="str" cm="1">
        <f t="array" ref="I111">INDEX(Changed!$I:$I,ROW())&amp;IF(Changed!$I111&gt;Base!$I111,"↑",IF(Changed!$I111&lt;Base!$I111," ↓",""))</f>
        <v>50</v>
      </c>
      <c r="J111" s="7" t="str" cm="1">
        <f t="array" ref="J111">INDEX(Changed!$J:$J,ROW())&amp;IF(Changed!$J111&gt;Base!$J111,"↑",IF(Changed!$J111&lt;Base!$J111," ↓",""))</f>
        <v>70</v>
      </c>
      <c r="K111" s="7" t="str" cm="1">
        <f t="array" ref="K111">INDEX(Changed!$K:$K,ROW())&amp;IF(Changed!$K111&gt;Base!$K111,"↑",IF(Changed!$K111&lt;Base!$K111," ↓",""))</f>
        <v>95↑</v>
      </c>
      <c r="L111" s="7" t="str" cm="1">
        <f t="array" ref="L111">INDEX(Changed!$L:$L,ROW())&amp;IF(Changed!$L111&gt;Base!$L111,"↑",IF(Changed!$L111&lt;Base!$L111," ↓",""))</f>
        <v>70 ↓</v>
      </c>
      <c r="M111" s="7" t="str" cm="1">
        <f t="array" ref="M111">INDEX(Changed!$M:$M,ROW())&amp;IF(Changed!$M111&gt;Base!$M111,"↑",IF(Changed!$M111&lt;Base!$M111," ↓",""))</f>
        <v>150</v>
      </c>
      <c r="N111" s="19">
        <f>Changed!G111-Base!G111</f>
        <v>5</v>
      </c>
    </row>
    <row r="112" spans="1:15" ht="15.75" customHeight="1" x14ac:dyDescent="0.2">
      <c r="A112" s="4">
        <v>111</v>
      </c>
      <c r="B112" s="5" t="s">
        <v>135</v>
      </c>
      <c r="C112" s="6" t="str">
        <f>IF(Changed!C112&lt;&gt;"", Changed!C112, "")</f>
        <v>Grass</v>
      </c>
      <c r="D112" s="6" t="str">
        <f>IF(Changed!D112&lt;&gt;"", Changed!D112, "")</f>
        <v>Psychic</v>
      </c>
      <c r="E112" s="6" t="str">
        <f>IF(Changed!E112&lt;&gt;"", Changed!E112, "")</f>
        <v>Chlorophyll</v>
      </c>
      <c r="F112" s="6" t="str">
        <f>IF(Changed!F112&lt;&gt;"", Changed!F112, "")</f>
        <v>Harvest</v>
      </c>
      <c r="G112" s="7" t="str" cm="1">
        <f t="array" ref="G112">INDEX(Changed!$G:$G,ROW())&amp;IF(Changed!$G112&gt;Base!$G112,"↑",IF(Changed!$G112&lt;Base!$G112," ↓",""))</f>
        <v>325</v>
      </c>
      <c r="H112" s="7" t="str" cm="1">
        <f t="array" ref="H112">INDEX(Changed!$H:$H,ROW())&amp;IF(Changed!$H112&gt;Base!$H112,"↑",IF(Changed!$H112&lt;Base!$H112," ↓",""))</f>
        <v>60</v>
      </c>
      <c r="I112" s="7" t="str" cm="1">
        <f t="array" ref="I112">INDEX(Changed!$I:$I,ROW())&amp;IF(Changed!$I112&gt;Base!$I112,"↑",IF(Changed!$I112&lt;Base!$I112," ↓",""))</f>
        <v>40</v>
      </c>
      <c r="J112" s="7" t="str" cm="1">
        <f t="array" ref="J112">INDEX(Changed!$J:$J,ROW())&amp;IF(Changed!$J112&gt;Base!$J112,"↑",IF(Changed!$J112&lt;Base!$J112," ↓",""))</f>
        <v>80</v>
      </c>
      <c r="K112" s="7" t="str" cm="1">
        <f t="array" ref="K112">INDEX(Changed!$K:$K,ROW())&amp;IF(Changed!$K112&gt;Base!$K112,"↑",IF(Changed!$K112&lt;Base!$K112," ↓",""))</f>
        <v>60</v>
      </c>
      <c r="L112" s="7" t="str" cm="1">
        <f t="array" ref="L112">INDEX(Changed!$L:$L,ROW())&amp;IF(Changed!$L112&gt;Base!$L112,"↑",IF(Changed!$L112&lt;Base!$L112," ↓",""))</f>
        <v>45</v>
      </c>
      <c r="M112" s="7" t="str" cm="1">
        <f t="array" ref="M112">INDEX(Changed!$M:$M,ROW())&amp;IF(Changed!$M112&gt;Base!$M112,"↑",IF(Changed!$M112&lt;Base!$M112," ↓",""))</f>
        <v>40</v>
      </c>
      <c r="N112" s="19">
        <f>Changed!G112-Base!G112</f>
        <v>0</v>
      </c>
    </row>
    <row r="113" spans="1:14" ht="15.75" customHeight="1" x14ac:dyDescent="0.2">
      <c r="A113" s="4">
        <v>112</v>
      </c>
      <c r="B113" s="5" t="s">
        <v>136</v>
      </c>
      <c r="C113" s="6" t="str">
        <f>IF(Changed!C113&lt;&gt;"", Changed!C113, "")</f>
        <v>Grass</v>
      </c>
      <c r="D113" s="6" t="str">
        <f>IF(Changed!D113&lt;&gt;"", Changed!D113, "")</f>
        <v>Psychic</v>
      </c>
      <c r="E113" s="6" t="str">
        <f>IF(Changed!E113&lt;&gt;"", Changed!E113, "")</f>
        <v>Chlorophyll</v>
      </c>
      <c r="F113" s="6" t="str">
        <f>IF(Changed!F113&lt;&gt;"", Changed!F113, "")</f>
        <v>Harvest</v>
      </c>
      <c r="G113" s="7" t="str" cm="1">
        <f t="array" ref="G113">INDEX(Changed!$G:$G,ROW())&amp;IF(Changed!$G113&gt;Base!$G113,"↑",IF(Changed!$G113&lt;Base!$G113," ↓",""))</f>
        <v>530</v>
      </c>
      <c r="H113" s="7" t="str" cm="1">
        <f t="array" ref="H113">INDEX(Changed!$H:$H,ROW())&amp;IF(Changed!$H113&gt;Base!$H113,"↑",IF(Changed!$H113&lt;Base!$H113," ↓",""))</f>
        <v>95</v>
      </c>
      <c r="I113" s="7" t="str" cm="1">
        <f t="array" ref="I113">INDEX(Changed!$I:$I,ROW())&amp;IF(Changed!$I113&gt;Base!$I113,"↑",IF(Changed!$I113&lt;Base!$I113," ↓",""))</f>
        <v>95</v>
      </c>
      <c r="J113" s="7" t="str" cm="1">
        <f t="array" ref="J113">INDEX(Changed!$J:$J,ROW())&amp;IF(Changed!$J113&gt;Base!$J113,"↑",IF(Changed!$J113&lt;Base!$J113," ↓",""))</f>
        <v>85</v>
      </c>
      <c r="K113" s="7" t="str" cm="1">
        <f t="array" ref="K113">INDEX(Changed!$K:$K,ROW())&amp;IF(Changed!$K113&gt;Base!$K113,"↑",IF(Changed!$K113&lt;Base!$K113," ↓",""))</f>
        <v>125</v>
      </c>
      <c r="L113" s="7" t="str" cm="1">
        <f t="array" ref="L113">INDEX(Changed!$L:$L,ROW())&amp;IF(Changed!$L113&gt;Base!$L113,"↑",IF(Changed!$L113&lt;Base!$L113," ↓",""))</f>
        <v>75</v>
      </c>
      <c r="M113" s="7" t="str" cm="1">
        <f t="array" ref="M113">INDEX(Changed!$M:$M,ROW())&amp;IF(Changed!$M113&gt;Base!$M113,"↑",IF(Changed!$M113&lt;Base!$M113," ↓",""))</f>
        <v>55</v>
      </c>
      <c r="N113" s="19">
        <f>Changed!G113-Base!G113</f>
        <v>0</v>
      </c>
    </row>
    <row r="114" spans="1:14" ht="15.75" customHeight="1" x14ac:dyDescent="0.2">
      <c r="A114" s="4">
        <v>113</v>
      </c>
      <c r="B114" s="5" t="s">
        <v>137</v>
      </c>
      <c r="C114" s="6" t="str">
        <f>IF(Changed!C114&lt;&gt;"", Changed!C114, "")</f>
        <v>Ground</v>
      </c>
      <c r="D114" s="6" t="str">
        <f>IF(Changed!D114&lt;&gt;"", Changed!D114, "")</f>
        <v/>
      </c>
      <c r="E114" s="6" t="str">
        <f>IF(Changed!E114&lt;&gt;"", Changed!E114, "")</f>
        <v>Rock Head</v>
      </c>
      <c r="F114" s="6" t="str">
        <f>IF(Changed!F114&lt;&gt;"", Changed!F114, "")</f>
        <v>Lightning Rod</v>
      </c>
      <c r="G114" s="7" t="str" cm="1">
        <f t="array" ref="G114">INDEX(Changed!$G:$G,ROW())&amp;IF(Changed!$G114&gt;Base!$G114,"↑",IF(Changed!$G114&lt;Base!$G114," ↓",""))</f>
        <v>320</v>
      </c>
      <c r="H114" s="7" t="str" cm="1">
        <f t="array" ref="H114">INDEX(Changed!$H:$H,ROW())&amp;IF(Changed!$H114&gt;Base!$H114,"↑",IF(Changed!$H114&lt;Base!$H114," ↓",""))</f>
        <v>50</v>
      </c>
      <c r="I114" s="7" t="str" cm="1">
        <f t="array" ref="I114">INDEX(Changed!$I:$I,ROW())&amp;IF(Changed!$I114&gt;Base!$I114,"↑",IF(Changed!$I114&lt;Base!$I114," ↓",""))</f>
        <v>50</v>
      </c>
      <c r="J114" s="7" t="str" cm="1">
        <f t="array" ref="J114">INDEX(Changed!$J:$J,ROW())&amp;IF(Changed!$J114&gt;Base!$J114,"↑",IF(Changed!$J114&lt;Base!$J114," ↓",""))</f>
        <v>95</v>
      </c>
      <c r="K114" s="7" t="str" cm="1">
        <f t="array" ref="K114">INDEX(Changed!$K:$K,ROW())&amp;IF(Changed!$K114&gt;Base!$K114,"↑",IF(Changed!$K114&lt;Base!$K114," ↓",""))</f>
        <v>40</v>
      </c>
      <c r="L114" s="7" t="str" cm="1">
        <f t="array" ref="L114">INDEX(Changed!$L:$L,ROW())&amp;IF(Changed!$L114&gt;Base!$L114,"↑",IF(Changed!$L114&lt;Base!$L114," ↓",""))</f>
        <v>50</v>
      </c>
      <c r="M114" s="7" t="str" cm="1">
        <f t="array" ref="M114">INDEX(Changed!$M:$M,ROW())&amp;IF(Changed!$M114&gt;Base!$M114,"↑",IF(Changed!$M114&lt;Base!$M114," ↓",""))</f>
        <v>35</v>
      </c>
      <c r="N114" s="19">
        <f>Changed!G114-Base!G114</f>
        <v>0</v>
      </c>
    </row>
    <row r="115" spans="1:14" ht="15.75" customHeight="1" x14ac:dyDescent="0.2">
      <c r="A115" s="4">
        <v>114</v>
      </c>
      <c r="B115" s="5" t="s">
        <v>138</v>
      </c>
      <c r="C115" s="6" t="str">
        <f>IF(Changed!C115&lt;&gt;"", Changed!C115, "")</f>
        <v>Ground</v>
      </c>
      <c r="D115" s="6" t="str">
        <f>IF(Changed!D115&lt;&gt;"", Changed!D115, "")</f>
        <v/>
      </c>
      <c r="E115" s="6" t="str">
        <f>IF(Changed!E115&lt;&gt;"", Changed!E115, "")</f>
        <v>Rock Head</v>
      </c>
      <c r="F115" s="6" t="str">
        <f>IF(Changed!F115&lt;&gt;"", Changed!F115, "")</f>
        <v>Lightning Rod</v>
      </c>
      <c r="G115" s="7" t="str" cm="1">
        <f t="array" ref="G115">INDEX(Changed!$G:$G,ROW())&amp;IF(Changed!$G115&gt;Base!$G115,"↑",IF(Changed!$G115&lt;Base!$G115," ↓",""))</f>
        <v>425</v>
      </c>
      <c r="H115" s="7" t="str" cm="1">
        <f t="array" ref="H115">INDEX(Changed!$H:$H,ROW())&amp;IF(Changed!$H115&gt;Base!$H115,"↑",IF(Changed!$H115&lt;Base!$H115," ↓",""))</f>
        <v>60</v>
      </c>
      <c r="I115" s="7" t="str" cm="1">
        <f t="array" ref="I115">INDEX(Changed!$I:$I,ROW())&amp;IF(Changed!$I115&gt;Base!$I115,"↑",IF(Changed!$I115&lt;Base!$I115," ↓",""))</f>
        <v>80</v>
      </c>
      <c r="J115" s="7" t="str" cm="1">
        <f t="array" ref="J115">INDEX(Changed!$J:$J,ROW())&amp;IF(Changed!$J115&gt;Base!$J115,"↑",IF(Changed!$J115&lt;Base!$J115," ↓",""))</f>
        <v>110</v>
      </c>
      <c r="K115" s="7" t="str" cm="1">
        <f t="array" ref="K115">INDEX(Changed!$K:$K,ROW())&amp;IF(Changed!$K115&gt;Base!$K115,"↑",IF(Changed!$K115&lt;Base!$K115," ↓",""))</f>
        <v>50</v>
      </c>
      <c r="L115" s="7" t="str" cm="1">
        <f t="array" ref="L115">INDEX(Changed!$L:$L,ROW())&amp;IF(Changed!$L115&gt;Base!$L115,"↑",IF(Changed!$L115&lt;Base!$L115," ↓",""))</f>
        <v>80</v>
      </c>
      <c r="M115" s="7" t="str" cm="1">
        <f t="array" ref="M115">INDEX(Changed!$M:$M,ROW())&amp;IF(Changed!$M115&gt;Base!$M115,"↑",IF(Changed!$M115&lt;Base!$M115," ↓",""))</f>
        <v>45</v>
      </c>
      <c r="N115" s="19">
        <f>Changed!G115-Base!G115</f>
        <v>0</v>
      </c>
    </row>
    <row r="116" spans="1:14" ht="15.75" customHeight="1" x14ac:dyDescent="0.2">
      <c r="A116" s="4">
        <v>115</v>
      </c>
      <c r="B116" s="5" t="s">
        <v>271</v>
      </c>
      <c r="C116" s="6" t="str">
        <f>IF(Changed!C116&lt;&gt;"", Changed!C116, "")</f>
        <v>Fighting</v>
      </c>
      <c r="D116" s="6" t="str">
        <f>IF(Changed!D116&lt;&gt;"", Changed!D116, "")</f>
        <v/>
      </c>
      <c r="E116" s="6" t="str">
        <f>IF(Changed!E116&lt;&gt;"", Changed!E116, "")</f>
        <v>Guts</v>
      </c>
      <c r="F116" s="6" t="str">
        <f>IF(Changed!F116&lt;&gt;"", Changed!F116, "")</f>
        <v>Steadfast</v>
      </c>
      <c r="G116" s="7" t="str" cm="1">
        <f t="array" ref="G116">INDEX(Changed!$G:$G,ROW())&amp;IF(Changed!$G116&gt;Base!$G116,"↑",IF(Changed!$G116&lt;Base!$G116," ↓",""))</f>
        <v>210</v>
      </c>
      <c r="H116" s="7" t="str" cm="1">
        <f t="array" ref="H116">INDEX(Changed!$H:$H,ROW())&amp;IF(Changed!$H116&gt;Base!$H116,"↑",IF(Changed!$H116&lt;Base!$H116," ↓",""))</f>
        <v>35</v>
      </c>
      <c r="I116" s="7" t="str" cm="1">
        <f t="array" ref="I116">INDEX(Changed!$I:$I,ROW())&amp;IF(Changed!$I116&gt;Base!$I116,"↑",IF(Changed!$I116&lt;Base!$I116," ↓",""))</f>
        <v>35</v>
      </c>
      <c r="J116" s="7" t="str" cm="1">
        <f t="array" ref="J116">INDEX(Changed!$J:$J,ROW())&amp;IF(Changed!$J116&gt;Base!$J116,"↑",IF(Changed!$J116&lt;Base!$J116," ↓",""))</f>
        <v>35</v>
      </c>
      <c r="K116" s="7" t="str" cm="1">
        <f t="array" ref="K116">INDEX(Changed!$K:$K,ROW())&amp;IF(Changed!$K116&gt;Base!$K116,"↑",IF(Changed!$K116&lt;Base!$K116," ↓",""))</f>
        <v>35</v>
      </c>
      <c r="L116" s="7" t="str" cm="1">
        <f t="array" ref="L116">INDEX(Changed!$L:$L,ROW())&amp;IF(Changed!$L116&gt;Base!$L116,"↑",IF(Changed!$L116&lt;Base!$L116," ↓",""))</f>
        <v>35</v>
      </c>
      <c r="M116" s="7" t="str" cm="1">
        <f t="array" ref="M116">INDEX(Changed!$M:$M,ROW())&amp;IF(Changed!$M116&gt;Base!$M116,"↑",IF(Changed!$M116&lt;Base!$M116," ↓",""))</f>
        <v>35</v>
      </c>
      <c r="N116" s="19">
        <f>Changed!G116-Base!G116</f>
        <v>0</v>
      </c>
    </row>
    <row r="117" spans="1:14" ht="15.75" customHeight="1" x14ac:dyDescent="0.2">
      <c r="A117" s="4">
        <v>116</v>
      </c>
      <c r="B117" s="5" t="s">
        <v>139</v>
      </c>
      <c r="C117" s="6" t="str">
        <f>IF(Changed!C117&lt;&gt;"", Changed!C117, "")</f>
        <v>Fighting</v>
      </c>
      <c r="D117" s="6" t="str">
        <f>IF(Changed!D117&lt;&gt;"", Changed!D117, "")</f>
        <v>Ice</v>
      </c>
      <c r="E117" s="6" t="str">
        <f>IF(Changed!E117&lt;&gt;"", Changed!E117, "")</f>
        <v>Reckless</v>
      </c>
      <c r="F117" s="6" t="str">
        <f>IF(Changed!F117&lt;&gt;"", Changed!F117, "")</f>
        <v>Lethal Legs</v>
      </c>
      <c r="G117" s="7" t="str" cm="1">
        <f t="array" ref="G117">INDEX(Changed!$G:$G,ROW())&amp;IF(Changed!$G117&gt;Base!$G117,"↑",IF(Changed!$G117&lt;Base!$G117," ↓",""))</f>
        <v>455</v>
      </c>
      <c r="H117" s="7" t="str" cm="1">
        <f t="array" ref="H117">INDEX(Changed!$H:$H,ROW())&amp;IF(Changed!$H117&gt;Base!$H117,"↑",IF(Changed!$H117&lt;Base!$H117," ↓",""))</f>
        <v>50</v>
      </c>
      <c r="I117" s="7" t="str" cm="1">
        <f t="array" ref="I117">INDEX(Changed!$I:$I,ROW())&amp;IF(Changed!$I117&gt;Base!$I117,"↑",IF(Changed!$I117&lt;Base!$I117," ↓",""))</f>
        <v>120</v>
      </c>
      <c r="J117" s="7" t="str" cm="1">
        <f t="array" ref="J117">INDEX(Changed!$J:$J,ROW())&amp;IF(Changed!$J117&gt;Base!$J117,"↑",IF(Changed!$J117&lt;Base!$J117," ↓",""))</f>
        <v>53</v>
      </c>
      <c r="K117" s="7" t="str" cm="1">
        <f t="array" ref="K117">INDEX(Changed!$K:$K,ROW())&amp;IF(Changed!$K117&gt;Base!$K117,"↑",IF(Changed!$K117&lt;Base!$K117," ↓",""))</f>
        <v>35</v>
      </c>
      <c r="L117" s="7" t="str" cm="1">
        <f t="array" ref="L117">INDEX(Changed!$L:$L,ROW())&amp;IF(Changed!$L117&gt;Base!$L117,"↑",IF(Changed!$L117&lt;Base!$L117," ↓",""))</f>
        <v>110</v>
      </c>
      <c r="M117" s="7" t="str" cm="1">
        <f t="array" ref="M117">INDEX(Changed!$M:$M,ROW())&amp;IF(Changed!$M117&gt;Base!$M117,"↑",IF(Changed!$M117&lt;Base!$M117," ↓",""))</f>
        <v>87</v>
      </c>
      <c r="N117" s="19">
        <f>Changed!G117-Base!G117</f>
        <v>0</v>
      </c>
    </row>
    <row r="118" spans="1:14" ht="15.75" customHeight="1" x14ac:dyDescent="0.2">
      <c r="A118" s="4">
        <v>117</v>
      </c>
      <c r="B118" s="5" t="s">
        <v>140</v>
      </c>
      <c r="C118" s="6" t="str">
        <f>IF(Changed!C118&lt;&gt;"", Changed!C118, "")</f>
        <v>Fighting</v>
      </c>
      <c r="D118" s="6" t="str">
        <f>IF(Changed!D118&lt;&gt;"", Changed!D118, "")</f>
        <v>Rock</v>
      </c>
      <c r="E118" s="6" t="str">
        <f>IF(Changed!E118&lt;&gt;"", Changed!E118, "")</f>
        <v>Keen Eye</v>
      </c>
      <c r="F118" s="6" t="str">
        <f>IF(Changed!F118&lt;&gt;"", Changed!F118, "")</f>
        <v>Iron Fist</v>
      </c>
      <c r="G118" s="7" t="str" cm="1">
        <f t="array" ref="G118">INDEX(Changed!$G:$G,ROW())&amp;IF(Changed!$G118&gt;Base!$G118,"↑",IF(Changed!$G118&lt;Base!$G118," ↓",""))</f>
        <v>455</v>
      </c>
      <c r="H118" s="7" t="str" cm="1">
        <f t="array" ref="H118">INDEX(Changed!$H:$H,ROW())&amp;IF(Changed!$H118&gt;Base!$H118,"↑",IF(Changed!$H118&lt;Base!$H118," ↓",""))</f>
        <v>50</v>
      </c>
      <c r="I118" s="7" t="str" cm="1">
        <f t="array" ref="I118">INDEX(Changed!$I:$I,ROW())&amp;IF(Changed!$I118&gt;Base!$I118,"↑",IF(Changed!$I118&lt;Base!$I118," ↓",""))</f>
        <v>105</v>
      </c>
      <c r="J118" s="7" t="str" cm="1">
        <f t="array" ref="J118">INDEX(Changed!$J:$J,ROW())&amp;IF(Changed!$J118&gt;Base!$J118,"↑",IF(Changed!$J118&lt;Base!$J118," ↓",""))</f>
        <v>79</v>
      </c>
      <c r="K118" s="7" t="str" cm="1">
        <f t="array" ref="K118">INDEX(Changed!$K:$K,ROW())&amp;IF(Changed!$K118&gt;Base!$K118,"↑",IF(Changed!$K118&lt;Base!$K118," ↓",""))</f>
        <v>35</v>
      </c>
      <c r="L118" s="7" t="str" cm="1">
        <f t="array" ref="L118">INDEX(Changed!$L:$L,ROW())&amp;IF(Changed!$L118&gt;Base!$L118,"↑",IF(Changed!$L118&lt;Base!$L118," ↓",""))</f>
        <v>110</v>
      </c>
      <c r="M118" s="7" t="str" cm="1">
        <f t="array" ref="M118">INDEX(Changed!$M:$M,ROW())&amp;IF(Changed!$M118&gt;Base!$M118,"↑",IF(Changed!$M118&lt;Base!$M118," ↓",""))</f>
        <v>76</v>
      </c>
      <c r="N118" s="19">
        <f>Changed!G118-Base!G118</f>
        <v>0</v>
      </c>
    </row>
    <row r="119" spans="1:14" ht="15.75" customHeight="1" x14ac:dyDescent="0.2">
      <c r="A119" s="4">
        <v>118</v>
      </c>
      <c r="B119" s="5" t="s">
        <v>272</v>
      </c>
      <c r="C119" s="6" t="str">
        <f>IF(Changed!C119&lt;&gt;"", Changed!C119, "")</f>
        <v>Fighting</v>
      </c>
      <c r="D119" s="6" t="str">
        <f>IF(Changed!D119&lt;&gt;"", Changed!D119, "")</f>
        <v/>
      </c>
      <c r="E119" s="6" t="str">
        <f>IF(Changed!E119&lt;&gt;"", Changed!E119, "")</f>
        <v xml:space="preserve">Intimidate </v>
      </c>
      <c r="F119" s="6" t="str">
        <f>IF(Changed!F119&lt;&gt;"", Changed!F119, "")</f>
        <v>Technician</v>
      </c>
      <c r="G119" s="7" t="str" cm="1">
        <f t="array" ref="G119">INDEX(Changed!$G:$G,ROW())&amp;IF(Changed!$G119&gt;Base!$G119,"↑",IF(Changed!$G119&lt;Base!$G119," ↓",""))</f>
        <v>455</v>
      </c>
      <c r="H119" s="7" t="str" cm="1">
        <f t="array" ref="H119">INDEX(Changed!$H:$H,ROW())&amp;IF(Changed!$H119&gt;Base!$H119,"↑",IF(Changed!$H119&lt;Base!$H119," ↓",""))</f>
        <v>50</v>
      </c>
      <c r="I119" s="7" t="str" cm="1">
        <f t="array" ref="I119">INDEX(Changed!$I:$I,ROW())&amp;IF(Changed!$I119&gt;Base!$I119,"↑",IF(Changed!$I119&lt;Base!$I119," ↓",""))</f>
        <v>95</v>
      </c>
      <c r="J119" s="7" t="str" cm="1">
        <f t="array" ref="J119">INDEX(Changed!$J:$J,ROW())&amp;IF(Changed!$J119&gt;Base!$J119,"↑",IF(Changed!$J119&lt;Base!$J119," ↓",""))</f>
        <v>95</v>
      </c>
      <c r="K119" s="7" t="str" cm="1">
        <f t="array" ref="K119">INDEX(Changed!$K:$K,ROW())&amp;IF(Changed!$K119&gt;Base!$K119,"↑",IF(Changed!$K119&lt;Base!$K119," ↓",""))</f>
        <v>35</v>
      </c>
      <c r="L119" s="7" t="str" cm="1">
        <f t="array" ref="L119">INDEX(Changed!$L:$L,ROW())&amp;IF(Changed!$L119&gt;Base!$L119,"↑",IF(Changed!$L119&lt;Base!$L119," ↓",""))</f>
        <v>110</v>
      </c>
      <c r="M119" s="7" t="str" cm="1">
        <f t="array" ref="M119">INDEX(Changed!$M:$M,ROW())&amp;IF(Changed!$M119&gt;Base!$M119,"↑",IF(Changed!$M119&lt;Base!$M119," ↓",""))</f>
        <v>70</v>
      </c>
      <c r="N119" s="19">
        <f>Changed!G119-Base!G119</f>
        <v>0</v>
      </c>
    </row>
    <row r="120" spans="1:14" ht="15.75" customHeight="1" x14ac:dyDescent="0.2">
      <c r="A120" s="4">
        <v>119</v>
      </c>
      <c r="B120" s="5" t="s">
        <v>141</v>
      </c>
      <c r="C120" s="6" t="str">
        <f>IF(Changed!C120&lt;&gt;"", Changed!C120, "")</f>
        <v>Normal</v>
      </c>
      <c r="D120" s="6" t="str">
        <f>IF(Changed!D120&lt;&gt;"", Changed!D120, "")</f>
        <v/>
      </c>
      <c r="E120" s="6" t="str">
        <f>IF(Changed!E120&lt;&gt;"", Changed!E120, "")</f>
        <v>Own Tempo</v>
      </c>
      <c r="F120" s="6" t="str">
        <f>IF(Changed!F120&lt;&gt;"", Changed!F120, "")</f>
        <v>Oblivious</v>
      </c>
      <c r="G120" s="7" t="str" cm="1">
        <f t="array" ref="G120">INDEX(Changed!$G:$G,ROW())&amp;IF(Changed!$G120&gt;Base!$G120,"↑",IF(Changed!$G120&lt;Base!$G120," ↓",""))</f>
        <v>385</v>
      </c>
      <c r="H120" s="7" t="str" cm="1">
        <f t="array" ref="H120">INDEX(Changed!$H:$H,ROW())&amp;IF(Changed!$H120&gt;Base!$H120,"↑",IF(Changed!$H120&lt;Base!$H120," ↓",""))</f>
        <v>90</v>
      </c>
      <c r="I120" s="7" t="str" cm="1">
        <f t="array" ref="I120">INDEX(Changed!$I:$I,ROW())&amp;IF(Changed!$I120&gt;Base!$I120,"↑",IF(Changed!$I120&lt;Base!$I120," ↓",""))</f>
        <v>55</v>
      </c>
      <c r="J120" s="7" t="str" cm="1">
        <f t="array" ref="J120">INDEX(Changed!$J:$J,ROW())&amp;IF(Changed!$J120&gt;Base!$J120,"↑",IF(Changed!$J120&lt;Base!$J120," ↓",""))</f>
        <v>75</v>
      </c>
      <c r="K120" s="7" t="str" cm="1">
        <f t="array" ref="K120">INDEX(Changed!$K:$K,ROW())&amp;IF(Changed!$K120&gt;Base!$K120,"↑",IF(Changed!$K120&lt;Base!$K120," ↓",""))</f>
        <v>60</v>
      </c>
      <c r="L120" s="7" t="str" cm="1">
        <f t="array" ref="L120">INDEX(Changed!$L:$L,ROW())&amp;IF(Changed!$L120&gt;Base!$L120,"↑",IF(Changed!$L120&lt;Base!$L120," ↓",""))</f>
        <v>75</v>
      </c>
      <c r="M120" s="7" t="str" cm="1">
        <f t="array" ref="M120">INDEX(Changed!$M:$M,ROW())&amp;IF(Changed!$M120&gt;Base!$M120,"↑",IF(Changed!$M120&lt;Base!$M120," ↓",""))</f>
        <v>30</v>
      </c>
      <c r="N120" s="19">
        <f>Changed!G120-Base!G120</f>
        <v>0</v>
      </c>
    </row>
    <row r="121" spans="1:14" ht="15.75" customHeight="1" x14ac:dyDescent="0.2">
      <c r="A121" s="4">
        <v>120</v>
      </c>
      <c r="B121" s="5" t="s">
        <v>498</v>
      </c>
      <c r="C121" s="6" t="str">
        <f>IF(Changed!C121&lt;&gt;"", Changed!C121, "")</f>
        <v>Normal</v>
      </c>
      <c r="D121" s="6" t="str">
        <f>IF(Changed!D121&lt;&gt;"", Changed!D121, "")</f>
        <v/>
      </c>
      <c r="E121" s="6" t="str">
        <f>IF(Changed!E121&lt;&gt;"", Changed!E121, "")</f>
        <v>Own Tempo</v>
      </c>
      <c r="F121" s="6" t="str">
        <f>IF(Changed!F121&lt;&gt;"", Changed!F121, "")</f>
        <v>Oblivious</v>
      </c>
      <c r="G121" s="7" t="str" cm="1">
        <f t="array" ref="G121">INDEX(Changed!$G:$G,ROW())&amp;IF(Changed!$G121&gt;Base!$G121,"↑",IF(Changed!$G121&lt;Base!$G121," ↓",""))</f>
        <v>515</v>
      </c>
      <c r="H121" s="7" t="str" cm="1">
        <f t="array" ref="H121">INDEX(Changed!$H:$H,ROW())&amp;IF(Changed!$H121&gt;Base!$H121,"↑",IF(Changed!$H121&lt;Base!$H121," ↓",""))</f>
        <v>110</v>
      </c>
      <c r="I121" s="7" t="str" cm="1">
        <f t="array" ref="I121">INDEX(Changed!$I:$I,ROW())&amp;IF(Changed!$I121&gt;Base!$I121,"↑",IF(Changed!$I121&lt;Base!$I121," ↓",""))</f>
        <v>85</v>
      </c>
      <c r="J121" s="7" t="str" cm="1">
        <f t="array" ref="J121">INDEX(Changed!$J:$J,ROW())&amp;IF(Changed!$J121&gt;Base!$J121,"↑",IF(Changed!$J121&lt;Base!$J121," ↓",""))</f>
        <v>95</v>
      </c>
      <c r="K121" s="7" t="str" cm="1">
        <f t="array" ref="K121">INDEX(Changed!$K:$K,ROW())&amp;IF(Changed!$K121&gt;Base!$K121,"↑",IF(Changed!$K121&lt;Base!$K121," ↓",""))</f>
        <v>80</v>
      </c>
      <c r="L121" s="7" t="str" cm="1">
        <f t="array" ref="L121">INDEX(Changed!$L:$L,ROW())&amp;IF(Changed!$L121&gt;Base!$L121,"↑",IF(Changed!$L121&lt;Base!$L121," ↓",""))</f>
        <v>95</v>
      </c>
      <c r="M121" s="7" t="str" cm="1">
        <f t="array" ref="M121">INDEX(Changed!$M:$M,ROW())&amp;IF(Changed!$M121&gt;Base!$M121,"↑",IF(Changed!$M121&lt;Base!$M121," ↓",""))</f>
        <v>50</v>
      </c>
      <c r="N121" s="19">
        <f>Changed!G121-Base!G121</f>
        <v>0</v>
      </c>
    </row>
    <row r="122" spans="1:14" ht="15.75" customHeight="1" x14ac:dyDescent="0.2">
      <c r="A122" s="4">
        <v>121</v>
      </c>
      <c r="B122" s="5" t="s">
        <v>142</v>
      </c>
      <c r="C122" s="6" t="str">
        <f>IF(Changed!C122&lt;&gt;"", Changed!C122, "")</f>
        <v>Poison</v>
      </c>
      <c r="D122" s="6" t="str">
        <f>IF(Changed!D122&lt;&gt;"", Changed!D122, "")</f>
        <v/>
      </c>
      <c r="E122" s="6" t="str">
        <f>IF(Changed!E122&lt;&gt;"", Changed!E122, "")</f>
        <v>Levitate</v>
      </c>
      <c r="F122" s="6" t="str">
        <f>IF(Changed!F122&lt;&gt;"", Changed!F122, "")</f>
        <v>Neutralizing Gas</v>
      </c>
      <c r="G122" s="7" t="str" cm="1">
        <f t="array" ref="G122">INDEX(Changed!$G:$G,ROW())&amp;IF(Changed!$G122&gt;Base!$G122,"↑",IF(Changed!$G122&lt;Base!$G122," ↓",""))</f>
        <v>340</v>
      </c>
      <c r="H122" s="7" t="str" cm="1">
        <f t="array" ref="H122">INDEX(Changed!$H:$H,ROW())&amp;IF(Changed!$H122&gt;Base!$H122,"↑",IF(Changed!$H122&lt;Base!$H122," ↓",""))</f>
        <v>40</v>
      </c>
      <c r="I122" s="7" t="str" cm="1">
        <f t="array" ref="I122">INDEX(Changed!$I:$I,ROW())&amp;IF(Changed!$I122&gt;Base!$I122,"↑",IF(Changed!$I122&lt;Base!$I122," ↓",""))</f>
        <v>65</v>
      </c>
      <c r="J122" s="7" t="str" cm="1">
        <f t="array" ref="J122">INDEX(Changed!$J:$J,ROW())&amp;IF(Changed!$J122&gt;Base!$J122,"↑",IF(Changed!$J122&lt;Base!$J122," ↓",""))</f>
        <v>95</v>
      </c>
      <c r="K122" s="7" t="str" cm="1">
        <f t="array" ref="K122">INDEX(Changed!$K:$K,ROW())&amp;IF(Changed!$K122&gt;Base!$K122,"↑",IF(Changed!$K122&lt;Base!$K122," ↓",""))</f>
        <v>60</v>
      </c>
      <c r="L122" s="7" t="str" cm="1">
        <f t="array" ref="L122">INDEX(Changed!$L:$L,ROW())&amp;IF(Changed!$L122&gt;Base!$L122,"↑",IF(Changed!$L122&lt;Base!$L122," ↓",""))</f>
        <v>45</v>
      </c>
      <c r="M122" s="7" t="str" cm="1">
        <f t="array" ref="M122">INDEX(Changed!$M:$M,ROW())&amp;IF(Changed!$M122&gt;Base!$M122,"↑",IF(Changed!$M122&lt;Base!$M122," ↓",""))</f>
        <v>35</v>
      </c>
      <c r="N122" s="19">
        <f>Changed!G122-Base!G122</f>
        <v>0</v>
      </c>
    </row>
    <row r="123" spans="1:14" ht="15.75" customHeight="1" x14ac:dyDescent="0.2">
      <c r="A123" s="4">
        <v>122</v>
      </c>
      <c r="B123" s="5" t="s">
        <v>143</v>
      </c>
      <c r="C123" s="6" t="str">
        <f>IF(Changed!C123&lt;&gt;"", Changed!C123, "")</f>
        <v>Poison</v>
      </c>
      <c r="D123" s="6" t="str">
        <f>IF(Changed!D123&lt;&gt;"", Changed!D123, "")</f>
        <v/>
      </c>
      <c r="E123" s="6" t="str">
        <f>IF(Changed!E123&lt;&gt;"", Changed!E123, "")</f>
        <v>Levitate</v>
      </c>
      <c r="F123" s="6" t="str">
        <f>IF(Changed!F123&lt;&gt;"", Changed!F123, "")</f>
        <v>Neutralizing Gas</v>
      </c>
      <c r="G123" s="7" t="str" cm="1">
        <f t="array" ref="G123">INDEX(Changed!$G:$G,ROW())&amp;IF(Changed!$G123&gt;Base!$G123,"↑",IF(Changed!$G123&lt;Base!$G123," ↓",""))</f>
        <v>490</v>
      </c>
      <c r="H123" s="7" t="str" cm="1">
        <f t="array" ref="H123">INDEX(Changed!$H:$H,ROW())&amp;IF(Changed!$H123&gt;Base!$H123,"↑",IF(Changed!$H123&lt;Base!$H123," ↓",""))</f>
        <v>65</v>
      </c>
      <c r="I123" s="7" t="str" cm="1">
        <f t="array" ref="I123">INDEX(Changed!$I:$I,ROW())&amp;IF(Changed!$I123&gt;Base!$I123,"↑",IF(Changed!$I123&lt;Base!$I123," ↓",""))</f>
        <v>90</v>
      </c>
      <c r="J123" s="7" t="str" cm="1">
        <f t="array" ref="J123">INDEX(Changed!$J:$J,ROW())&amp;IF(Changed!$J123&gt;Base!$J123,"↑",IF(Changed!$J123&lt;Base!$J123," ↓",""))</f>
        <v>120</v>
      </c>
      <c r="K123" s="7" t="str" cm="1">
        <f t="array" ref="K123">INDEX(Changed!$K:$K,ROW())&amp;IF(Changed!$K123&gt;Base!$K123,"↑",IF(Changed!$K123&lt;Base!$K123," ↓",""))</f>
        <v>85</v>
      </c>
      <c r="L123" s="7" t="str" cm="1">
        <f t="array" ref="L123">INDEX(Changed!$L:$L,ROW())&amp;IF(Changed!$L123&gt;Base!$L123,"↑",IF(Changed!$L123&lt;Base!$L123," ↓",""))</f>
        <v>70</v>
      </c>
      <c r="M123" s="7" t="str" cm="1">
        <f t="array" ref="M123">INDEX(Changed!$M:$M,ROW())&amp;IF(Changed!$M123&gt;Base!$M123,"↑",IF(Changed!$M123&lt;Base!$M123," ↓",""))</f>
        <v>60</v>
      </c>
      <c r="N123" s="19">
        <f>Changed!G123-Base!G123</f>
        <v>0</v>
      </c>
    </row>
    <row r="124" spans="1:14" ht="15.75" customHeight="1" x14ac:dyDescent="0.2">
      <c r="A124" s="4">
        <v>123</v>
      </c>
      <c r="B124" s="5" t="s">
        <v>144</v>
      </c>
      <c r="C124" s="6" t="str">
        <f>IF(Changed!C124&lt;&gt;"", Changed!C124, "")</f>
        <v>Rock</v>
      </c>
      <c r="D124" s="6" t="str">
        <f>IF(Changed!D124&lt;&gt;"", Changed!D124, "")</f>
        <v>None</v>
      </c>
      <c r="E124" s="6" t="str">
        <f>IF(Changed!E124&lt;&gt;"", Changed!E124, "")</f>
        <v>Reckless</v>
      </c>
      <c r="F124" s="6" t="str">
        <f>IF(Changed!F124&lt;&gt;"", Changed!F124, "")</f>
        <v>Rock Head</v>
      </c>
      <c r="G124" s="7" t="str" cm="1">
        <f t="array" ref="G124">INDEX(Changed!$G:$G,ROW())&amp;IF(Changed!$G124&gt;Base!$G124,"↑",IF(Changed!$G124&lt;Base!$G124," ↓",""))</f>
        <v>345</v>
      </c>
      <c r="H124" s="7" t="str" cm="1">
        <f t="array" ref="H124">INDEX(Changed!$H:$H,ROW())&amp;IF(Changed!$H124&gt;Base!$H124,"↑",IF(Changed!$H124&lt;Base!$H124," ↓",""))</f>
        <v>80</v>
      </c>
      <c r="I124" s="7" t="str" cm="1">
        <f t="array" ref="I124">INDEX(Changed!$I:$I,ROW())&amp;IF(Changed!$I124&gt;Base!$I124,"↑",IF(Changed!$I124&lt;Base!$I124," ↓",""))</f>
        <v>85</v>
      </c>
      <c r="J124" s="7" t="str" cm="1">
        <f t="array" ref="J124">INDEX(Changed!$J:$J,ROW())&amp;IF(Changed!$J124&gt;Base!$J124,"↑",IF(Changed!$J124&lt;Base!$J124," ↓",""))</f>
        <v>95</v>
      </c>
      <c r="K124" s="7" t="str" cm="1">
        <f t="array" ref="K124">INDEX(Changed!$K:$K,ROW())&amp;IF(Changed!$K124&gt;Base!$K124,"↑",IF(Changed!$K124&lt;Base!$K124," ↓",""))</f>
        <v>30</v>
      </c>
      <c r="L124" s="7" t="str" cm="1">
        <f t="array" ref="L124">INDEX(Changed!$L:$L,ROW())&amp;IF(Changed!$L124&gt;Base!$L124,"↑",IF(Changed!$L124&lt;Base!$L124," ↓",""))</f>
        <v>30</v>
      </c>
      <c r="M124" s="7" t="str" cm="1">
        <f t="array" ref="M124">INDEX(Changed!$M:$M,ROW())&amp;IF(Changed!$M124&gt;Base!$M124,"↑",IF(Changed!$M124&lt;Base!$M124," ↓",""))</f>
        <v>25</v>
      </c>
      <c r="N124" s="19">
        <f>Changed!G124-Base!G124</f>
        <v>0</v>
      </c>
    </row>
    <row r="125" spans="1:14" ht="15.75" customHeight="1" x14ac:dyDescent="0.2">
      <c r="A125" s="4">
        <v>124</v>
      </c>
      <c r="B125" s="5" t="s">
        <v>145</v>
      </c>
      <c r="C125" s="6" t="str">
        <f>IF(Changed!C125&lt;&gt;"", Changed!C125, "")</f>
        <v>Rock</v>
      </c>
      <c r="D125" s="6" t="str">
        <f>IF(Changed!D125&lt;&gt;"", Changed!D125, "")</f>
        <v>None</v>
      </c>
      <c r="E125" s="6" t="str">
        <f>IF(Changed!E125&lt;&gt;"", Changed!E125, "")</f>
        <v>Reckless</v>
      </c>
      <c r="F125" s="6" t="str">
        <f>IF(Changed!F125&lt;&gt;"", Changed!F125, "")</f>
        <v>Rock Head</v>
      </c>
      <c r="G125" s="7" t="str" cm="1">
        <f t="array" ref="G125">INDEX(Changed!$G:$G,ROW())&amp;IF(Changed!$G125&gt;Base!$G125,"↑",IF(Changed!$G125&lt;Base!$G125," ↓",""))</f>
        <v>485</v>
      </c>
      <c r="H125" s="7" t="str" cm="1">
        <f t="array" ref="H125">INDEX(Changed!$H:$H,ROW())&amp;IF(Changed!$H125&gt;Base!$H125,"↑",IF(Changed!$H125&lt;Base!$H125," ↓",""))</f>
        <v>105</v>
      </c>
      <c r="I125" s="7" t="str" cm="1">
        <f t="array" ref="I125">INDEX(Changed!$I:$I,ROW())&amp;IF(Changed!$I125&gt;Base!$I125,"↑",IF(Changed!$I125&lt;Base!$I125," ↓",""))</f>
        <v>130</v>
      </c>
      <c r="J125" s="7" t="str" cm="1">
        <f t="array" ref="J125">INDEX(Changed!$J:$J,ROW())&amp;IF(Changed!$J125&gt;Base!$J125,"↑",IF(Changed!$J125&lt;Base!$J125," ↓",""))</f>
        <v>120</v>
      </c>
      <c r="K125" s="7" t="str" cm="1">
        <f t="array" ref="K125">INDEX(Changed!$K:$K,ROW())&amp;IF(Changed!$K125&gt;Base!$K125,"↑",IF(Changed!$K125&lt;Base!$K125," ↓",""))</f>
        <v>45</v>
      </c>
      <c r="L125" s="7" t="str" cm="1">
        <f t="array" ref="L125">INDEX(Changed!$L:$L,ROW())&amp;IF(Changed!$L125&gt;Base!$L125,"↑",IF(Changed!$L125&lt;Base!$L125," ↓",""))</f>
        <v>45</v>
      </c>
      <c r="M125" s="7" t="str" cm="1">
        <f t="array" ref="M125">INDEX(Changed!$M:$M,ROW())&amp;IF(Changed!$M125&gt;Base!$M125,"↑",IF(Changed!$M125&lt;Base!$M125," ↓",""))</f>
        <v>40</v>
      </c>
      <c r="N125" s="19">
        <f>Changed!G125-Base!G125</f>
        <v>0</v>
      </c>
    </row>
    <row r="126" spans="1:14" ht="15.75" customHeight="1" x14ac:dyDescent="0.2">
      <c r="A126" s="4">
        <v>125</v>
      </c>
      <c r="B126" s="5" t="s">
        <v>499</v>
      </c>
      <c r="C126" s="6" t="str">
        <f>IF(Changed!C126&lt;&gt;"", Changed!C126, "")</f>
        <v>Rock</v>
      </c>
      <c r="D126" s="6" t="str">
        <f>IF(Changed!D126&lt;&gt;"", Changed!D126, "")</f>
        <v>None</v>
      </c>
      <c r="E126" s="6" t="str">
        <f>IF(Changed!E126&lt;&gt;"", Changed!E126, "")</f>
        <v>Reckless</v>
      </c>
      <c r="F126" s="6" t="str">
        <f>IF(Changed!F126&lt;&gt;"", Changed!F126, "")</f>
        <v>Rock Head</v>
      </c>
      <c r="G126" s="7" t="str" cm="1">
        <f t="array" ref="G126">INDEX(Changed!$G:$G,ROW())&amp;IF(Changed!$G126&gt;Base!$G126,"↑",IF(Changed!$G126&lt;Base!$G126," ↓",""))</f>
        <v>535</v>
      </c>
      <c r="H126" s="7" t="str" cm="1">
        <f t="array" ref="H126">INDEX(Changed!$H:$H,ROW())&amp;IF(Changed!$H126&gt;Base!$H126,"↑",IF(Changed!$H126&lt;Base!$H126," ↓",""))</f>
        <v>115</v>
      </c>
      <c r="I126" s="7" t="str" cm="1">
        <f t="array" ref="I126">INDEX(Changed!$I:$I,ROW())&amp;IF(Changed!$I126&gt;Base!$I126,"↑",IF(Changed!$I126&lt;Base!$I126," ↓",""))</f>
        <v>140</v>
      </c>
      <c r="J126" s="7" t="str" cm="1">
        <f t="array" ref="J126">INDEX(Changed!$J:$J,ROW())&amp;IF(Changed!$J126&gt;Base!$J126,"↑",IF(Changed!$J126&lt;Base!$J126," ↓",""))</f>
        <v>130</v>
      </c>
      <c r="K126" s="7" t="str" cm="1">
        <f t="array" ref="K126">INDEX(Changed!$K:$K,ROW())&amp;IF(Changed!$K126&gt;Base!$K126,"↑",IF(Changed!$K126&lt;Base!$K126," ↓",""))</f>
        <v>55</v>
      </c>
      <c r="L126" s="7" t="str" cm="1">
        <f t="array" ref="L126">INDEX(Changed!$L:$L,ROW())&amp;IF(Changed!$L126&gt;Base!$L126,"↑",IF(Changed!$L126&lt;Base!$L126," ↓",""))</f>
        <v>55</v>
      </c>
      <c r="M126" s="7" t="str" cm="1">
        <f t="array" ref="M126">INDEX(Changed!$M:$M,ROW())&amp;IF(Changed!$M126&gt;Base!$M126,"↑",IF(Changed!$M126&lt;Base!$M126," ↓",""))</f>
        <v>40</v>
      </c>
      <c r="N126" s="19">
        <f>Changed!G126-Base!G126</f>
        <v>0</v>
      </c>
    </row>
    <row r="127" spans="1:14" ht="15.75" customHeight="1" x14ac:dyDescent="0.2">
      <c r="A127" s="4">
        <v>126</v>
      </c>
      <c r="B127" s="5" t="s">
        <v>475</v>
      </c>
      <c r="C127" s="6" t="str">
        <f>IF(Changed!C127&lt;&gt;"", Changed!C127, "")</f>
        <v>Normal</v>
      </c>
      <c r="D127" s="6" t="str">
        <f>IF(Changed!D127&lt;&gt;"", Changed!D127, "")</f>
        <v/>
      </c>
      <c r="E127" s="6" t="str">
        <f>IF(Changed!E127&lt;&gt;"", Changed!E127, "")</f>
        <v>Natural Cure</v>
      </c>
      <c r="F127" s="6" t="str">
        <f>IF(Changed!F127&lt;&gt;"", Changed!F127, "")</f>
        <v>Serene Grace</v>
      </c>
      <c r="G127" s="7" t="str" cm="1">
        <f t="array" ref="G127">INDEX(Changed!$G:$G,ROW())&amp;IF(Changed!$G127&gt;Base!$G127,"↑",IF(Changed!$G127&lt;Base!$G127," ↓",""))</f>
        <v>220</v>
      </c>
      <c r="H127" s="7" t="str" cm="1">
        <f t="array" ref="H127">INDEX(Changed!$H:$H,ROW())&amp;IF(Changed!$H127&gt;Base!$H127,"↑",IF(Changed!$H127&lt;Base!$H127," ↓",""))</f>
        <v>100</v>
      </c>
      <c r="I127" s="7" t="str" cm="1">
        <f t="array" ref="I127">INDEX(Changed!$I:$I,ROW())&amp;IF(Changed!$I127&gt;Base!$I127,"↑",IF(Changed!$I127&lt;Base!$I127," ↓",""))</f>
        <v>5</v>
      </c>
      <c r="J127" s="7" t="str" cm="1">
        <f t="array" ref="J127">INDEX(Changed!$J:$J,ROW())&amp;IF(Changed!$J127&gt;Base!$J127,"↑",IF(Changed!$J127&lt;Base!$J127," ↓",""))</f>
        <v>5</v>
      </c>
      <c r="K127" s="7" t="str" cm="1">
        <f t="array" ref="K127">INDEX(Changed!$K:$K,ROW())&amp;IF(Changed!$K127&gt;Base!$K127,"↑",IF(Changed!$K127&lt;Base!$K127," ↓",""))</f>
        <v>15</v>
      </c>
      <c r="L127" s="7" t="str" cm="1">
        <f t="array" ref="L127">INDEX(Changed!$L:$L,ROW())&amp;IF(Changed!$L127&gt;Base!$L127,"↑",IF(Changed!$L127&lt;Base!$L127," ↓",""))</f>
        <v>65</v>
      </c>
      <c r="M127" s="7" t="str" cm="1">
        <f t="array" ref="M127">INDEX(Changed!$M:$M,ROW())&amp;IF(Changed!$M127&gt;Base!$M127,"↑",IF(Changed!$M127&lt;Base!$M127," ↓",""))</f>
        <v>30</v>
      </c>
      <c r="N127" s="19">
        <f>Changed!G127-Base!G127</f>
        <v>0</v>
      </c>
    </row>
    <row r="128" spans="1:14" ht="15.75" customHeight="1" x14ac:dyDescent="0.2">
      <c r="A128" s="4">
        <v>127</v>
      </c>
      <c r="B128" s="5" t="s">
        <v>146</v>
      </c>
      <c r="C128" s="6" t="str">
        <f>IF(Changed!C128&lt;&gt;"", Changed!C128, "")</f>
        <v>Normal</v>
      </c>
      <c r="D128" s="6" t="str">
        <f>IF(Changed!D128&lt;&gt;"", Changed!D128, "")</f>
        <v/>
      </c>
      <c r="E128" s="6" t="str">
        <f>IF(Changed!E128&lt;&gt;"", Changed!E128, "")</f>
        <v>Natural Cure</v>
      </c>
      <c r="F128" s="6" t="str">
        <f>IF(Changed!F128&lt;&gt;"", Changed!F128, "")</f>
        <v>Serence Grace</v>
      </c>
      <c r="G128" s="7" t="str" cm="1">
        <f t="array" ref="G128">INDEX(Changed!$G:$G,ROW())&amp;IF(Changed!$G128&gt;Base!$G128,"↑",IF(Changed!$G128&lt;Base!$G128," ↓",""))</f>
        <v>450</v>
      </c>
      <c r="H128" s="7" t="str" cm="1">
        <f t="array" ref="H128">INDEX(Changed!$H:$H,ROW())&amp;IF(Changed!$H128&gt;Base!$H128,"↑",IF(Changed!$H128&lt;Base!$H128," ↓",""))</f>
        <v>250</v>
      </c>
      <c r="I128" s="7" t="str" cm="1">
        <f t="array" ref="I128">INDEX(Changed!$I:$I,ROW())&amp;IF(Changed!$I128&gt;Base!$I128,"↑",IF(Changed!$I128&lt;Base!$I128," ↓",""))</f>
        <v>5</v>
      </c>
      <c r="J128" s="7" t="str" cm="1">
        <f t="array" ref="J128">INDEX(Changed!$J:$J,ROW())&amp;IF(Changed!$J128&gt;Base!$J128,"↑",IF(Changed!$J128&lt;Base!$J128," ↓",""))</f>
        <v>5</v>
      </c>
      <c r="K128" s="7" t="str" cm="1">
        <f t="array" ref="K128">INDEX(Changed!$K:$K,ROW())&amp;IF(Changed!$K128&gt;Base!$K128,"↑",IF(Changed!$K128&lt;Base!$K128," ↓",""))</f>
        <v>35</v>
      </c>
      <c r="L128" s="7" t="str" cm="1">
        <f t="array" ref="L128">INDEX(Changed!$L:$L,ROW())&amp;IF(Changed!$L128&gt;Base!$L128,"↑",IF(Changed!$L128&lt;Base!$L128," ↓",""))</f>
        <v>105</v>
      </c>
      <c r="M128" s="7" t="str" cm="1">
        <f t="array" ref="M128">INDEX(Changed!$M:$M,ROW())&amp;IF(Changed!$M128&gt;Base!$M128,"↑",IF(Changed!$M128&lt;Base!$M128," ↓",""))</f>
        <v>50</v>
      </c>
      <c r="N128" s="19">
        <f>Changed!G128-Base!G128</f>
        <v>0</v>
      </c>
    </row>
    <row r="129" spans="1:14" ht="15.75" customHeight="1" x14ac:dyDescent="0.2">
      <c r="A129" s="4">
        <v>128</v>
      </c>
      <c r="B129" s="5" t="s">
        <v>277</v>
      </c>
      <c r="C129" s="6" t="str">
        <f>IF(Changed!C129&lt;&gt;"", Changed!C129, "")</f>
        <v>Normal</v>
      </c>
      <c r="D129" s="6" t="str">
        <f>IF(Changed!D129&lt;&gt;"", Changed!D129, "")</f>
        <v/>
      </c>
      <c r="E129" s="6" t="str">
        <f>IF(Changed!E129&lt;&gt;"", Changed!E129, "")</f>
        <v>Natural Cure</v>
      </c>
      <c r="F129" s="6" t="str">
        <f>IF(Changed!F129&lt;&gt;"", Changed!F129, "")</f>
        <v>Serence Grace</v>
      </c>
      <c r="G129" s="7" t="str" cm="1">
        <f t="array" ref="G129">INDEX(Changed!$G:$G,ROW())&amp;IF(Changed!$G129&gt;Base!$G129,"↑",IF(Changed!$G129&lt;Base!$G129," ↓",""))</f>
        <v>540</v>
      </c>
      <c r="H129" s="7" t="str" cm="1">
        <f t="array" ref="H129">INDEX(Changed!$H:$H,ROW())&amp;IF(Changed!$H129&gt;Base!$H129,"↑",IF(Changed!$H129&lt;Base!$H129," ↓",""))</f>
        <v>255</v>
      </c>
      <c r="I129" s="7" t="str" cm="1">
        <f t="array" ref="I129">INDEX(Changed!$I:$I,ROW())&amp;IF(Changed!$I129&gt;Base!$I129,"↑",IF(Changed!$I129&lt;Base!$I129," ↓",""))</f>
        <v>10</v>
      </c>
      <c r="J129" s="7" t="str" cm="1">
        <f t="array" ref="J129">INDEX(Changed!$J:$J,ROW())&amp;IF(Changed!$J129&gt;Base!$J129,"↑",IF(Changed!$J129&lt;Base!$J129," ↓",""))</f>
        <v>10</v>
      </c>
      <c r="K129" s="7" t="str" cm="1">
        <f t="array" ref="K129">INDEX(Changed!$K:$K,ROW())&amp;IF(Changed!$K129&gt;Base!$K129,"↑",IF(Changed!$K129&lt;Base!$K129," ↓",""))</f>
        <v>75</v>
      </c>
      <c r="L129" s="7" t="str" cm="1">
        <f t="array" ref="L129">INDEX(Changed!$L:$L,ROW())&amp;IF(Changed!$L129&gt;Base!$L129,"↑",IF(Changed!$L129&lt;Base!$L129," ↓",""))</f>
        <v>135</v>
      </c>
      <c r="M129" s="7" t="str" cm="1">
        <f t="array" ref="M129">INDEX(Changed!$M:$M,ROW())&amp;IF(Changed!$M129&gt;Base!$M129,"↑",IF(Changed!$M129&lt;Base!$M129," ↓",""))</f>
        <v>55</v>
      </c>
      <c r="N129" s="19">
        <f>Changed!G129-Base!G129</f>
        <v>0</v>
      </c>
    </row>
    <row r="130" spans="1:14" ht="15.75" customHeight="1" x14ac:dyDescent="0.2">
      <c r="A130" s="4">
        <v>129</v>
      </c>
      <c r="B130" s="5" t="s">
        <v>147</v>
      </c>
      <c r="C130" s="6" t="str">
        <f>IF(Changed!C130&lt;&gt;"", Changed!C130, "")</f>
        <v>Grass</v>
      </c>
      <c r="D130" s="6" t="str">
        <f>IF(Changed!D130&lt;&gt;"", Changed!D130, "")</f>
        <v/>
      </c>
      <c r="E130" s="6" t="str">
        <f>IF(Changed!E130&lt;&gt;"", Changed!E130, "")</f>
        <v xml:space="preserve">Tangling Hair </v>
      </c>
      <c r="F130" s="6" t="str">
        <f>IF(Changed!F130&lt;&gt;"", Changed!F130, "")</f>
        <v>Thick Fat</v>
      </c>
      <c r="G130" s="7" t="str" cm="1">
        <f t="array" ref="G130">INDEX(Changed!$G:$G,ROW())&amp;IF(Changed!$G130&gt;Base!$G130,"↑",IF(Changed!$G130&lt;Base!$G130," ↓",""))</f>
        <v>435</v>
      </c>
      <c r="H130" s="7" t="str" cm="1">
        <f t="array" ref="H130">INDEX(Changed!$H:$H,ROW())&amp;IF(Changed!$H130&gt;Base!$H130,"↑",IF(Changed!$H130&lt;Base!$H130," ↓",""))</f>
        <v>65</v>
      </c>
      <c r="I130" s="7" t="str" cm="1">
        <f t="array" ref="I130">INDEX(Changed!$I:$I,ROW())&amp;IF(Changed!$I130&gt;Base!$I130,"↑",IF(Changed!$I130&lt;Base!$I130," ↓",""))</f>
        <v>55</v>
      </c>
      <c r="J130" s="7" t="str" cm="1">
        <f t="array" ref="J130">INDEX(Changed!$J:$J,ROW())&amp;IF(Changed!$J130&gt;Base!$J130,"↑",IF(Changed!$J130&lt;Base!$J130," ↓",""))</f>
        <v>115</v>
      </c>
      <c r="K130" s="7" t="str" cm="1">
        <f t="array" ref="K130">INDEX(Changed!$K:$K,ROW())&amp;IF(Changed!$K130&gt;Base!$K130,"↑",IF(Changed!$K130&lt;Base!$K130," ↓",""))</f>
        <v>100</v>
      </c>
      <c r="L130" s="7" t="str" cm="1">
        <f t="array" ref="L130">INDEX(Changed!$L:$L,ROW())&amp;IF(Changed!$L130&gt;Base!$L130,"↑",IF(Changed!$L130&lt;Base!$L130," ↓",""))</f>
        <v>40</v>
      </c>
      <c r="M130" s="7" t="str" cm="1">
        <f t="array" ref="M130">INDEX(Changed!$M:$M,ROW())&amp;IF(Changed!$M130&gt;Base!$M130,"↑",IF(Changed!$M130&lt;Base!$M130," ↓",""))</f>
        <v>60</v>
      </c>
      <c r="N130" s="19">
        <f>Changed!G130-Base!G130</f>
        <v>0</v>
      </c>
    </row>
    <row r="131" spans="1:14" ht="15.75" customHeight="1" x14ac:dyDescent="0.2">
      <c r="A131" s="4">
        <v>130</v>
      </c>
      <c r="B131" s="5" t="s">
        <v>500</v>
      </c>
      <c r="C131" s="6" t="str">
        <f>IF(Changed!C131&lt;&gt;"", Changed!C131, "")</f>
        <v>Grass</v>
      </c>
      <c r="D131" s="6" t="str">
        <f>IF(Changed!D131&lt;&gt;"", Changed!D131, "")</f>
        <v/>
      </c>
      <c r="E131" s="6" t="str">
        <f>IF(Changed!E131&lt;&gt;"", Changed!E131, "")</f>
        <v xml:space="preserve">Tangling Hair </v>
      </c>
      <c r="F131" s="6" t="str">
        <f>IF(Changed!F131&lt;&gt;"", Changed!F131, "")</f>
        <v>Thick Fat</v>
      </c>
      <c r="G131" s="7" t="str" cm="1">
        <f t="array" ref="G131">INDEX(Changed!$G:$G,ROW())&amp;IF(Changed!$G131&gt;Base!$G131,"↑",IF(Changed!$G131&lt;Base!$G131," ↓",""))</f>
        <v>535</v>
      </c>
      <c r="H131" s="7" t="str" cm="1">
        <f t="array" ref="H131">INDEX(Changed!$H:$H,ROW())&amp;IF(Changed!$H131&gt;Base!$H131,"↑",IF(Changed!$H131&lt;Base!$H131," ↓",""))</f>
        <v>100</v>
      </c>
      <c r="I131" s="7" t="str" cm="1">
        <f t="array" ref="I131">INDEX(Changed!$I:$I,ROW())&amp;IF(Changed!$I131&gt;Base!$I131,"↑",IF(Changed!$I131&lt;Base!$I131," ↓",""))</f>
        <v>100</v>
      </c>
      <c r="J131" s="7" t="str" cm="1">
        <f t="array" ref="J131">INDEX(Changed!$J:$J,ROW())&amp;IF(Changed!$J131&gt;Base!$J131,"↑",IF(Changed!$J131&lt;Base!$J131," ↓",""))</f>
        <v>125</v>
      </c>
      <c r="K131" s="7" t="str" cm="1">
        <f t="array" ref="K131">INDEX(Changed!$K:$K,ROW())&amp;IF(Changed!$K131&gt;Base!$K131,"↑",IF(Changed!$K131&lt;Base!$K131," ↓",""))</f>
        <v>110</v>
      </c>
      <c r="L131" s="7" t="str" cm="1">
        <f t="array" ref="L131">INDEX(Changed!$L:$L,ROW())&amp;IF(Changed!$L131&gt;Base!$L131,"↑",IF(Changed!$L131&lt;Base!$L131," ↓",""))</f>
        <v>50</v>
      </c>
      <c r="M131" s="7" t="str" cm="1">
        <f t="array" ref="M131">INDEX(Changed!$M:$M,ROW())&amp;IF(Changed!$M131&gt;Base!$M131,"↑",IF(Changed!$M131&lt;Base!$M131," ↓",""))</f>
        <v>50</v>
      </c>
      <c r="N131" s="19">
        <f>Changed!G131-Base!G131</f>
        <v>0</v>
      </c>
    </row>
    <row r="132" spans="1:14" ht="15.75" customHeight="1" x14ac:dyDescent="0.2">
      <c r="A132" s="4">
        <v>131</v>
      </c>
      <c r="B132" s="5" t="s">
        <v>148</v>
      </c>
      <c r="C132" s="6" t="str">
        <f>IF(Changed!C132&lt;&gt;"", Changed!C132, "")</f>
        <v>Normal</v>
      </c>
      <c r="D132" s="6" t="str">
        <f>IF(Changed!D132&lt;&gt;"", Changed!D132, "")</f>
        <v/>
      </c>
      <c r="E132" s="6" t="str">
        <f>IF(Changed!E132&lt;&gt;"", Changed!E132, "")</f>
        <v>Early Bird</v>
      </c>
      <c r="F132" s="6" t="str">
        <f>IF(Changed!F132&lt;&gt;"", Changed!F132, "")</f>
        <v>Scrappy</v>
      </c>
      <c r="G132" s="7" t="str" cm="1">
        <f t="array" ref="G132">INDEX(Changed!$G:$G,ROW())&amp;IF(Changed!$G132&gt;Base!$G132,"↑",IF(Changed!$G132&lt;Base!$G132," ↓",""))</f>
        <v>490</v>
      </c>
      <c r="H132" s="7" t="str" cm="1">
        <f t="array" ref="H132">INDEX(Changed!$H:$H,ROW())&amp;IF(Changed!$H132&gt;Base!$H132,"↑",IF(Changed!$H132&lt;Base!$H132," ↓",""))</f>
        <v>105</v>
      </c>
      <c r="I132" s="7" t="str" cm="1">
        <f t="array" ref="I132">INDEX(Changed!$I:$I,ROW())&amp;IF(Changed!$I132&gt;Base!$I132,"↑",IF(Changed!$I132&lt;Base!$I132," ↓",""))</f>
        <v>95</v>
      </c>
      <c r="J132" s="7" t="str" cm="1">
        <f t="array" ref="J132">INDEX(Changed!$J:$J,ROW())&amp;IF(Changed!$J132&gt;Base!$J132,"↑",IF(Changed!$J132&lt;Base!$J132," ↓",""))</f>
        <v>80</v>
      </c>
      <c r="K132" s="7" t="str" cm="1">
        <f t="array" ref="K132">INDEX(Changed!$K:$K,ROW())&amp;IF(Changed!$K132&gt;Base!$K132,"↑",IF(Changed!$K132&lt;Base!$K132," ↓",""))</f>
        <v>40</v>
      </c>
      <c r="L132" s="7" t="str" cm="1">
        <f t="array" ref="L132">INDEX(Changed!$L:$L,ROW())&amp;IF(Changed!$L132&gt;Base!$L132,"↑",IF(Changed!$L132&lt;Base!$L132," ↓",""))</f>
        <v>80</v>
      </c>
      <c r="M132" s="7" t="str" cm="1">
        <f t="array" ref="M132">INDEX(Changed!$M:$M,ROW())&amp;IF(Changed!$M132&gt;Base!$M132,"↑",IF(Changed!$M132&lt;Base!$M132," ↓",""))</f>
        <v>90</v>
      </c>
      <c r="N132" s="19">
        <f>Changed!G132-Base!G132</f>
        <v>0</v>
      </c>
    </row>
    <row r="133" spans="1:14" ht="15.75" customHeight="1" x14ac:dyDescent="0.2">
      <c r="A133" s="4">
        <v>132</v>
      </c>
      <c r="B133" s="5" t="s">
        <v>149</v>
      </c>
      <c r="C133" s="6" t="str">
        <f>IF(Changed!C133&lt;&gt;"", Changed!C133, "")</f>
        <v>Water</v>
      </c>
      <c r="D133" s="6" t="str">
        <f>IF(Changed!D133&lt;&gt;"", Changed!D133, "")</f>
        <v/>
      </c>
      <c r="E133" s="6" t="str">
        <f>IF(Changed!E133&lt;&gt;"", Changed!E133, "")</f>
        <v>Swift Swim</v>
      </c>
      <c r="F133" s="6" t="str">
        <f>IF(Changed!F133&lt;&gt;"", Changed!F133, "")</f>
        <v>Sniper</v>
      </c>
      <c r="G133" s="7" t="str" cm="1">
        <f t="array" ref="G133">INDEX(Changed!$G:$G,ROW())&amp;IF(Changed!$G133&gt;Base!$G133,"↑",IF(Changed!$G133&lt;Base!$G133," ↓",""))</f>
        <v>295</v>
      </c>
      <c r="H133" s="7" t="str" cm="1">
        <f t="array" ref="H133">INDEX(Changed!$H:$H,ROW())&amp;IF(Changed!$H133&gt;Base!$H133,"↑",IF(Changed!$H133&lt;Base!$H133," ↓",""))</f>
        <v>30</v>
      </c>
      <c r="I133" s="7" t="str" cm="1">
        <f t="array" ref="I133">INDEX(Changed!$I:$I,ROW())&amp;IF(Changed!$I133&gt;Base!$I133,"↑",IF(Changed!$I133&lt;Base!$I133," ↓",""))</f>
        <v>40</v>
      </c>
      <c r="J133" s="7" t="str" cm="1">
        <f t="array" ref="J133">INDEX(Changed!$J:$J,ROW())&amp;IF(Changed!$J133&gt;Base!$J133,"↑",IF(Changed!$J133&lt;Base!$J133," ↓",""))</f>
        <v>70</v>
      </c>
      <c r="K133" s="7" t="str" cm="1">
        <f t="array" ref="K133">INDEX(Changed!$K:$K,ROW())&amp;IF(Changed!$K133&gt;Base!$K133,"↑",IF(Changed!$K133&lt;Base!$K133," ↓",""))</f>
        <v>70</v>
      </c>
      <c r="L133" s="7" t="str" cm="1">
        <f t="array" ref="L133">INDEX(Changed!$L:$L,ROW())&amp;IF(Changed!$L133&gt;Base!$L133,"↑",IF(Changed!$L133&lt;Base!$L133," ↓",""))</f>
        <v>25</v>
      </c>
      <c r="M133" s="7" t="str" cm="1">
        <f t="array" ref="M133">INDEX(Changed!$M:$M,ROW())&amp;IF(Changed!$M133&gt;Base!$M133,"↑",IF(Changed!$M133&lt;Base!$M133," ↓",""))</f>
        <v>60</v>
      </c>
      <c r="N133" s="19">
        <f>Changed!G133-Base!G133</f>
        <v>0</v>
      </c>
    </row>
    <row r="134" spans="1:14" ht="15.75" customHeight="1" x14ac:dyDescent="0.2">
      <c r="A134" s="4">
        <v>133</v>
      </c>
      <c r="B134" s="5" t="s">
        <v>150</v>
      </c>
      <c r="C134" s="6" t="str">
        <f>IF(Changed!C134&lt;&gt;"", Changed!C134, "")</f>
        <v>Water</v>
      </c>
      <c r="D134" s="6" t="str">
        <f>IF(Changed!D134&lt;&gt;"", Changed!D134, "")</f>
        <v/>
      </c>
      <c r="E134" s="6" t="str">
        <f>IF(Changed!E134&lt;&gt;"", Changed!E134, "")</f>
        <v>Poison Point</v>
      </c>
      <c r="F134" s="6" t="str">
        <f>IF(Changed!F134&lt;&gt;"", Changed!F134, "")</f>
        <v>Sniper</v>
      </c>
      <c r="G134" s="7" t="str" cm="1">
        <f t="array" ref="G134">INDEX(Changed!$G:$G,ROW())&amp;IF(Changed!$G134&gt;Base!$G134,"↑",IF(Changed!$G134&lt;Base!$G134," ↓",""))</f>
        <v>440</v>
      </c>
      <c r="H134" s="7" t="str" cm="1">
        <f t="array" ref="H134">INDEX(Changed!$H:$H,ROW())&amp;IF(Changed!$H134&gt;Base!$H134,"↑",IF(Changed!$H134&lt;Base!$H134," ↓",""))</f>
        <v>55</v>
      </c>
      <c r="I134" s="7" t="str" cm="1">
        <f t="array" ref="I134">INDEX(Changed!$I:$I,ROW())&amp;IF(Changed!$I134&gt;Base!$I134,"↑",IF(Changed!$I134&lt;Base!$I134," ↓",""))</f>
        <v>65</v>
      </c>
      <c r="J134" s="7" t="str" cm="1">
        <f t="array" ref="J134">INDEX(Changed!$J:$J,ROW())&amp;IF(Changed!$J134&gt;Base!$J134,"↑",IF(Changed!$J134&lt;Base!$J134," ↓",""))</f>
        <v>95</v>
      </c>
      <c r="K134" s="7" t="str" cm="1">
        <f t="array" ref="K134">INDEX(Changed!$K:$K,ROW())&amp;IF(Changed!$K134&gt;Base!$K134,"↑",IF(Changed!$K134&lt;Base!$K134," ↓",""))</f>
        <v>95</v>
      </c>
      <c r="L134" s="7" t="str" cm="1">
        <f t="array" ref="L134">INDEX(Changed!$L:$L,ROW())&amp;IF(Changed!$L134&gt;Base!$L134,"↑",IF(Changed!$L134&lt;Base!$L134," ↓",""))</f>
        <v>45</v>
      </c>
      <c r="M134" s="7" t="str" cm="1">
        <f t="array" ref="M134">INDEX(Changed!$M:$M,ROW())&amp;IF(Changed!$M134&gt;Base!$M134,"↑",IF(Changed!$M134&lt;Base!$M134," ↓",""))</f>
        <v>85</v>
      </c>
      <c r="N134" s="19">
        <f>Changed!G134-Base!G134</f>
        <v>0</v>
      </c>
    </row>
    <row r="135" spans="1:14" ht="15.75" customHeight="1" x14ac:dyDescent="0.2">
      <c r="A135" s="4">
        <v>134</v>
      </c>
      <c r="B135" s="5" t="s">
        <v>265</v>
      </c>
      <c r="C135" s="6" t="str">
        <f>IF(Changed!C135&lt;&gt;"", Changed!C135, "")</f>
        <v>Water</v>
      </c>
      <c r="D135" s="6" t="str">
        <f>IF(Changed!D135&lt;&gt;"", Changed!D135, "")</f>
        <v>Dragon</v>
      </c>
      <c r="E135" s="6" t="str">
        <f>IF(Changed!E135&lt;&gt;"", Changed!E135, "")</f>
        <v>Swift Swim</v>
      </c>
      <c r="F135" s="6" t="str">
        <f>IF(Changed!F135&lt;&gt;"", Changed!F135, "")</f>
        <v>Sniper</v>
      </c>
      <c r="G135" s="7" t="str" cm="1">
        <f t="array" ref="G135">INDEX(Changed!$G:$G,ROW())&amp;IF(Changed!$G135&gt;Base!$G135,"↑",IF(Changed!$G135&lt;Base!$G135," ↓",""))</f>
        <v>540</v>
      </c>
      <c r="H135" s="7" t="str" cm="1">
        <f t="array" ref="H135">INDEX(Changed!$H:$H,ROW())&amp;IF(Changed!$H135&gt;Base!$H135,"↑",IF(Changed!$H135&lt;Base!$H135," ↓",""))</f>
        <v>75</v>
      </c>
      <c r="I135" s="7" t="str" cm="1">
        <f t="array" ref="I135">INDEX(Changed!$I:$I,ROW())&amp;IF(Changed!$I135&gt;Base!$I135,"↑",IF(Changed!$I135&lt;Base!$I135," ↓",""))</f>
        <v>95</v>
      </c>
      <c r="J135" s="7" t="str" cm="1">
        <f t="array" ref="J135">INDEX(Changed!$J:$J,ROW())&amp;IF(Changed!$J135&gt;Base!$J135,"↑",IF(Changed!$J135&lt;Base!$J135," ↓",""))</f>
        <v>95</v>
      </c>
      <c r="K135" s="7" t="str" cm="1">
        <f t="array" ref="K135">INDEX(Changed!$K:$K,ROW())&amp;IF(Changed!$K135&gt;Base!$K135,"↑",IF(Changed!$K135&lt;Base!$K135," ↓",""))</f>
        <v>95</v>
      </c>
      <c r="L135" s="7" t="str" cm="1">
        <f t="array" ref="L135">INDEX(Changed!$L:$L,ROW())&amp;IF(Changed!$L135&gt;Base!$L135,"↑",IF(Changed!$L135&lt;Base!$L135," ↓",""))</f>
        <v>95</v>
      </c>
      <c r="M135" s="7" t="str" cm="1">
        <f t="array" ref="M135">INDEX(Changed!$M:$M,ROW())&amp;IF(Changed!$M135&gt;Base!$M135,"↑",IF(Changed!$M135&lt;Base!$M135," ↓",""))</f>
        <v>85</v>
      </c>
      <c r="N135" s="19">
        <f>Changed!G135-Base!G135</f>
        <v>0</v>
      </c>
    </row>
    <row r="136" spans="1:14" ht="15.75" customHeight="1" x14ac:dyDescent="0.2">
      <c r="A136" s="4">
        <v>135</v>
      </c>
      <c r="B136" s="5" t="s">
        <v>151</v>
      </c>
      <c r="C136" s="6" t="str">
        <f>IF(Changed!C136&lt;&gt;"", Changed!C136, "")</f>
        <v>Water</v>
      </c>
      <c r="D136" s="6" t="str">
        <f>IF(Changed!D136&lt;&gt;"", Changed!D136, "")</f>
        <v/>
      </c>
      <c r="E136" s="6" t="str">
        <f>IF(Changed!E136&lt;&gt;"", Changed!E136, "")</f>
        <v>Swift Swim</v>
      </c>
      <c r="F136" s="6" t="str">
        <f>IF(Changed!F136&lt;&gt;"", Changed!F136, "")</f>
        <v>Lightning Rod</v>
      </c>
      <c r="G136" s="7" t="str" cm="1">
        <f t="array" ref="G136">INDEX(Changed!$G:$G,ROW())&amp;IF(Changed!$G136&gt;Base!$G136,"↑",IF(Changed!$G136&lt;Base!$G136," ↓",""))</f>
        <v>320</v>
      </c>
      <c r="H136" s="7" t="str" cm="1">
        <f t="array" ref="H136">INDEX(Changed!$H:$H,ROW())&amp;IF(Changed!$H136&gt;Base!$H136,"↑",IF(Changed!$H136&lt;Base!$H136," ↓",""))</f>
        <v>45</v>
      </c>
      <c r="I136" s="7" t="str" cm="1">
        <f t="array" ref="I136">INDEX(Changed!$I:$I,ROW())&amp;IF(Changed!$I136&gt;Base!$I136,"↑",IF(Changed!$I136&lt;Base!$I136," ↓",""))</f>
        <v>67</v>
      </c>
      <c r="J136" s="7" t="str" cm="1">
        <f t="array" ref="J136">INDEX(Changed!$J:$J,ROW())&amp;IF(Changed!$J136&gt;Base!$J136,"↑",IF(Changed!$J136&lt;Base!$J136," ↓",""))</f>
        <v>60</v>
      </c>
      <c r="K136" s="7" t="str" cm="1">
        <f t="array" ref="K136">INDEX(Changed!$K:$K,ROW())&amp;IF(Changed!$K136&gt;Base!$K136,"↑",IF(Changed!$K136&lt;Base!$K136," ↓",""))</f>
        <v>35</v>
      </c>
      <c r="L136" s="7" t="str" cm="1">
        <f t="array" ref="L136">INDEX(Changed!$L:$L,ROW())&amp;IF(Changed!$L136&gt;Base!$L136,"↑",IF(Changed!$L136&lt;Base!$L136," ↓",""))</f>
        <v>50</v>
      </c>
      <c r="M136" s="7" t="str" cm="1">
        <f t="array" ref="M136">INDEX(Changed!$M:$M,ROW())&amp;IF(Changed!$M136&gt;Base!$M136,"↑",IF(Changed!$M136&lt;Base!$M136," ↓",""))</f>
        <v>63</v>
      </c>
      <c r="N136" s="19">
        <f>Changed!G136-Base!G136</f>
        <v>0</v>
      </c>
    </row>
    <row r="137" spans="1:14" ht="15.75" customHeight="1" x14ac:dyDescent="0.2">
      <c r="A137" s="4">
        <v>136</v>
      </c>
      <c r="B137" s="5" t="s">
        <v>152</v>
      </c>
      <c r="C137" s="6" t="str">
        <f>IF(Changed!C137&lt;&gt;"", Changed!C137, "")</f>
        <v>Water</v>
      </c>
      <c r="D137" s="6" t="str">
        <f>IF(Changed!D137&lt;&gt;"", Changed!D137, "")</f>
        <v/>
      </c>
      <c r="E137" s="6" t="str">
        <f>IF(Changed!E137&lt;&gt;"", Changed!E137, "")</f>
        <v>Swift Swim</v>
      </c>
      <c r="F137" s="6" t="str">
        <f>IF(Changed!F137&lt;&gt;"", Changed!F137, "")</f>
        <v>Lightning Rod</v>
      </c>
      <c r="G137" s="7" t="str" cm="1">
        <f t="array" ref="G137">INDEX(Changed!$G:$G,ROW())&amp;IF(Changed!$G137&gt;Base!$G137,"↑",IF(Changed!$G137&lt;Base!$G137," ↓",""))</f>
        <v>450</v>
      </c>
      <c r="H137" s="7" t="str" cm="1">
        <f t="array" ref="H137">INDEX(Changed!$H:$H,ROW())&amp;IF(Changed!$H137&gt;Base!$H137,"↑",IF(Changed!$H137&lt;Base!$H137," ↓",""))</f>
        <v>80</v>
      </c>
      <c r="I137" s="7" t="str" cm="1">
        <f t="array" ref="I137">INDEX(Changed!$I:$I,ROW())&amp;IF(Changed!$I137&gt;Base!$I137,"↑",IF(Changed!$I137&lt;Base!$I137," ↓",""))</f>
        <v>92</v>
      </c>
      <c r="J137" s="7" t="str" cm="1">
        <f t="array" ref="J137">INDEX(Changed!$J:$J,ROW())&amp;IF(Changed!$J137&gt;Base!$J137,"↑",IF(Changed!$J137&lt;Base!$J137," ↓",""))</f>
        <v>65</v>
      </c>
      <c r="K137" s="7" t="str" cm="1">
        <f t="array" ref="K137">INDEX(Changed!$K:$K,ROW())&amp;IF(Changed!$K137&gt;Base!$K137,"↑",IF(Changed!$K137&lt;Base!$K137," ↓",""))</f>
        <v>65</v>
      </c>
      <c r="L137" s="7" t="str" cm="1">
        <f t="array" ref="L137">INDEX(Changed!$L:$L,ROW())&amp;IF(Changed!$L137&gt;Base!$L137,"↑",IF(Changed!$L137&lt;Base!$L137," ↓",""))</f>
        <v>80</v>
      </c>
      <c r="M137" s="7" t="str" cm="1">
        <f t="array" ref="M137">INDEX(Changed!$M:$M,ROW())&amp;IF(Changed!$M137&gt;Base!$M137,"↑",IF(Changed!$M137&lt;Base!$M137," ↓",""))</f>
        <v>68</v>
      </c>
      <c r="N137" s="19">
        <f>Changed!G137-Base!G137</f>
        <v>0</v>
      </c>
    </row>
    <row r="138" spans="1:14" ht="15.75" customHeight="1" x14ac:dyDescent="0.2">
      <c r="A138" s="4">
        <v>137</v>
      </c>
      <c r="B138" s="5" t="s">
        <v>153</v>
      </c>
      <c r="C138" s="6" t="str">
        <f>IF(Changed!C138&lt;&gt;"", Changed!C138, "")</f>
        <v>Water</v>
      </c>
      <c r="D138" s="6" t="str">
        <f>IF(Changed!D138&lt;&gt;"", Changed!D138, "")</f>
        <v/>
      </c>
      <c r="E138" s="6" t="str">
        <f>IF(Changed!E138&lt;&gt;"", Changed!E138, "")</f>
        <v>Illuminate</v>
      </c>
      <c r="F138" s="6" t="str">
        <f>IF(Changed!F138&lt;&gt;"", Changed!F138, "")</f>
        <v>Natural Cure</v>
      </c>
      <c r="G138" s="7" t="str" cm="1">
        <f t="array" ref="G138">INDEX(Changed!$G:$G,ROW())&amp;IF(Changed!$G138&gt;Base!$G138,"↑",IF(Changed!$G138&lt;Base!$G138," ↓",""))</f>
        <v>340</v>
      </c>
      <c r="H138" s="7" t="str" cm="1">
        <f t="array" ref="H138">INDEX(Changed!$H:$H,ROW())&amp;IF(Changed!$H138&gt;Base!$H138,"↑",IF(Changed!$H138&lt;Base!$H138," ↓",""))</f>
        <v>30</v>
      </c>
      <c r="I138" s="7" t="str" cm="1">
        <f t="array" ref="I138">INDEX(Changed!$I:$I,ROW())&amp;IF(Changed!$I138&gt;Base!$I138,"↑",IF(Changed!$I138&lt;Base!$I138," ↓",""))</f>
        <v>45</v>
      </c>
      <c r="J138" s="7" t="str" cm="1">
        <f t="array" ref="J138">INDEX(Changed!$J:$J,ROW())&amp;IF(Changed!$J138&gt;Base!$J138,"↑",IF(Changed!$J138&lt;Base!$J138," ↓",""))</f>
        <v>55</v>
      </c>
      <c r="K138" s="7" t="str" cm="1">
        <f t="array" ref="K138">INDEX(Changed!$K:$K,ROW())&amp;IF(Changed!$K138&gt;Base!$K138,"↑",IF(Changed!$K138&lt;Base!$K138," ↓",""))</f>
        <v>70</v>
      </c>
      <c r="L138" s="7" t="str" cm="1">
        <f t="array" ref="L138">INDEX(Changed!$L:$L,ROW())&amp;IF(Changed!$L138&gt;Base!$L138,"↑",IF(Changed!$L138&lt;Base!$L138," ↓",""))</f>
        <v>55</v>
      </c>
      <c r="M138" s="7" t="str" cm="1">
        <f t="array" ref="M138">INDEX(Changed!$M:$M,ROW())&amp;IF(Changed!$M138&gt;Base!$M138,"↑",IF(Changed!$M138&lt;Base!$M138," ↓",""))</f>
        <v>85</v>
      </c>
      <c r="N138" s="19">
        <f>Changed!G138-Base!G138</f>
        <v>0</v>
      </c>
    </row>
    <row r="139" spans="1:14" ht="15.75" customHeight="1" x14ac:dyDescent="0.2">
      <c r="A139" s="4">
        <v>138</v>
      </c>
      <c r="B139" s="5" t="s">
        <v>154</v>
      </c>
      <c r="C139" s="6" t="str">
        <f>IF(Changed!C139&lt;&gt;"", Changed!C139, "")</f>
        <v>Water</v>
      </c>
      <c r="D139" s="6" t="str">
        <f>IF(Changed!D139&lt;&gt;"", Changed!D139, "")</f>
        <v>Psychic</v>
      </c>
      <c r="E139" s="6" t="str">
        <f>IF(Changed!E139&lt;&gt;"", Changed!E139, "")</f>
        <v>Illuminate</v>
      </c>
      <c r="F139" s="6" t="str">
        <f>IF(Changed!F139&lt;&gt;"", Changed!F139, "")</f>
        <v>Natural Cure</v>
      </c>
      <c r="G139" s="7" t="str" cm="1">
        <f t="array" ref="G139">INDEX(Changed!$G:$G,ROW())&amp;IF(Changed!$G139&gt;Base!$G139,"↑",IF(Changed!$G139&lt;Base!$G139," ↓",""))</f>
        <v>520</v>
      </c>
      <c r="H139" s="7" t="str" cm="1">
        <f t="array" ref="H139">INDEX(Changed!$H:$H,ROW())&amp;IF(Changed!$H139&gt;Base!$H139,"↑",IF(Changed!$H139&lt;Base!$H139," ↓",""))</f>
        <v>60</v>
      </c>
      <c r="I139" s="7" t="str" cm="1">
        <f t="array" ref="I139">INDEX(Changed!$I:$I,ROW())&amp;IF(Changed!$I139&gt;Base!$I139,"↑",IF(Changed!$I139&lt;Base!$I139," ↓",""))</f>
        <v>75</v>
      </c>
      <c r="J139" s="7" t="str" cm="1">
        <f t="array" ref="J139">INDEX(Changed!$J:$J,ROW())&amp;IF(Changed!$J139&gt;Base!$J139,"↑",IF(Changed!$J139&lt;Base!$J139," ↓",""))</f>
        <v>85</v>
      </c>
      <c r="K139" s="7" t="str" cm="1">
        <f t="array" ref="K139">INDEX(Changed!$K:$K,ROW())&amp;IF(Changed!$K139&gt;Base!$K139,"↑",IF(Changed!$K139&lt;Base!$K139," ↓",""))</f>
        <v>100</v>
      </c>
      <c r="L139" s="7" t="str" cm="1">
        <f t="array" ref="L139">INDEX(Changed!$L:$L,ROW())&amp;IF(Changed!$L139&gt;Base!$L139,"↑",IF(Changed!$L139&lt;Base!$L139," ↓",""))</f>
        <v>85</v>
      </c>
      <c r="M139" s="7" t="str" cm="1">
        <f t="array" ref="M139">INDEX(Changed!$M:$M,ROW())&amp;IF(Changed!$M139&gt;Base!$M139,"↑",IF(Changed!$M139&lt;Base!$M139," ↓",""))</f>
        <v>115</v>
      </c>
      <c r="N139" s="19">
        <f>Changed!G139-Base!G139</f>
        <v>0</v>
      </c>
    </row>
    <row r="140" spans="1:14" ht="15.75" customHeight="1" x14ac:dyDescent="0.2">
      <c r="A140" s="4">
        <v>139</v>
      </c>
      <c r="B140" s="5" t="s">
        <v>474</v>
      </c>
      <c r="C140" s="6" t="str">
        <f>IF(Changed!C140&lt;&gt;"", Changed!C140, "")</f>
        <v>Psychic</v>
      </c>
      <c r="D140" s="6" t="str">
        <f>IF(Changed!D140&lt;&gt;"", Changed!D140, "")</f>
        <v/>
      </c>
      <c r="E140" s="6" t="str">
        <f>IF(Changed!E140&lt;&gt;"", Changed!E140, "")</f>
        <v>Soundproof</v>
      </c>
      <c r="F140" s="6" t="str">
        <f>IF(Changed!F140&lt;&gt;"", Changed!F140, "")</f>
        <v>FIlter</v>
      </c>
      <c r="G140" s="7" t="str" cm="1">
        <f t="array" ref="G140">INDEX(Changed!$G:$G,ROW())&amp;IF(Changed!$G140&gt;Base!$G140,"↑",IF(Changed!$G140&lt;Base!$G140," ↓",""))</f>
        <v>310</v>
      </c>
      <c r="H140" s="7" t="str" cm="1">
        <f t="array" ref="H140">INDEX(Changed!$H:$H,ROW())&amp;IF(Changed!$H140&gt;Base!$H140,"↑",IF(Changed!$H140&lt;Base!$H140," ↓",""))</f>
        <v>20</v>
      </c>
      <c r="I140" s="7" t="str" cm="1">
        <f t="array" ref="I140">INDEX(Changed!$I:$I,ROW())&amp;IF(Changed!$I140&gt;Base!$I140,"↑",IF(Changed!$I140&lt;Base!$I140," ↓",""))</f>
        <v>25</v>
      </c>
      <c r="J140" s="7" t="str" cm="1">
        <f t="array" ref="J140">INDEX(Changed!$J:$J,ROW())&amp;IF(Changed!$J140&gt;Base!$J140,"↑",IF(Changed!$J140&lt;Base!$J140," ↓",""))</f>
        <v>45</v>
      </c>
      <c r="K140" s="7" t="str" cm="1">
        <f t="array" ref="K140">INDEX(Changed!$K:$K,ROW())&amp;IF(Changed!$K140&gt;Base!$K140,"↑",IF(Changed!$K140&lt;Base!$K140," ↓",""))</f>
        <v>70</v>
      </c>
      <c r="L140" s="7" t="str" cm="1">
        <f t="array" ref="L140">INDEX(Changed!$L:$L,ROW())&amp;IF(Changed!$L140&gt;Base!$L140,"↑",IF(Changed!$L140&lt;Base!$L140," ↓",""))</f>
        <v>90</v>
      </c>
      <c r="M140" s="7" t="str" cm="1">
        <f t="array" ref="M140">INDEX(Changed!$M:$M,ROW())&amp;IF(Changed!$M140&gt;Base!$M140,"↑",IF(Changed!$M140&lt;Base!$M140," ↓",""))</f>
        <v>60</v>
      </c>
      <c r="N140" s="19">
        <f>Changed!G140-Base!G140</f>
        <v>0</v>
      </c>
    </row>
    <row r="141" spans="1:14" ht="15.75" customHeight="1" x14ac:dyDescent="0.2">
      <c r="A141" s="4">
        <v>140</v>
      </c>
      <c r="B141" s="5" t="s">
        <v>155</v>
      </c>
      <c r="C141" s="6" t="str">
        <f>IF(Changed!C141&lt;&gt;"", Changed!C141, "")</f>
        <v>Psychic</v>
      </c>
      <c r="D141" s="6" t="str">
        <f>IF(Changed!D141&lt;&gt;"", Changed!D141, "")</f>
        <v/>
      </c>
      <c r="E141" s="6" t="str">
        <f>IF(Changed!E141&lt;&gt;"", Changed!E141, "")</f>
        <v>Soundproof</v>
      </c>
      <c r="F141" s="6" t="str">
        <f>IF(Changed!F141&lt;&gt;"", Changed!F141, "")</f>
        <v>Filter</v>
      </c>
      <c r="G141" s="7" t="str" cm="1">
        <f t="array" ref="G141">INDEX(Changed!$G:$G,ROW())&amp;IF(Changed!$G141&gt;Base!$G141,"↑",IF(Changed!$G141&lt;Base!$G141," ↓",""))</f>
        <v>460</v>
      </c>
      <c r="H141" s="7" t="str" cm="1">
        <f t="array" ref="H141">INDEX(Changed!$H:$H,ROW())&amp;IF(Changed!$H141&gt;Base!$H141,"↑",IF(Changed!$H141&lt;Base!$H141," ↓",""))</f>
        <v>40</v>
      </c>
      <c r="I141" s="7" t="str" cm="1">
        <f t="array" ref="I141">INDEX(Changed!$I:$I,ROW())&amp;IF(Changed!$I141&gt;Base!$I141,"↑",IF(Changed!$I141&lt;Base!$I141," ↓",""))</f>
        <v>45</v>
      </c>
      <c r="J141" s="7" t="str" cm="1">
        <f t="array" ref="J141">INDEX(Changed!$J:$J,ROW())&amp;IF(Changed!$J141&gt;Base!$J141,"↑",IF(Changed!$J141&lt;Base!$J141," ↓",""))</f>
        <v>65</v>
      </c>
      <c r="K141" s="7" t="str" cm="1">
        <f t="array" ref="K141">INDEX(Changed!$K:$K,ROW())&amp;IF(Changed!$K141&gt;Base!$K141,"↑",IF(Changed!$K141&lt;Base!$K141," ↓",""))</f>
        <v>100</v>
      </c>
      <c r="L141" s="7" t="str" cm="1">
        <f t="array" ref="L141">INDEX(Changed!$L:$L,ROW())&amp;IF(Changed!$L141&gt;Base!$L141,"↑",IF(Changed!$L141&lt;Base!$L141," ↓",""))</f>
        <v>120</v>
      </c>
      <c r="M141" s="7" t="str" cm="1">
        <f t="array" ref="M141">INDEX(Changed!$M:$M,ROW())&amp;IF(Changed!$M141&gt;Base!$M141,"↑",IF(Changed!$M141&lt;Base!$M141," ↓",""))</f>
        <v>90</v>
      </c>
      <c r="N141" s="19">
        <f>Changed!G141-Base!G141</f>
        <v>0</v>
      </c>
    </row>
    <row r="142" spans="1:14" ht="15.75" customHeight="1" x14ac:dyDescent="0.2">
      <c r="A142" s="4">
        <v>141</v>
      </c>
      <c r="B142" s="5" t="s">
        <v>156</v>
      </c>
      <c r="C142" s="6" t="str">
        <f>IF(Changed!C142&lt;&gt;"", Changed!C142, "")</f>
        <v>Bug</v>
      </c>
      <c r="D142" s="6" t="str">
        <f>IF(Changed!D142&lt;&gt;"", Changed!D142, "")</f>
        <v>Flying</v>
      </c>
      <c r="E142" s="6" t="str">
        <f>IF(Changed!E142&lt;&gt;"", Changed!E142, "")</f>
        <v>Sharpness</v>
      </c>
      <c r="F142" s="6" t="str">
        <f>IF(Changed!F142&lt;&gt;"", Changed!F142, "")</f>
        <v>Technician</v>
      </c>
      <c r="G142" s="7" t="str" cm="1">
        <f t="array" ref="G142">INDEX(Changed!$G:$G,ROW())&amp;IF(Changed!$G142&gt;Base!$G142,"↑",IF(Changed!$G142&lt;Base!$G142," ↓",""))</f>
        <v>500</v>
      </c>
      <c r="H142" s="7" t="str" cm="1">
        <f t="array" ref="H142">INDEX(Changed!$H:$H,ROW())&amp;IF(Changed!$H142&gt;Base!$H142,"↑",IF(Changed!$H142&lt;Base!$H142," ↓",""))</f>
        <v>70</v>
      </c>
      <c r="I142" s="7" t="str" cm="1">
        <f t="array" ref="I142">INDEX(Changed!$I:$I,ROW())&amp;IF(Changed!$I142&gt;Base!$I142,"↑",IF(Changed!$I142&lt;Base!$I142," ↓",""))</f>
        <v>110</v>
      </c>
      <c r="J142" s="7" t="str" cm="1">
        <f t="array" ref="J142">INDEX(Changed!$J:$J,ROW())&amp;IF(Changed!$J142&gt;Base!$J142,"↑",IF(Changed!$J142&lt;Base!$J142," ↓",""))</f>
        <v>80</v>
      </c>
      <c r="K142" s="7" t="str" cm="1">
        <f t="array" ref="K142">INDEX(Changed!$K:$K,ROW())&amp;IF(Changed!$K142&gt;Base!$K142,"↑",IF(Changed!$K142&lt;Base!$K142," ↓",""))</f>
        <v>55</v>
      </c>
      <c r="L142" s="7" t="str" cm="1">
        <f t="array" ref="L142">INDEX(Changed!$L:$L,ROW())&amp;IF(Changed!$L142&gt;Base!$L142,"↑",IF(Changed!$L142&lt;Base!$L142," ↓",""))</f>
        <v>80</v>
      </c>
      <c r="M142" s="7" t="str" cm="1">
        <f t="array" ref="M142">INDEX(Changed!$M:$M,ROW())&amp;IF(Changed!$M142&gt;Base!$M142,"↑",IF(Changed!$M142&lt;Base!$M142," ↓",""))</f>
        <v>105</v>
      </c>
      <c r="N142" s="19">
        <f>Changed!G142-Base!G142</f>
        <v>0</v>
      </c>
    </row>
    <row r="143" spans="1:14" ht="15.75" customHeight="1" x14ac:dyDescent="0.2">
      <c r="A143" s="4">
        <v>142</v>
      </c>
      <c r="B143" s="5" t="s">
        <v>247</v>
      </c>
      <c r="C143" s="6" t="str">
        <f>IF(Changed!C143&lt;&gt;"", Changed!C143, "")</f>
        <v>Bug</v>
      </c>
      <c r="D143" s="6" t="str">
        <f>IF(Changed!D143&lt;&gt;"", Changed!D143, "")</f>
        <v>Steel</v>
      </c>
      <c r="E143" s="6" t="str">
        <f>IF(Changed!E143&lt;&gt;"", Changed!E143, "")</f>
        <v>Swarm</v>
      </c>
      <c r="F143" s="6" t="str">
        <f>IF(Changed!F143&lt;&gt;"", Changed!F143, "")</f>
        <v>Technician</v>
      </c>
      <c r="G143" s="7" t="str" cm="1">
        <f t="array" ref="G143">INDEX(Changed!$G:$G,ROW())&amp;IF(Changed!$G143&gt;Base!$G143,"↑",IF(Changed!$G143&lt;Base!$G143," ↓",""))</f>
        <v>500</v>
      </c>
      <c r="H143" s="7" t="str" cm="1">
        <f t="array" ref="H143">INDEX(Changed!$H:$H,ROW())&amp;IF(Changed!$H143&gt;Base!$H143,"↑",IF(Changed!$H143&lt;Base!$H143," ↓",""))</f>
        <v>70</v>
      </c>
      <c r="I143" s="7" t="str" cm="1">
        <f t="array" ref="I143">INDEX(Changed!$I:$I,ROW())&amp;IF(Changed!$I143&gt;Base!$I143,"↑",IF(Changed!$I143&lt;Base!$I143," ↓",""))</f>
        <v>130</v>
      </c>
      <c r="J143" s="7" t="str" cm="1">
        <f t="array" ref="J143">INDEX(Changed!$J:$J,ROW())&amp;IF(Changed!$J143&gt;Base!$J143,"↑",IF(Changed!$J143&lt;Base!$J143," ↓",""))</f>
        <v>100</v>
      </c>
      <c r="K143" s="7" t="str" cm="1">
        <f t="array" ref="K143">INDEX(Changed!$K:$K,ROW())&amp;IF(Changed!$K143&gt;Base!$K143,"↑",IF(Changed!$K143&lt;Base!$K143," ↓",""))</f>
        <v>55</v>
      </c>
      <c r="L143" s="7" t="str" cm="1">
        <f t="array" ref="L143">INDEX(Changed!$L:$L,ROW())&amp;IF(Changed!$L143&gt;Base!$L143,"↑",IF(Changed!$L143&lt;Base!$L143," ↓",""))</f>
        <v>80</v>
      </c>
      <c r="M143" s="7" t="str" cm="1">
        <f t="array" ref="M143">INDEX(Changed!$M:$M,ROW())&amp;IF(Changed!$M143&gt;Base!$M143,"↑",IF(Changed!$M143&lt;Base!$M143," ↓",""))</f>
        <v>65</v>
      </c>
      <c r="N143" s="19">
        <f>Changed!G143-Base!G143</f>
        <v>0</v>
      </c>
    </row>
    <row r="144" spans="1:14" ht="15.75" customHeight="1" x14ac:dyDescent="0.2">
      <c r="A144" s="4">
        <v>143</v>
      </c>
      <c r="B144" s="5" t="s">
        <v>1164</v>
      </c>
      <c r="C144" s="6" t="str">
        <f>IF(Changed!C144&lt;&gt;"", Changed!C144, "")</f>
        <v>Bug</v>
      </c>
      <c r="D144" s="6" t="str">
        <f>IF(Changed!D144&lt;&gt;"", Changed!D144, "")</f>
        <v>Rock</v>
      </c>
      <c r="E144" s="6" t="str">
        <f>IF(Changed!E144&lt;&gt;"", Changed!E144, "")</f>
        <v>Swarm</v>
      </c>
      <c r="F144" s="6" t="str">
        <f>IF(Changed!F144&lt;&gt;"", Changed!F144, "")</f>
        <v>Sheer Force</v>
      </c>
      <c r="G144" s="7" t="str" cm="1">
        <f t="array" ref="G144">INDEX(Changed!$G:$G,ROW())&amp;IF(Changed!$G144&gt;Base!$G144,"↑",IF(Changed!$G144&lt;Base!$G144," ↓",""))</f>
        <v>500</v>
      </c>
      <c r="H144" s="7" t="str" cm="1">
        <f t="array" ref="H144">INDEX(Changed!$H:$H,ROW())&amp;IF(Changed!$H144&gt;Base!$H144,"↑",IF(Changed!$H144&lt;Base!$H144," ↓",""))</f>
        <v>70</v>
      </c>
      <c r="I144" s="7" t="str" cm="1">
        <f t="array" ref="I144">INDEX(Changed!$I:$I,ROW())&amp;IF(Changed!$I144&gt;Base!$I144,"↑",IF(Changed!$I144&lt;Base!$I144," ↓",""))</f>
        <v>135</v>
      </c>
      <c r="J144" s="7" t="str" cm="1">
        <f t="array" ref="J144">INDEX(Changed!$J:$J,ROW())&amp;IF(Changed!$J144&gt;Base!$J144,"↑",IF(Changed!$J144&lt;Base!$J144," ↓",""))</f>
        <v>95</v>
      </c>
      <c r="K144" s="7" t="str" cm="1">
        <f t="array" ref="K144">INDEX(Changed!$K:$K,ROW())&amp;IF(Changed!$K144&gt;Base!$K144,"↑",IF(Changed!$K144&lt;Base!$K144," ↓",""))</f>
        <v>45</v>
      </c>
      <c r="L144" s="7" t="str" cm="1">
        <f t="array" ref="L144">INDEX(Changed!$L:$L,ROW())&amp;IF(Changed!$L144&gt;Base!$L144,"↑",IF(Changed!$L144&lt;Base!$L144," ↓",""))</f>
        <v>70</v>
      </c>
      <c r="M144" s="7" t="str" cm="1">
        <f t="array" ref="M144">INDEX(Changed!$M:$M,ROW())&amp;IF(Changed!$M144&gt;Base!$M144,"↑",IF(Changed!$M144&lt;Base!$M144," ↓",""))</f>
        <v>85</v>
      </c>
      <c r="N144" s="19">
        <f>Changed!G144-Base!G144</f>
        <v>0</v>
      </c>
    </row>
    <row r="145" spans="1:14" ht="15.75" customHeight="1" x14ac:dyDescent="0.2">
      <c r="A145" s="4">
        <v>144</v>
      </c>
      <c r="B145" s="5" t="s">
        <v>273</v>
      </c>
      <c r="C145" s="6" t="str">
        <f>IF(Changed!C145&lt;&gt;"", Changed!C145, "")</f>
        <v>Ice</v>
      </c>
      <c r="D145" s="6" t="str">
        <f>IF(Changed!D145&lt;&gt;"", Changed!D145, "")</f>
        <v>Psychic</v>
      </c>
      <c r="E145" s="6" t="str">
        <f>IF(Changed!E145&lt;&gt;"", Changed!E145, "")</f>
        <v>Rattled</v>
      </c>
      <c r="F145" s="6" t="str">
        <f>IF(Changed!F145&lt;&gt;"", Changed!F145, "")</f>
        <v>Forewarn</v>
      </c>
      <c r="G145" s="7" t="str" cm="1">
        <f t="array" ref="G145">INDEX(Changed!$G:$G,ROW())&amp;IF(Changed!$G145&gt;Base!$G145,"↑",IF(Changed!$G145&lt;Base!$G145," ↓",""))</f>
        <v>365↑</v>
      </c>
      <c r="H145" s="7" t="str" cm="1">
        <f t="array" ref="H145">INDEX(Changed!$H:$H,ROW())&amp;IF(Changed!$H145&gt;Base!$H145,"↑",IF(Changed!$H145&lt;Base!$H145," ↓",""))</f>
        <v>45</v>
      </c>
      <c r="I145" s="7" t="str" cm="1">
        <f t="array" ref="I145">INDEX(Changed!$I:$I,ROW())&amp;IF(Changed!$I145&gt;Base!$I145,"↑",IF(Changed!$I145&lt;Base!$I145," ↓",""))</f>
        <v>30</v>
      </c>
      <c r="J145" s="7" t="str" cm="1">
        <f t="array" ref="J145">INDEX(Changed!$J:$J,ROW())&amp;IF(Changed!$J145&gt;Base!$J145,"↑",IF(Changed!$J145&lt;Base!$J145," ↓",""))</f>
        <v>45↑</v>
      </c>
      <c r="K145" s="7" t="str" cm="1">
        <f t="array" ref="K145">INDEX(Changed!$K:$K,ROW())&amp;IF(Changed!$K145&gt;Base!$K145,"↑",IF(Changed!$K145&lt;Base!$K145," ↓",""))</f>
        <v>85</v>
      </c>
      <c r="L145" s="7" t="str" cm="1">
        <f t="array" ref="L145">INDEX(Changed!$L:$L,ROW())&amp;IF(Changed!$L145&gt;Base!$L145,"↑",IF(Changed!$L145&lt;Base!$L145," ↓",""))</f>
        <v>95↑</v>
      </c>
      <c r="M145" s="7" t="str" cm="1">
        <f t="array" ref="M145">INDEX(Changed!$M:$M,ROW())&amp;IF(Changed!$M145&gt;Base!$M145,"↑",IF(Changed!$M145&lt;Base!$M145," ↓",""))</f>
        <v>65</v>
      </c>
      <c r="N145" s="19">
        <f>Changed!G145-Base!G145</f>
        <v>60</v>
      </c>
    </row>
    <row r="146" spans="1:14" ht="15.75" customHeight="1" x14ac:dyDescent="0.2">
      <c r="A146" s="4">
        <v>145</v>
      </c>
      <c r="B146" s="5" t="s">
        <v>157</v>
      </c>
      <c r="C146" s="6" t="str">
        <f>IF(Changed!C146&lt;&gt;"", Changed!C146, "")</f>
        <v>Ice</v>
      </c>
      <c r="D146" s="6" t="str">
        <f>IF(Changed!D146&lt;&gt;"", Changed!D146, "")</f>
        <v>Psychic</v>
      </c>
      <c r="E146" s="6" t="str">
        <f>IF(Changed!E146&lt;&gt;"", Changed!E146, "")</f>
        <v>Rattled</v>
      </c>
      <c r="F146" s="6" t="str">
        <f>IF(Changed!F146&lt;&gt;"", Changed!F146, "")</f>
        <v>Forewarn</v>
      </c>
      <c r="G146" s="7" t="str" cm="1">
        <f t="array" ref="G146">INDEX(Changed!$G:$G,ROW())&amp;IF(Changed!$G146&gt;Base!$G146,"↑",IF(Changed!$G146&lt;Base!$G146," ↓",""))</f>
        <v>525↑</v>
      </c>
      <c r="H146" s="7" t="str" cm="1">
        <f t="array" ref="H146">INDEX(Changed!$H:$H,ROW())&amp;IF(Changed!$H146&gt;Base!$H146,"↑",IF(Changed!$H146&lt;Base!$H146," ↓",""))</f>
        <v>65</v>
      </c>
      <c r="I146" s="7" t="str" cm="1">
        <f t="array" ref="I146">INDEX(Changed!$I:$I,ROW())&amp;IF(Changed!$I146&gt;Base!$I146,"↑",IF(Changed!$I146&lt;Base!$I146," ↓",""))</f>
        <v>50</v>
      </c>
      <c r="J146" s="7" t="str" cm="1">
        <f t="array" ref="J146">INDEX(Changed!$J:$J,ROW())&amp;IF(Changed!$J146&gt;Base!$J146,"↑",IF(Changed!$J146&lt;Base!$J146," ↓",""))</f>
        <v>65↑</v>
      </c>
      <c r="K146" s="7" t="str" cm="1">
        <f t="array" ref="K146">INDEX(Changed!$K:$K,ROW())&amp;IF(Changed!$K146&gt;Base!$K146,"↑",IF(Changed!$K146&lt;Base!$K146," ↓",""))</f>
        <v>115</v>
      </c>
      <c r="L146" s="7" t="str" cm="1">
        <f t="array" ref="L146">INDEX(Changed!$L:$L,ROW())&amp;IF(Changed!$L146&gt;Base!$L146,"↑",IF(Changed!$L146&lt;Base!$L146," ↓",""))</f>
        <v>115↑</v>
      </c>
      <c r="M146" s="7" t="str" cm="1">
        <f t="array" ref="M146">INDEX(Changed!$M:$M,ROW())&amp;IF(Changed!$M146&gt;Base!$M146,"↑",IF(Changed!$M146&lt;Base!$M146," ↓",""))</f>
        <v>115↑</v>
      </c>
      <c r="N146" s="19">
        <f>Changed!G146-Base!G146</f>
        <v>70</v>
      </c>
    </row>
    <row r="147" spans="1:14" ht="15.75" customHeight="1" x14ac:dyDescent="0.2">
      <c r="A147" s="4">
        <v>146</v>
      </c>
      <c r="B147" s="5" t="s">
        <v>274</v>
      </c>
      <c r="C147" s="6" t="str">
        <f>IF(Changed!C147&lt;&gt;"", Changed!C147, "")</f>
        <v>Electric</v>
      </c>
      <c r="D147" s="6" t="str">
        <f>IF(Changed!D147&lt;&gt;"", Changed!D147, "")</f>
        <v/>
      </c>
      <c r="E147" s="6" t="str">
        <f>IF(Changed!E147&lt;&gt;"", Changed!E147, "")</f>
        <v>Static</v>
      </c>
      <c r="F147" s="6" t="str">
        <f>IF(Changed!F147&lt;&gt;"", Changed!F147, "")</f>
        <v>Vital Spirit</v>
      </c>
      <c r="G147" s="7" t="str" cm="1">
        <f t="array" ref="G147">INDEX(Changed!$G:$G,ROW())&amp;IF(Changed!$G147&gt;Base!$G147,"↑",IF(Changed!$G147&lt;Base!$G147," ↓",""))</f>
        <v>360</v>
      </c>
      <c r="H147" s="7" t="str" cm="1">
        <f t="array" ref="H147">INDEX(Changed!$H:$H,ROW())&amp;IF(Changed!$H147&gt;Base!$H147,"↑",IF(Changed!$H147&lt;Base!$H147," ↓",""))</f>
        <v>45</v>
      </c>
      <c r="I147" s="7" t="str" cm="1">
        <f t="array" ref="I147">INDEX(Changed!$I:$I,ROW())&amp;IF(Changed!$I147&gt;Base!$I147,"↑",IF(Changed!$I147&lt;Base!$I147," ↓",""))</f>
        <v>63</v>
      </c>
      <c r="J147" s="7" t="str" cm="1">
        <f t="array" ref="J147">INDEX(Changed!$J:$J,ROW())&amp;IF(Changed!$J147&gt;Base!$J147,"↑",IF(Changed!$J147&lt;Base!$J147," ↓",""))</f>
        <v>37</v>
      </c>
      <c r="K147" s="7" t="str" cm="1">
        <f t="array" ref="K147">INDEX(Changed!$K:$K,ROW())&amp;IF(Changed!$K147&gt;Base!$K147,"↑",IF(Changed!$K147&lt;Base!$K147," ↓",""))</f>
        <v>65</v>
      </c>
      <c r="L147" s="7" t="str" cm="1">
        <f t="array" ref="L147">INDEX(Changed!$L:$L,ROW())&amp;IF(Changed!$L147&gt;Base!$L147,"↑",IF(Changed!$L147&lt;Base!$L147," ↓",""))</f>
        <v>55</v>
      </c>
      <c r="M147" s="7" t="str" cm="1">
        <f t="array" ref="M147">INDEX(Changed!$M:$M,ROW())&amp;IF(Changed!$M147&gt;Base!$M147,"↑",IF(Changed!$M147&lt;Base!$M147," ↓",""))</f>
        <v>95</v>
      </c>
      <c r="N147" s="19">
        <f>Changed!G147-Base!G147</f>
        <v>0</v>
      </c>
    </row>
    <row r="148" spans="1:14" ht="15.75" customHeight="1" x14ac:dyDescent="0.2">
      <c r="A148" s="4">
        <v>147</v>
      </c>
      <c r="B148" s="5" t="s">
        <v>158</v>
      </c>
      <c r="C148" s="6" t="str">
        <f>IF(Changed!C148&lt;&gt;"", Changed!C148, "")</f>
        <v>Electric</v>
      </c>
      <c r="D148" s="6" t="str">
        <f>IF(Changed!D148&lt;&gt;"", Changed!D148, "")</f>
        <v/>
      </c>
      <c r="E148" s="6" t="str">
        <f>IF(Changed!E148&lt;&gt;"", Changed!E148, "")</f>
        <v>Static</v>
      </c>
      <c r="F148" s="6" t="str">
        <f>IF(Changed!F148&lt;&gt;"", Changed!F148, "")</f>
        <v>Vital Spirit</v>
      </c>
      <c r="G148" s="7" t="str" cm="1">
        <f t="array" ref="G148">INDEX(Changed!$G:$G,ROW())&amp;IF(Changed!$G148&gt;Base!$G148,"↑",IF(Changed!$G148&lt;Base!$G148," ↓",""))</f>
        <v>490</v>
      </c>
      <c r="H148" s="7" t="str" cm="1">
        <f t="array" ref="H148">INDEX(Changed!$H:$H,ROW())&amp;IF(Changed!$H148&gt;Base!$H148,"↑",IF(Changed!$H148&lt;Base!$H148," ↓",""))</f>
        <v>65</v>
      </c>
      <c r="I148" s="7" t="str" cm="1">
        <f t="array" ref="I148">INDEX(Changed!$I:$I,ROW())&amp;IF(Changed!$I148&gt;Base!$I148,"↑",IF(Changed!$I148&lt;Base!$I148," ↓",""))</f>
        <v>83</v>
      </c>
      <c r="J148" s="7" t="str" cm="1">
        <f t="array" ref="J148">INDEX(Changed!$J:$J,ROW())&amp;IF(Changed!$J148&gt;Base!$J148,"↑",IF(Changed!$J148&lt;Base!$J148," ↓",""))</f>
        <v>57</v>
      </c>
      <c r="K148" s="7" t="str" cm="1">
        <f t="array" ref="K148">INDEX(Changed!$K:$K,ROW())&amp;IF(Changed!$K148&gt;Base!$K148,"↑",IF(Changed!$K148&lt;Base!$K148," ↓",""))</f>
        <v>95</v>
      </c>
      <c r="L148" s="7" t="str" cm="1">
        <f t="array" ref="L148">INDEX(Changed!$L:$L,ROW())&amp;IF(Changed!$L148&gt;Base!$L148,"↑",IF(Changed!$L148&lt;Base!$L148," ↓",""))</f>
        <v>85</v>
      </c>
      <c r="M148" s="7" t="str" cm="1">
        <f t="array" ref="M148">INDEX(Changed!$M:$M,ROW())&amp;IF(Changed!$M148&gt;Base!$M148,"↑",IF(Changed!$M148&lt;Base!$M148," ↓",""))</f>
        <v>105</v>
      </c>
      <c r="N148" s="19">
        <f>Changed!G148-Base!G148</f>
        <v>0</v>
      </c>
    </row>
    <row r="149" spans="1:14" ht="15.75" customHeight="1" x14ac:dyDescent="0.2">
      <c r="A149" s="4">
        <v>148</v>
      </c>
      <c r="B149" s="5" t="s">
        <v>501</v>
      </c>
      <c r="C149" s="6" t="str">
        <f>IF(Changed!C149&lt;&gt;"", Changed!C149, "")</f>
        <v>Electric</v>
      </c>
      <c r="D149" s="6" t="str">
        <f>IF(Changed!D149&lt;&gt;"", Changed!D149, "")</f>
        <v>Fighting</v>
      </c>
      <c r="E149" s="6" t="str">
        <f>IF(Changed!E149&lt;&gt;"", Changed!E149, "")</f>
        <v>Motor Drive</v>
      </c>
      <c r="F149" s="6" t="str">
        <f>IF(Changed!F149&lt;&gt;"", Changed!F149, "")</f>
        <v>Iron Fist</v>
      </c>
      <c r="G149" s="7" t="str" cm="1">
        <f t="array" ref="G149">INDEX(Changed!$G:$G,ROW())&amp;IF(Changed!$G149&gt;Base!$G149,"↑",IF(Changed!$G149&lt;Base!$G149," ↓",""))</f>
        <v>540</v>
      </c>
      <c r="H149" s="7" t="str" cm="1">
        <f t="array" ref="H149">INDEX(Changed!$H:$H,ROW())&amp;IF(Changed!$H149&gt;Base!$H149,"↑",IF(Changed!$H149&lt;Base!$H149," ↓",""))</f>
        <v>75</v>
      </c>
      <c r="I149" s="7" t="str" cm="1">
        <f t="array" ref="I149">INDEX(Changed!$I:$I,ROW())&amp;IF(Changed!$I149&gt;Base!$I149,"↑",IF(Changed!$I149&lt;Base!$I149," ↓",""))</f>
        <v>123</v>
      </c>
      <c r="J149" s="7" t="str" cm="1">
        <f t="array" ref="J149">INDEX(Changed!$J:$J,ROW())&amp;IF(Changed!$J149&gt;Base!$J149,"↑",IF(Changed!$J149&lt;Base!$J149," ↓",""))</f>
        <v>67</v>
      </c>
      <c r="K149" s="7" t="str" cm="1">
        <f t="array" ref="K149">INDEX(Changed!$K:$K,ROW())&amp;IF(Changed!$K149&gt;Base!$K149,"↑",IF(Changed!$K149&lt;Base!$K149," ↓",""))</f>
        <v>95</v>
      </c>
      <c r="L149" s="7" t="str" cm="1">
        <f t="array" ref="L149">INDEX(Changed!$L:$L,ROW())&amp;IF(Changed!$L149&gt;Base!$L149,"↑",IF(Changed!$L149&lt;Base!$L149," ↓",""))</f>
        <v>85</v>
      </c>
      <c r="M149" s="7" t="str" cm="1">
        <f t="array" ref="M149">INDEX(Changed!$M:$M,ROW())&amp;IF(Changed!$M149&gt;Base!$M149,"↑",IF(Changed!$M149&lt;Base!$M149," ↓",""))</f>
        <v>95</v>
      </c>
      <c r="N149" s="19">
        <f>Changed!G149-Base!G149</f>
        <v>0</v>
      </c>
    </row>
    <row r="150" spans="1:14" ht="15.75" customHeight="1" x14ac:dyDescent="0.2">
      <c r="A150" s="4">
        <v>149</v>
      </c>
      <c r="B150" s="5" t="s">
        <v>275</v>
      </c>
      <c r="C150" s="6" t="str">
        <f>IF(Changed!C150&lt;&gt;"", Changed!C150, "")</f>
        <v>Fire</v>
      </c>
      <c r="D150" s="6" t="str">
        <f>IF(Changed!D150&lt;&gt;"", Changed!D150, "")</f>
        <v/>
      </c>
      <c r="E150" s="6" t="str">
        <f>IF(Changed!E150&lt;&gt;"", Changed!E150, "")</f>
        <v>Flame Body</v>
      </c>
      <c r="F150" s="6" t="str">
        <f>IF(Changed!F150&lt;&gt;"", Changed!F150, "")</f>
        <v>Vital Spirit</v>
      </c>
      <c r="G150" s="7" t="str" cm="1">
        <f t="array" ref="G150">INDEX(Changed!$G:$G,ROW())&amp;IF(Changed!$G150&gt;Base!$G150,"↑",IF(Changed!$G150&lt;Base!$G150," ↓",""))</f>
        <v>365</v>
      </c>
      <c r="H150" s="7" t="str" cm="1">
        <f t="array" ref="H150">INDEX(Changed!$H:$H,ROW())&amp;IF(Changed!$H150&gt;Base!$H150,"↑",IF(Changed!$H150&lt;Base!$H150," ↓",""))</f>
        <v>45</v>
      </c>
      <c r="I150" s="7" t="str" cm="1">
        <f t="array" ref="I150">INDEX(Changed!$I:$I,ROW())&amp;IF(Changed!$I150&gt;Base!$I150,"↑",IF(Changed!$I150&lt;Base!$I150," ↓",""))</f>
        <v>75</v>
      </c>
      <c r="J150" s="7" t="str" cm="1">
        <f t="array" ref="J150">INDEX(Changed!$J:$J,ROW())&amp;IF(Changed!$J150&gt;Base!$J150,"↑",IF(Changed!$J150&lt;Base!$J150," ↓",""))</f>
        <v>37</v>
      </c>
      <c r="K150" s="7" t="str" cm="1">
        <f t="array" ref="K150">INDEX(Changed!$K:$K,ROW())&amp;IF(Changed!$K150&gt;Base!$K150,"↑",IF(Changed!$K150&lt;Base!$K150," ↓",""))</f>
        <v>70</v>
      </c>
      <c r="L150" s="7" t="str" cm="1">
        <f t="array" ref="L150">INDEX(Changed!$L:$L,ROW())&amp;IF(Changed!$L150&gt;Base!$L150,"↑",IF(Changed!$L150&lt;Base!$L150," ↓",""))</f>
        <v>55</v>
      </c>
      <c r="M150" s="7" t="str" cm="1">
        <f t="array" ref="M150">INDEX(Changed!$M:$M,ROW())&amp;IF(Changed!$M150&gt;Base!$M150,"↑",IF(Changed!$M150&lt;Base!$M150," ↓",""))</f>
        <v>83</v>
      </c>
      <c r="N150" s="19">
        <f>Changed!G150-Base!G150</f>
        <v>0</v>
      </c>
    </row>
    <row r="151" spans="1:14" ht="15.75" customHeight="1" x14ac:dyDescent="0.2">
      <c r="A151" s="4">
        <v>150</v>
      </c>
      <c r="B151" s="5" t="s">
        <v>159</v>
      </c>
      <c r="C151" s="6" t="str">
        <f>IF(Changed!C151&lt;&gt;"", Changed!C151, "")</f>
        <v>Fire</v>
      </c>
      <c r="D151" s="6" t="str">
        <f>IF(Changed!D151&lt;&gt;"", Changed!D151, "")</f>
        <v/>
      </c>
      <c r="E151" s="6" t="str">
        <f>IF(Changed!E151&lt;&gt;"", Changed!E151, "")</f>
        <v>Flame Body</v>
      </c>
      <c r="F151" s="6" t="str">
        <f>IF(Changed!F151&lt;&gt;"", Changed!F151, "")</f>
        <v>Vital Spirit</v>
      </c>
      <c r="G151" s="7" t="str" cm="1">
        <f t="array" ref="G151">INDEX(Changed!$G:$G,ROW())&amp;IF(Changed!$G151&gt;Base!$G151,"↑",IF(Changed!$G151&lt;Base!$G151," ↓",""))</f>
        <v>495</v>
      </c>
      <c r="H151" s="7" t="str" cm="1">
        <f t="array" ref="H151">INDEX(Changed!$H:$H,ROW())&amp;IF(Changed!$H151&gt;Base!$H151,"↑",IF(Changed!$H151&lt;Base!$H151," ↓",""))</f>
        <v>65</v>
      </c>
      <c r="I151" s="7" t="str" cm="1">
        <f t="array" ref="I151">INDEX(Changed!$I:$I,ROW())&amp;IF(Changed!$I151&gt;Base!$I151,"↑",IF(Changed!$I151&lt;Base!$I151," ↓",""))</f>
        <v>95</v>
      </c>
      <c r="J151" s="7" t="str" cm="1">
        <f t="array" ref="J151">INDEX(Changed!$J:$J,ROW())&amp;IF(Changed!$J151&gt;Base!$J151,"↑",IF(Changed!$J151&lt;Base!$J151," ↓",""))</f>
        <v>57</v>
      </c>
      <c r="K151" s="7" t="str" cm="1">
        <f t="array" ref="K151">INDEX(Changed!$K:$K,ROW())&amp;IF(Changed!$K151&gt;Base!$K151,"↑",IF(Changed!$K151&lt;Base!$K151," ↓",""))</f>
        <v>100</v>
      </c>
      <c r="L151" s="7" t="str" cm="1">
        <f t="array" ref="L151">INDEX(Changed!$L:$L,ROW())&amp;IF(Changed!$L151&gt;Base!$L151,"↑",IF(Changed!$L151&lt;Base!$L151," ↓",""))</f>
        <v>85</v>
      </c>
      <c r="M151" s="7" t="str" cm="1">
        <f t="array" ref="M151">INDEX(Changed!$M:$M,ROW())&amp;IF(Changed!$M151&gt;Base!$M151,"↑",IF(Changed!$M151&lt;Base!$M151," ↓",""))</f>
        <v>93</v>
      </c>
      <c r="N151" s="19">
        <f>Changed!G151-Base!G151</f>
        <v>0</v>
      </c>
    </row>
    <row r="152" spans="1:14" ht="15.75" customHeight="1" x14ac:dyDescent="0.2">
      <c r="A152" s="4">
        <v>151</v>
      </c>
      <c r="B152" s="5" t="s">
        <v>502</v>
      </c>
      <c r="C152" s="6" t="str">
        <f>IF(Changed!C152&lt;&gt;"", Changed!C152, "")</f>
        <v>Fire</v>
      </c>
      <c r="D152" s="6" t="str">
        <f>IF(Changed!D152&lt;&gt;"", Changed!D152, "")</f>
        <v/>
      </c>
      <c r="E152" s="6" t="str">
        <f>IF(Changed!E152&lt;&gt;"", Changed!E152, "")</f>
        <v>Flash Fire</v>
      </c>
      <c r="F152" s="6" t="str">
        <f>IF(Changed!F152&lt;&gt;"", Changed!F152, "")</f>
        <v>Mega Launcher</v>
      </c>
      <c r="G152" s="7" t="str" cm="1">
        <f t="array" ref="G152">INDEX(Changed!$G:$G,ROW())&amp;IF(Changed!$G152&gt;Base!$G152,"↑",IF(Changed!$G152&lt;Base!$G152," ↓",""))</f>
        <v>540</v>
      </c>
      <c r="H152" s="7" t="str" cm="1">
        <f t="array" ref="H152">INDEX(Changed!$H:$H,ROW())&amp;IF(Changed!$H152&gt;Base!$H152,"↑",IF(Changed!$H152&lt;Base!$H152," ↓",""))</f>
        <v>75</v>
      </c>
      <c r="I152" s="7" t="str" cm="1">
        <f t="array" ref="I152">INDEX(Changed!$I:$I,ROW())&amp;IF(Changed!$I152&gt;Base!$I152,"↑",IF(Changed!$I152&lt;Base!$I152," ↓",""))</f>
        <v>95</v>
      </c>
      <c r="J152" s="7" t="str" cm="1">
        <f t="array" ref="J152">INDEX(Changed!$J:$J,ROW())&amp;IF(Changed!$J152&gt;Base!$J152,"↑",IF(Changed!$J152&lt;Base!$J152," ↓",""))</f>
        <v>67</v>
      </c>
      <c r="K152" s="7" t="str" cm="1">
        <f t="array" ref="K152">INDEX(Changed!$K:$K,ROW())&amp;IF(Changed!$K152&gt;Base!$K152,"↑",IF(Changed!$K152&lt;Base!$K152," ↓",""))</f>
        <v>125</v>
      </c>
      <c r="L152" s="7" t="str" cm="1">
        <f t="array" ref="L152">INDEX(Changed!$L:$L,ROW())&amp;IF(Changed!$L152&gt;Base!$L152,"↑",IF(Changed!$L152&lt;Base!$L152," ↓",""))</f>
        <v>95</v>
      </c>
      <c r="M152" s="7" t="str" cm="1">
        <f t="array" ref="M152">INDEX(Changed!$M:$M,ROW())&amp;IF(Changed!$M152&gt;Base!$M152,"↑",IF(Changed!$M152&lt;Base!$M152," ↓",""))</f>
        <v>83</v>
      </c>
      <c r="N152" s="19">
        <f>Changed!G152-Base!G152</f>
        <v>0</v>
      </c>
    </row>
    <row r="153" spans="1:14" ht="15.75" customHeight="1" x14ac:dyDescent="0.2">
      <c r="A153" s="4">
        <v>152</v>
      </c>
      <c r="B153" s="5" t="s">
        <v>160</v>
      </c>
      <c r="C153" s="6" t="str">
        <f>IF(Changed!C153&lt;&gt;"", Changed!C153, "")</f>
        <v>Bug</v>
      </c>
      <c r="D153" s="6" t="str">
        <f>IF(Changed!D153&lt;&gt;"", Changed!D153, "")</f>
        <v/>
      </c>
      <c r="E153" s="6" t="str">
        <f>IF(Changed!E153&lt;&gt;"", Changed!E153, "")</f>
        <v>Hyper Cutter</v>
      </c>
      <c r="F153" s="6" t="str">
        <f>IF(Changed!F153&lt;&gt;"", Changed!F153, "")</f>
        <v>Mold Breaker</v>
      </c>
      <c r="G153" s="7" t="str" cm="1">
        <f t="array" ref="G153">INDEX(Changed!$G:$G,ROW())&amp;IF(Changed!$G153&gt;Base!$G153,"↑",IF(Changed!$G153&lt;Base!$G153," ↓",""))</f>
        <v>500</v>
      </c>
      <c r="H153" s="7" t="str" cm="1">
        <f t="array" ref="H153">INDEX(Changed!$H:$H,ROW())&amp;IF(Changed!$H153&gt;Base!$H153,"↑",IF(Changed!$H153&lt;Base!$H153," ↓",""))</f>
        <v>65</v>
      </c>
      <c r="I153" s="7" t="str" cm="1">
        <f t="array" ref="I153">INDEX(Changed!$I:$I,ROW())&amp;IF(Changed!$I153&gt;Base!$I153,"↑",IF(Changed!$I153&lt;Base!$I153," ↓",""))</f>
        <v>125</v>
      </c>
      <c r="J153" s="7" t="str" cm="1">
        <f t="array" ref="J153">INDEX(Changed!$J:$J,ROW())&amp;IF(Changed!$J153&gt;Base!$J153,"↑",IF(Changed!$J153&lt;Base!$J153," ↓",""))</f>
        <v>100</v>
      </c>
      <c r="K153" s="7" t="str" cm="1">
        <f t="array" ref="K153">INDEX(Changed!$K:$K,ROW())&amp;IF(Changed!$K153&gt;Base!$K153,"↑",IF(Changed!$K153&lt;Base!$K153," ↓",""))</f>
        <v>55</v>
      </c>
      <c r="L153" s="7" t="str" cm="1">
        <f t="array" ref="L153">INDEX(Changed!$L:$L,ROW())&amp;IF(Changed!$L153&gt;Base!$L153,"↑",IF(Changed!$L153&lt;Base!$L153," ↓",""))</f>
        <v>70</v>
      </c>
      <c r="M153" s="7" t="str" cm="1">
        <f t="array" ref="M153">INDEX(Changed!$M:$M,ROW())&amp;IF(Changed!$M153&gt;Base!$M153,"↑",IF(Changed!$M153&lt;Base!$M153," ↓",""))</f>
        <v>85</v>
      </c>
      <c r="N153" s="19">
        <f>Changed!G153-Base!G153</f>
        <v>0</v>
      </c>
    </row>
    <row r="154" spans="1:14" ht="15.75" customHeight="1" x14ac:dyDescent="0.2">
      <c r="A154" s="4">
        <v>153</v>
      </c>
      <c r="B154" s="5" t="s">
        <v>161</v>
      </c>
      <c r="C154" s="6" t="str">
        <f>IF(Changed!C154&lt;&gt;"", Changed!C154, "")</f>
        <v>Fighting</v>
      </c>
      <c r="D154" s="6" t="str">
        <f>IF(Changed!D154&lt;&gt;"", Changed!D154, "")</f>
        <v>Dark</v>
      </c>
      <c r="E154" s="6" t="str">
        <f>IF(Changed!E154&lt;&gt;"", Changed!E154, "")</f>
        <v xml:space="preserve">Intimidate </v>
      </c>
      <c r="F154" s="6" t="str">
        <f>IF(Changed!F154&lt;&gt;"", Changed!F154, "")</f>
        <v>Anger Point</v>
      </c>
      <c r="G154" s="7" t="str" cm="1">
        <f t="array" ref="G154">INDEX(Changed!$G:$G,ROW())&amp;IF(Changed!$G154&gt;Base!$G154,"↑",IF(Changed!$G154&lt;Base!$G154," ↓",""))</f>
        <v>490</v>
      </c>
      <c r="H154" s="7" t="str" cm="1">
        <f t="array" ref="H154">INDEX(Changed!$H:$H,ROW())&amp;IF(Changed!$H154&gt;Base!$H154,"↑",IF(Changed!$H154&lt;Base!$H154," ↓",""))</f>
        <v>75</v>
      </c>
      <c r="I154" s="7" t="str" cm="1">
        <f t="array" ref="I154">INDEX(Changed!$I:$I,ROW())&amp;IF(Changed!$I154&gt;Base!$I154,"↑",IF(Changed!$I154&lt;Base!$I154," ↓",""))</f>
        <v>100</v>
      </c>
      <c r="J154" s="7" t="str" cm="1">
        <f t="array" ref="J154">INDEX(Changed!$J:$J,ROW())&amp;IF(Changed!$J154&gt;Base!$J154,"↑",IF(Changed!$J154&lt;Base!$J154," ↓",""))</f>
        <v>95</v>
      </c>
      <c r="K154" s="7" t="str" cm="1">
        <f t="array" ref="K154">INDEX(Changed!$K:$K,ROW())&amp;IF(Changed!$K154&gt;Base!$K154,"↑",IF(Changed!$K154&lt;Base!$K154," ↓",""))</f>
        <v>40</v>
      </c>
      <c r="L154" s="7" t="str" cm="1">
        <f t="array" ref="L154">INDEX(Changed!$L:$L,ROW())&amp;IF(Changed!$L154&gt;Base!$L154,"↑",IF(Changed!$L154&lt;Base!$L154," ↓",""))</f>
        <v>70</v>
      </c>
      <c r="M154" s="7" t="str" cm="1">
        <f t="array" ref="M154">INDEX(Changed!$M:$M,ROW())&amp;IF(Changed!$M154&gt;Base!$M154,"↑",IF(Changed!$M154&lt;Base!$M154," ↓",""))</f>
        <v>110</v>
      </c>
      <c r="N154" s="19">
        <f>Changed!G154-Base!G154</f>
        <v>0</v>
      </c>
    </row>
    <row r="155" spans="1:14" ht="15.75" customHeight="1" x14ac:dyDescent="0.2">
      <c r="A155" s="4">
        <v>154</v>
      </c>
      <c r="B155" s="5" t="s">
        <v>162</v>
      </c>
      <c r="C155" s="6" t="str">
        <f>IF(Changed!C155&lt;&gt;"", Changed!C155, "")</f>
        <v>Water</v>
      </c>
      <c r="D155" s="6" t="str">
        <f>IF(Changed!D155&lt;&gt;"", Changed!D155, "")</f>
        <v/>
      </c>
      <c r="E155" s="6" t="str">
        <f>IF(Changed!E155&lt;&gt;"", Changed!E155, "")</f>
        <v>Swift Swim</v>
      </c>
      <c r="F155" s="6" t="str">
        <f>IF(Changed!F155&lt;&gt;"", Changed!F155, "")</f>
        <v/>
      </c>
      <c r="G155" s="7" t="str" cm="1">
        <f t="array" ref="G155">INDEX(Changed!$G:$G,ROW())&amp;IF(Changed!$G155&gt;Base!$G155,"↑",IF(Changed!$G155&lt;Base!$G155," ↓",""))</f>
        <v>200</v>
      </c>
      <c r="H155" s="7" t="str" cm="1">
        <f t="array" ref="H155">INDEX(Changed!$H:$H,ROW())&amp;IF(Changed!$H155&gt;Base!$H155,"↑",IF(Changed!$H155&lt;Base!$H155," ↓",""))</f>
        <v>20</v>
      </c>
      <c r="I155" s="7" t="str" cm="1">
        <f t="array" ref="I155">INDEX(Changed!$I:$I,ROW())&amp;IF(Changed!$I155&gt;Base!$I155,"↑",IF(Changed!$I155&lt;Base!$I155," ↓",""))</f>
        <v>10</v>
      </c>
      <c r="J155" s="7" t="str" cm="1">
        <f t="array" ref="J155">INDEX(Changed!$J:$J,ROW())&amp;IF(Changed!$J155&gt;Base!$J155,"↑",IF(Changed!$J155&lt;Base!$J155," ↓",""))</f>
        <v>55</v>
      </c>
      <c r="K155" s="7" t="str" cm="1">
        <f t="array" ref="K155">INDEX(Changed!$K:$K,ROW())&amp;IF(Changed!$K155&gt;Base!$K155,"↑",IF(Changed!$K155&lt;Base!$K155," ↓",""))</f>
        <v>15</v>
      </c>
      <c r="L155" s="7" t="str" cm="1">
        <f t="array" ref="L155">INDEX(Changed!$L:$L,ROW())&amp;IF(Changed!$L155&gt;Base!$L155,"↑",IF(Changed!$L155&lt;Base!$L155," ↓",""))</f>
        <v>20</v>
      </c>
      <c r="M155" s="7" t="str" cm="1">
        <f t="array" ref="M155">INDEX(Changed!$M:$M,ROW())&amp;IF(Changed!$M155&gt;Base!$M155,"↑",IF(Changed!$M155&lt;Base!$M155," ↓",""))</f>
        <v>80</v>
      </c>
      <c r="N155" s="19">
        <f>Changed!G155-Base!G155</f>
        <v>0</v>
      </c>
    </row>
    <row r="156" spans="1:14" ht="15.75" customHeight="1" x14ac:dyDescent="0.2">
      <c r="A156" s="4">
        <v>155</v>
      </c>
      <c r="B156" s="5" t="s">
        <v>163</v>
      </c>
      <c r="C156" s="6" t="str">
        <f>IF(Changed!C156&lt;&gt;"", Changed!C156, "")</f>
        <v>Water</v>
      </c>
      <c r="D156" s="6" t="str">
        <f>IF(Changed!D156&lt;&gt;"", Changed!D156, "")</f>
        <v>Flying</v>
      </c>
      <c r="E156" s="6" t="str">
        <f>IF(Changed!E156&lt;&gt;"", Changed!E156, "")</f>
        <v xml:space="preserve">Intimidate </v>
      </c>
      <c r="F156" s="6" t="str">
        <f>IF(Changed!F156&lt;&gt;"", Changed!F156, "")</f>
        <v/>
      </c>
      <c r="G156" s="7" t="str" cm="1">
        <f t="array" ref="G156">INDEX(Changed!$G:$G,ROW())&amp;IF(Changed!$G156&gt;Base!$G156,"↑",IF(Changed!$G156&lt;Base!$G156," ↓",""))</f>
        <v>540</v>
      </c>
      <c r="H156" s="7" t="str" cm="1">
        <f t="array" ref="H156">INDEX(Changed!$H:$H,ROW())&amp;IF(Changed!$H156&gt;Base!$H156,"↑",IF(Changed!$H156&lt;Base!$H156," ↓",""))</f>
        <v>95</v>
      </c>
      <c r="I156" s="7" t="str" cm="1">
        <f t="array" ref="I156">INDEX(Changed!$I:$I,ROW())&amp;IF(Changed!$I156&gt;Base!$I156,"↑",IF(Changed!$I156&lt;Base!$I156," ↓",""))</f>
        <v>125</v>
      </c>
      <c r="J156" s="7" t="str" cm="1">
        <f t="array" ref="J156">INDEX(Changed!$J:$J,ROW())&amp;IF(Changed!$J156&gt;Base!$J156,"↑",IF(Changed!$J156&lt;Base!$J156," ↓",""))</f>
        <v>79</v>
      </c>
      <c r="K156" s="7" t="str" cm="1">
        <f t="array" ref="K156">INDEX(Changed!$K:$K,ROW())&amp;IF(Changed!$K156&gt;Base!$K156,"↑",IF(Changed!$K156&lt;Base!$K156," ↓",""))</f>
        <v>60</v>
      </c>
      <c r="L156" s="7" t="str" cm="1">
        <f t="array" ref="L156">INDEX(Changed!$L:$L,ROW())&amp;IF(Changed!$L156&gt;Base!$L156,"↑",IF(Changed!$L156&lt;Base!$L156," ↓",""))</f>
        <v>100</v>
      </c>
      <c r="M156" s="7" t="str" cm="1">
        <f t="array" ref="M156">INDEX(Changed!$M:$M,ROW())&amp;IF(Changed!$M156&gt;Base!$M156,"↑",IF(Changed!$M156&lt;Base!$M156," ↓",""))</f>
        <v>81</v>
      </c>
      <c r="N156" s="19">
        <f>Changed!G156-Base!G156</f>
        <v>0</v>
      </c>
    </row>
    <row r="157" spans="1:14" ht="15.75" customHeight="1" x14ac:dyDescent="0.2">
      <c r="A157" s="4">
        <v>156</v>
      </c>
      <c r="B157" s="5" t="s">
        <v>164</v>
      </c>
      <c r="C157" s="6" t="str">
        <f>IF(Changed!C157&lt;&gt;"", Changed!C157, "")</f>
        <v>Water</v>
      </c>
      <c r="D157" s="6" t="str">
        <f>IF(Changed!D157&lt;&gt;"", Changed!D157, "")</f>
        <v/>
      </c>
      <c r="E157" s="6" t="str">
        <f>IF(Changed!E157&lt;&gt;"", Changed!E157, "")</f>
        <v>Water Absorb</v>
      </c>
      <c r="F157" s="6" t="str">
        <f>IF(Changed!F157&lt;&gt;"", Changed!F157, "")</f>
        <v>Shell Armor</v>
      </c>
      <c r="G157" s="7" t="str" cm="1">
        <f t="array" ref="G157">INDEX(Changed!$G:$G,ROW())&amp;IF(Changed!$G157&gt;Base!$G157,"↑",IF(Changed!$G157&lt;Base!$G157," ↓",""))</f>
        <v>535</v>
      </c>
      <c r="H157" s="7" t="str" cm="1">
        <f t="array" ref="H157">INDEX(Changed!$H:$H,ROW())&amp;IF(Changed!$H157&gt;Base!$H157,"↑",IF(Changed!$H157&lt;Base!$H157," ↓",""))</f>
        <v>130</v>
      </c>
      <c r="I157" s="7" t="str" cm="1">
        <f t="array" ref="I157">INDEX(Changed!$I:$I,ROW())&amp;IF(Changed!$I157&gt;Base!$I157,"↑",IF(Changed!$I157&lt;Base!$I157," ↓",""))</f>
        <v>85</v>
      </c>
      <c r="J157" s="7" t="str" cm="1">
        <f t="array" ref="J157">INDEX(Changed!$J:$J,ROW())&amp;IF(Changed!$J157&gt;Base!$J157,"↑",IF(Changed!$J157&lt;Base!$J157," ↓",""))</f>
        <v>80</v>
      </c>
      <c r="K157" s="7" t="str" cm="1">
        <f t="array" ref="K157">INDEX(Changed!$K:$K,ROW())&amp;IF(Changed!$K157&gt;Base!$K157,"↑",IF(Changed!$K157&lt;Base!$K157," ↓",""))</f>
        <v>85</v>
      </c>
      <c r="L157" s="7" t="str" cm="1">
        <f t="array" ref="L157">INDEX(Changed!$L:$L,ROW())&amp;IF(Changed!$L157&gt;Base!$L157,"↑",IF(Changed!$L157&lt;Base!$L157," ↓",""))</f>
        <v>95</v>
      </c>
      <c r="M157" s="7" t="str" cm="1">
        <f t="array" ref="M157">INDEX(Changed!$M:$M,ROW())&amp;IF(Changed!$M157&gt;Base!$M157,"↑",IF(Changed!$M157&lt;Base!$M157," ↓",""))</f>
        <v>60</v>
      </c>
      <c r="N157" s="19">
        <f>Changed!G157-Base!G157</f>
        <v>0</v>
      </c>
    </row>
    <row r="158" spans="1:14" ht="15.75" customHeight="1" x14ac:dyDescent="0.2">
      <c r="A158" s="4">
        <v>157</v>
      </c>
      <c r="B158" s="5" t="s">
        <v>165</v>
      </c>
      <c r="C158" s="6" t="str">
        <f>IF(Changed!C158&lt;&gt;"", Changed!C158, "")</f>
        <v>Normal</v>
      </c>
      <c r="D158" s="6" t="str">
        <f>IF(Changed!D158&lt;&gt;"", Changed!D158, "")</f>
        <v/>
      </c>
      <c r="E158" s="6" t="str">
        <f>IF(Changed!E158&lt;&gt;"", Changed!E158, "")</f>
        <v>Imposter</v>
      </c>
      <c r="F158" s="6" t="str">
        <f>IF(Changed!F158&lt;&gt;"", Changed!F158, "")</f>
        <v/>
      </c>
      <c r="G158" s="7" t="str" cm="1">
        <f t="array" ref="G158">INDEX(Changed!$G:$G,ROW())&amp;IF(Changed!$G158&gt;Base!$G158,"↑",IF(Changed!$G158&lt;Base!$G158," ↓",""))</f>
        <v>288</v>
      </c>
      <c r="H158" s="7" t="str" cm="1">
        <f t="array" ref="H158">INDEX(Changed!$H:$H,ROW())&amp;IF(Changed!$H158&gt;Base!$H158,"↑",IF(Changed!$H158&lt;Base!$H158," ↓",""))</f>
        <v>48</v>
      </c>
      <c r="I158" s="7" t="str" cm="1">
        <f t="array" ref="I158">INDEX(Changed!$I:$I,ROW())&amp;IF(Changed!$I158&gt;Base!$I158,"↑",IF(Changed!$I158&lt;Base!$I158," ↓",""))</f>
        <v>48</v>
      </c>
      <c r="J158" s="7" t="str" cm="1">
        <f t="array" ref="J158">INDEX(Changed!$J:$J,ROW())&amp;IF(Changed!$J158&gt;Base!$J158,"↑",IF(Changed!$J158&lt;Base!$J158," ↓",""))</f>
        <v>48</v>
      </c>
      <c r="K158" s="7" t="str" cm="1">
        <f t="array" ref="K158">INDEX(Changed!$K:$K,ROW())&amp;IF(Changed!$K158&gt;Base!$K158,"↑",IF(Changed!$K158&lt;Base!$K158," ↓",""))</f>
        <v>48</v>
      </c>
      <c r="L158" s="7" t="str" cm="1">
        <f t="array" ref="L158">INDEX(Changed!$L:$L,ROW())&amp;IF(Changed!$L158&gt;Base!$L158,"↑",IF(Changed!$L158&lt;Base!$L158," ↓",""))</f>
        <v>48</v>
      </c>
      <c r="M158" s="7" t="str" cm="1">
        <f t="array" ref="M158">INDEX(Changed!$M:$M,ROW())&amp;IF(Changed!$M158&gt;Base!$M158,"↑",IF(Changed!$M158&lt;Base!$M158," ↓",""))</f>
        <v>48</v>
      </c>
      <c r="N158" s="19">
        <f>Changed!G158-Base!G158</f>
        <v>0</v>
      </c>
    </row>
    <row r="159" spans="1:14" ht="15.75" customHeight="1" x14ac:dyDescent="0.2">
      <c r="A159" s="4">
        <v>158</v>
      </c>
      <c r="B159" s="5" t="s">
        <v>166</v>
      </c>
      <c r="C159" s="6" t="str">
        <f>IF(Changed!C159&lt;&gt;"", Changed!C159, "")</f>
        <v>Normal</v>
      </c>
      <c r="D159" s="6" t="str">
        <f>IF(Changed!D159&lt;&gt;"", Changed!D159, "")</f>
        <v/>
      </c>
      <c r="E159" s="6" t="str">
        <f>IF(Changed!E159&lt;&gt;"", Changed!E159, "")</f>
        <v>Run Away</v>
      </c>
      <c r="F159" s="6" t="str">
        <f>IF(Changed!F159&lt;&gt;"", Changed!F159, "")</f>
        <v>Adaptability</v>
      </c>
      <c r="G159" s="7" t="str" cm="1">
        <f t="array" ref="G159">INDEX(Changed!$G:$G,ROW())&amp;IF(Changed!$G159&gt;Base!$G159,"↑",IF(Changed!$G159&lt;Base!$G159," ↓",""))</f>
        <v>325</v>
      </c>
      <c r="H159" s="7" t="str" cm="1">
        <f t="array" ref="H159">INDEX(Changed!$H:$H,ROW())&amp;IF(Changed!$H159&gt;Base!$H159,"↑",IF(Changed!$H159&lt;Base!$H159," ↓",""))</f>
        <v>55</v>
      </c>
      <c r="I159" s="7" t="str" cm="1">
        <f t="array" ref="I159">INDEX(Changed!$I:$I,ROW())&amp;IF(Changed!$I159&gt;Base!$I159,"↑",IF(Changed!$I159&lt;Base!$I159," ↓",""))</f>
        <v>55</v>
      </c>
      <c r="J159" s="7" t="str" cm="1">
        <f t="array" ref="J159">INDEX(Changed!$J:$J,ROW())&amp;IF(Changed!$J159&gt;Base!$J159,"↑",IF(Changed!$J159&lt;Base!$J159," ↓",""))</f>
        <v>50</v>
      </c>
      <c r="K159" s="7" t="str" cm="1">
        <f t="array" ref="K159">INDEX(Changed!$K:$K,ROW())&amp;IF(Changed!$K159&gt;Base!$K159,"↑",IF(Changed!$K159&lt;Base!$K159," ↓",""))</f>
        <v>45</v>
      </c>
      <c r="L159" s="7" t="str" cm="1">
        <f t="array" ref="L159">INDEX(Changed!$L:$L,ROW())&amp;IF(Changed!$L159&gt;Base!$L159,"↑",IF(Changed!$L159&lt;Base!$L159," ↓",""))</f>
        <v>65</v>
      </c>
      <c r="M159" s="7" t="str" cm="1">
        <f t="array" ref="M159">INDEX(Changed!$M:$M,ROW())&amp;IF(Changed!$M159&gt;Base!$M159,"↑",IF(Changed!$M159&lt;Base!$M159," ↓",""))</f>
        <v>55</v>
      </c>
      <c r="N159" s="19">
        <f>Changed!G159-Base!G159</f>
        <v>0</v>
      </c>
    </row>
    <row r="160" spans="1:14" ht="15.75" customHeight="1" x14ac:dyDescent="0.2">
      <c r="A160" s="4">
        <v>159</v>
      </c>
      <c r="B160" s="5" t="s">
        <v>167</v>
      </c>
      <c r="C160" s="6" t="str">
        <f>IF(Changed!C160&lt;&gt;"", Changed!C160, "")</f>
        <v>Water</v>
      </c>
      <c r="D160" s="6" t="str">
        <f>IF(Changed!D160&lt;&gt;"", Changed!D160, "")</f>
        <v/>
      </c>
      <c r="E160" s="6" t="str">
        <f>IF(Changed!E160&lt;&gt;"", Changed!E160, "")</f>
        <v>Water Absorb</v>
      </c>
      <c r="F160" s="6" t="str">
        <f>IF(Changed!F160&lt;&gt;"", Changed!F160, "")</f>
        <v/>
      </c>
      <c r="G160" s="7" t="str" cm="1">
        <f t="array" ref="G160">INDEX(Changed!$G:$G,ROW())&amp;IF(Changed!$G160&gt;Base!$G160,"↑",IF(Changed!$G160&lt;Base!$G160," ↓",""))</f>
        <v>525</v>
      </c>
      <c r="H160" s="7" t="str" cm="1">
        <f t="array" ref="H160">INDEX(Changed!$H:$H,ROW())&amp;IF(Changed!$H160&gt;Base!$H160,"↑",IF(Changed!$H160&lt;Base!$H160," ↓",""))</f>
        <v>130</v>
      </c>
      <c r="I160" s="7" t="str" cm="1">
        <f t="array" ref="I160">INDEX(Changed!$I:$I,ROW())&amp;IF(Changed!$I160&gt;Base!$I160,"↑",IF(Changed!$I160&lt;Base!$I160," ↓",""))</f>
        <v>65</v>
      </c>
      <c r="J160" s="7" t="str" cm="1">
        <f t="array" ref="J160">INDEX(Changed!$J:$J,ROW())&amp;IF(Changed!$J160&gt;Base!$J160,"↑",IF(Changed!$J160&lt;Base!$J160," ↓",""))</f>
        <v>60</v>
      </c>
      <c r="K160" s="7" t="str" cm="1">
        <f t="array" ref="K160">INDEX(Changed!$K:$K,ROW())&amp;IF(Changed!$K160&gt;Base!$K160,"↑",IF(Changed!$K160&lt;Base!$K160," ↓",""))</f>
        <v>110</v>
      </c>
      <c r="L160" s="7" t="str" cm="1">
        <f t="array" ref="L160">INDEX(Changed!$L:$L,ROW())&amp;IF(Changed!$L160&gt;Base!$L160,"↑",IF(Changed!$L160&lt;Base!$L160," ↓",""))</f>
        <v>95</v>
      </c>
      <c r="M160" s="7" t="str" cm="1">
        <f t="array" ref="M160">INDEX(Changed!$M:$M,ROW())&amp;IF(Changed!$M160&gt;Base!$M160,"↑",IF(Changed!$M160&lt;Base!$M160," ↓",""))</f>
        <v>65</v>
      </c>
      <c r="N160" s="19">
        <f>Changed!G160-Base!G160</f>
        <v>0</v>
      </c>
    </row>
    <row r="161" spans="1:14" ht="15.75" customHeight="1" x14ac:dyDescent="0.2">
      <c r="A161" s="4">
        <v>160</v>
      </c>
      <c r="B161" s="5" t="s">
        <v>168</v>
      </c>
      <c r="C161" s="6" t="str">
        <f>IF(Changed!C161&lt;&gt;"", Changed!C161, "")</f>
        <v>Electric</v>
      </c>
      <c r="D161" s="6" t="str">
        <f>IF(Changed!D161&lt;&gt;"", Changed!D161, "")</f>
        <v/>
      </c>
      <c r="E161" s="6" t="str">
        <f>IF(Changed!E161&lt;&gt;"", Changed!E161, "")</f>
        <v>Volt Absorb</v>
      </c>
      <c r="F161" s="6" t="str">
        <f>IF(Changed!F161&lt;&gt;"", Changed!F161, "")</f>
        <v/>
      </c>
      <c r="G161" s="7" t="str" cm="1">
        <f t="array" ref="G161">INDEX(Changed!$G:$G,ROW())&amp;IF(Changed!$G161&gt;Base!$G161,"↑",IF(Changed!$G161&lt;Base!$G161," ↓",""))</f>
        <v>525</v>
      </c>
      <c r="H161" s="7" t="str" cm="1">
        <f t="array" ref="H161">INDEX(Changed!$H:$H,ROW())&amp;IF(Changed!$H161&gt;Base!$H161,"↑",IF(Changed!$H161&lt;Base!$H161," ↓",""))</f>
        <v>65</v>
      </c>
      <c r="I161" s="7" t="str" cm="1">
        <f t="array" ref="I161">INDEX(Changed!$I:$I,ROW())&amp;IF(Changed!$I161&gt;Base!$I161,"↑",IF(Changed!$I161&lt;Base!$I161," ↓",""))</f>
        <v>65</v>
      </c>
      <c r="J161" s="7" t="str" cm="1">
        <f t="array" ref="J161">INDEX(Changed!$J:$J,ROW())&amp;IF(Changed!$J161&gt;Base!$J161,"↑",IF(Changed!$J161&lt;Base!$J161," ↓",""))</f>
        <v>60</v>
      </c>
      <c r="K161" s="7" t="str" cm="1">
        <f t="array" ref="K161">INDEX(Changed!$K:$K,ROW())&amp;IF(Changed!$K161&gt;Base!$K161,"↑",IF(Changed!$K161&lt;Base!$K161," ↓",""))</f>
        <v>110</v>
      </c>
      <c r="L161" s="7" t="str" cm="1">
        <f t="array" ref="L161">INDEX(Changed!$L:$L,ROW())&amp;IF(Changed!$L161&gt;Base!$L161,"↑",IF(Changed!$L161&lt;Base!$L161," ↓",""))</f>
        <v>95</v>
      </c>
      <c r="M161" s="7" t="str" cm="1">
        <f t="array" ref="M161">INDEX(Changed!$M:$M,ROW())&amp;IF(Changed!$M161&gt;Base!$M161,"↑",IF(Changed!$M161&lt;Base!$M161," ↓",""))</f>
        <v>130</v>
      </c>
      <c r="N161" s="19">
        <f>Changed!G161-Base!G161</f>
        <v>0</v>
      </c>
    </row>
    <row r="162" spans="1:14" ht="15.75" customHeight="1" x14ac:dyDescent="0.2">
      <c r="A162" s="4">
        <v>161</v>
      </c>
      <c r="B162" s="5" t="s">
        <v>169</v>
      </c>
      <c r="C162" s="6" t="str">
        <f>IF(Changed!C162&lt;&gt;"", Changed!C162, "")</f>
        <v>Fire</v>
      </c>
      <c r="D162" s="6" t="str">
        <f>IF(Changed!D162&lt;&gt;"", Changed!D162, "")</f>
        <v/>
      </c>
      <c r="E162" s="6" t="str">
        <f>IF(Changed!E162&lt;&gt;"", Changed!E162, "")</f>
        <v>Flash Fire</v>
      </c>
      <c r="F162" s="6" t="str">
        <f>IF(Changed!F162&lt;&gt;"", Changed!F162, "")</f>
        <v/>
      </c>
      <c r="G162" s="7" t="str" cm="1">
        <f t="array" ref="G162">INDEX(Changed!$G:$G,ROW())&amp;IF(Changed!$G162&gt;Base!$G162,"↑",IF(Changed!$G162&lt;Base!$G162," ↓",""))</f>
        <v>525</v>
      </c>
      <c r="H162" s="7" t="str" cm="1">
        <f t="array" ref="H162">INDEX(Changed!$H:$H,ROW())&amp;IF(Changed!$H162&gt;Base!$H162,"↑",IF(Changed!$H162&lt;Base!$H162," ↓",""))</f>
        <v>65</v>
      </c>
      <c r="I162" s="7" t="str" cm="1">
        <f t="array" ref="I162">INDEX(Changed!$I:$I,ROW())&amp;IF(Changed!$I162&gt;Base!$I162,"↑",IF(Changed!$I162&lt;Base!$I162," ↓",""))</f>
        <v>130</v>
      </c>
      <c r="J162" s="7" t="str" cm="1">
        <f t="array" ref="J162">INDEX(Changed!$J:$J,ROW())&amp;IF(Changed!$J162&gt;Base!$J162,"↑",IF(Changed!$J162&lt;Base!$J162," ↓",""))</f>
        <v>60</v>
      </c>
      <c r="K162" s="7" t="str" cm="1">
        <f t="array" ref="K162">INDEX(Changed!$K:$K,ROW())&amp;IF(Changed!$K162&gt;Base!$K162,"↑",IF(Changed!$K162&lt;Base!$K162," ↓",""))</f>
        <v>95</v>
      </c>
      <c r="L162" s="7" t="str" cm="1">
        <f t="array" ref="L162">INDEX(Changed!$L:$L,ROW())&amp;IF(Changed!$L162&gt;Base!$L162,"↑",IF(Changed!$L162&lt;Base!$L162," ↓",""))</f>
        <v>110</v>
      </c>
      <c r="M162" s="7" t="str" cm="1">
        <f t="array" ref="M162">INDEX(Changed!$M:$M,ROW())&amp;IF(Changed!$M162&gt;Base!$M162,"↑",IF(Changed!$M162&lt;Base!$M162," ↓",""))</f>
        <v>65</v>
      </c>
      <c r="N162" s="19">
        <f>Changed!G162-Base!G162</f>
        <v>0</v>
      </c>
    </row>
    <row r="163" spans="1:14" ht="15.75" customHeight="1" x14ac:dyDescent="0.2">
      <c r="A163" s="4">
        <v>162</v>
      </c>
      <c r="B163" s="5" t="s">
        <v>230</v>
      </c>
      <c r="C163" s="6" t="str">
        <f>IF(Changed!C163&lt;&gt;"", Changed!C163, "")</f>
        <v>Psychic</v>
      </c>
      <c r="D163" s="6" t="str">
        <f>IF(Changed!D163&lt;&gt;"", Changed!D163, "")</f>
        <v/>
      </c>
      <c r="E163" s="6" t="str">
        <f>IF(Changed!E163&lt;&gt;"", Changed!E163, "")</f>
        <v xml:space="preserve">Synchronize </v>
      </c>
      <c r="F163" s="6" t="str">
        <f>IF(Changed!F163&lt;&gt;"", Changed!F163, "")</f>
        <v/>
      </c>
      <c r="G163" s="7" t="str" cm="1">
        <f t="array" ref="G163">INDEX(Changed!$G:$G,ROW())&amp;IF(Changed!$G163&gt;Base!$G163,"↑",IF(Changed!$G163&lt;Base!$G163," ↓",""))</f>
        <v>525</v>
      </c>
      <c r="H163" s="7" t="str" cm="1">
        <f t="array" ref="H163">INDEX(Changed!$H:$H,ROW())&amp;IF(Changed!$H163&gt;Base!$H163,"↑",IF(Changed!$H163&lt;Base!$H163," ↓",""))</f>
        <v>65</v>
      </c>
      <c r="I163" s="7" t="str" cm="1">
        <f t="array" ref="I163">INDEX(Changed!$I:$I,ROW())&amp;IF(Changed!$I163&gt;Base!$I163,"↑",IF(Changed!$I163&lt;Base!$I163," ↓",""))</f>
        <v>65</v>
      </c>
      <c r="J163" s="7" t="str" cm="1">
        <f t="array" ref="J163">INDEX(Changed!$J:$J,ROW())&amp;IF(Changed!$J163&gt;Base!$J163,"↑",IF(Changed!$J163&lt;Base!$J163," ↓",""))</f>
        <v>60</v>
      </c>
      <c r="K163" s="7" t="str" cm="1">
        <f t="array" ref="K163">INDEX(Changed!$K:$K,ROW())&amp;IF(Changed!$K163&gt;Base!$K163,"↑",IF(Changed!$K163&lt;Base!$K163," ↓",""))</f>
        <v>130</v>
      </c>
      <c r="L163" s="7" t="str" cm="1">
        <f t="array" ref="L163">INDEX(Changed!$L:$L,ROW())&amp;IF(Changed!$L163&gt;Base!$L163,"↑",IF(Changed!$L163&lt;Base!$L163," ↓",""))</f>
        <v>95</v>
      </c>
      <c r="M163" s="7" t="str" cm="1">
        <f t="array" ref="M163">INDEX(Changed!$M:$M,ROW())&amp;IF(Changed!$M163&gt;Base!$M163,"↑",IF(Changed!$M163&lt;Base!$M163," ↓",""))</f>
        <v>110</v>
      </c>
      <c r="N163" s="19">
        <f>Changed!G163-Base!G163</f>
        <v>0</v>
      </c>
    </row>
    <row r="164" spans="1:14" ht="15.75" customHeight="1" x14ac:dyDescent="0.2">
      <c r="A164" s="4">
        <v>163</v>
      </c>
      <c r="B164" s="5" t="s">
        <v>231</v>
      </c>
      <c r="C164" s="6" t="str">
        <f>IF(Changed!C164&lt;&gt;"", Changed!C164, "")</f>
        <v>Dark</v>
      </c>
      <c r="D164" s="6" t="str">
        <f>IF(Changed!D164&lt;&gt;"", Changed!D164, "")</f>
        <v/>
      </c>
      <c r="E164" s="6" t="str">
        <f>IF(Changed!E164&lt;&gt;"", Changed!E164, "")</f>
        <v xml:space="preserve">Synchronize </v>
      </c>
      <c r="F164" s="6" t="str">
        <f>IF(Changed!F164&lt;&gt;"", Changed!F164, "")</f>
        <v/>
      </c>
      <c r="G164" s="7" t="str" cm="1">
        <f t="array" ref="G164">INDEX(Changed!$G:$G,ROW())&amp;IF(Changed!$G164&gt;Base!$G164,"↑",IF(Changed!$G164&lt;Base!$G164," ↓",""))</f>
        <v>525</v>
      </c>
      <c r="H164" s="7" t="str" cm="1">
        <f t="array" ref="H164">INDEX(Changed!$H:$H,ROW())&amp;IF(Changed!$H164&gt;Base!$H164,"↑",IF(Changed!$H164&lt;Base!$H164," ↓",""))</f>
        <v>95</v>
      </c>
      <c r="I164" s="7" t="str" cm="1">
        <f t="array" ref="I164">INDEX(Changed!$I:$I,ROW())&amp;IF(Changed!$I164&gt;Base!$I164,"↑",IF(Changed!$I164&lt;Base!$I164," ↓",""))</f>
        <v>65</v>
      </c>
      <c r="J164" s="7" t="str" cm="1">
        <f t="array" ref="J164">INDEX(Changed!$J:$J,ROW())&amp;IF(Changed!$J164&gt;Base!$J164,"↑",IF(Changed!$J164&lt;Base!$J164," ↓",""))</f>
        <v>110</v>
      </c>
      <c r="K164" s="7" t="str" cm="1">
        <f t="array" ref="K164">INDEX(Changed!$K:$K,ROW())&amp;IF(Changed!$K164&gt;Base!$K164,"↑",IF(Changed!$K164&lt;Base!$K164," ↓",""))</f>
        <v>60</v>
      </c>
      <c r="L164" s="7" t="str" cm="1">
        <f t="array" ref="L164">INDEX(Changed!$L:$L,ROW())&amp;IF(Changed!$L164&gt;Base!$L164,"↑",IF(Changed!$L164&lt;Base!$L164," ↓",""))</f>
        <v>130</v>
      </c>
      <c r="M164" s="7" t="str" cm="1">
        <f t="array" ref="M164">INDEX(Changed!$M:$M,ROW())&amp;IF(Changed!$M164&gt;Base!$M164,"↑",IF(Changed!$M164&lt;Base!$M164," ↓",""))</f>
        <v>65</v>
      </c>
      <c r="N164" s="19">
        <f>Changed!G164-Base!G164</f>
        <v>0</v>
      </c>
    </row>
    <row r="165" spans="1:14" ht="15.75" customHeight="1" x14ac:dyDescent="0.2">
      <c r="A165" s="4">
        <v>164</v>
      </c>
      <c r="B165" s="5" t="s">
        <v>505</v>
      </c>
      <c r="C165" s="6" t="str">
        <f>IF(Changed!C165&lt;&gt;"", Changed!C165, "")</f>
        <v>Grass</v>
      </c>
      <c r="D165" s="6" t="str">
        <f>IF(Changed!D165&lt;&gt;"", Changed!D165, "")</f>
        <v/>
      </c>
      <c r="E165" s="6" t="str">
        <f>IF(Changed!E165&lt;&gt;"", Changed!E165, "")</f>
        <v>Leaf Guard</v>
      </c>
      <c r="F165" s="6" t="str">
        <f>IF(Changed!F165&lt;&gt;"", Changed!F165, "")</f>
        <v/>
      </c>
      <c r="G165" s="7" t="str" cm="1">
        <f t="array" ref="G165">INDEX(Changed!$G:$G,ROW())&amp;IF(Changed!$G165&gt;Base!$G165,"↑",IF(Changed!$G165&lt;Base!$G165," ↓",""))</f>
        <v>525</v>
      </c>
      <c r="H165" s="7" t="str" cm="1">
        <f t="array" ref="H165">INDEX(Changed!$H:$H,ROW())&amp;IF(Changed!$H165&gt;Base!$H165,"↑",IF(Changed!$H165&lt;Base!$H165," ↓",""))</f>
        <v>65</v>
      </c>
      <c r="I165" s="7" t="str" cm="1">
        <f t="array" ref="I165">INDEX(Changed!$I:$I,ROW())&amp;IF(Changed!$I165&gt;Base!$I165,"↑",IF(Changed!$I165&lt;Base!$I165," ↓",""))</f>
        <v>110</v>
      </c>
      <c r="J165" s="7" t="str" cm="1">
        <f t="array" ref="J165">INDEX(Changed!$J:$J,ROW())&amp;IF(Changed!$J165&gt;Base!$J165,"↑",IF(Changed!$J165&lt;Base!$J165," ↓",""))</f>
        <v>130</v>
      </c>
      <c r="K165" s="7" t="str" cm="1">
        <f t="array" ref="K165">INDEX(Changed!$K:$K,ROW())&amp;IF(Changed!$K165&gt;Base!$K165,"↑",IF(Changed!$K165&lt;Base!$K165," ↓",""))</f>
        <v>60</v>
      </c>
      <c r="L165" s="7" t="str" cm="1">
        <f t="array" ref="L165">INDEX(Changed!$L:$L,ROW())&amp;IF(Changed!$L165&gt;Base!$L165,"↑",IF(Changed!$L165&lt;Base!$L165," ↓",""))</f>
        <v>65</v>
      </c>
      <c r="M165" s="7" t="str" cm="1">
        <f t="array" ref="M165">INDEX(Changed!$M:$M,ROW())&amp;IF(Changed!$M165&gt;Base!$M165,"↑",IF(Changed!$M165&lt;Base!$M165," ↓",""))</f>
        <v>95</v>
      </c>
      <c r="N165" s="19">
        <f>Changed!G165-Base!G165</f>
        <v>0</v>
      </c>
    </row>
    <row r="166" spans="1:14" ht="15.75" customHeight="1" x14ac:dyDescent="0.2">
      <c r="A166" s="4">
        <v>165</v>
      </c>
      <c r="B166" s="5" t="s">
        <v>506</v>
      </c>
      <c r="C166" s="6" t="str">
        <f>IF(Changed!C166&lt;&gt;"", Changed!C166, "")</f>
        <v>Ice</v>
      </c>
      <c r="D166" s="6" t="str">
        <f>IF(Changed!D166&lt;&gt;"", Changed!D166, "")</f>
        <v/>
      </c>
      <c r="E166" s="6" t="str">
        <f>IF(Changed!E166&lt;&gt;"", Changed!E166, "")</f>
        <v>Snow Cloak</v>
      </c>
      <c r="F166" s="6" t="str">
        <f>IF(Changed!F166&lt;&gt;"", Changed!F166, "")</f>
        <v/>
      </c>
      <c r="G166" s="7" t="str" cm="1">
        <f t="array" ref="G166">INDEX(Changed!$G:$G,ROW())&amp;IF(Changed!$G166&gt;Base!$G166,"↑",IF(Changed!$G166&lt;Base!$G166," ↓",""))</f>
        <v>525</v>
      </c>
      <c r="H166" s="7" t="str" cm="1">
        <f t="array" ref="H166">INDEX(Changed!$H:$H,ROW())&amp;IF(Changed!$H166&gt;Base!$H166,"↑",IF(Changed!$H166&lt;Base!$H166," ↓",""))</f>
        <v>65</v>
      </c>
      <c r="I166" s="7" t="str" cm="1">
        <f t="array" ref="I166">INDEX(Changed!$I:$I,ROW())&amp;IF(Changed!$I166&gt;Base!$I166,"↑",IF(Changed!$I166&lt;Base!$I166," ↓",""))</f>
        <v>60</v>
      </c>
      <c r="J166" s="7" t="str" cm="1">
        <f t="array" ref="J166">INDEX(Changed!$J:$J,ROW())&amp;IF(Changed!$J166&gt;Base!$J166,"↑",IF(Changed!$J166&lt;Base!$J166," ↓",""))</f>
        <v>110</v>
      </c>
      <c r="K166" s="7" t="str" cm="1">
        <f t="array" ref="K166">INDEX(Changed!$K:$K,ROW())&amp;IF(Changed!$K166&gt;Base!$K166,"↑",IF(Changed!$K166&lt;Base!$K166," ↓",""))</f>
        <v>130</v>
      </c>
      <c r="L166" s="7" t="str" cm="1">
        <f t="array" ref="L166">INDEX(Changed!$L:$L,ROW())&amp;IF(Changed!$L166&gt;Base!$L166,"↑",IF(Changed!$L166&lt;Base!$L166," ↓",""))</f>
        <v>95</v>
      </c>
      <c r="M166" s="7" t="str" cm="1">
        <f t="array" ref="M166">INDEX(Changed!$M:$M,ROW())&amp;IF(Changed!$M166&gt;Base!$M166,"↑",IF(Changed!$M166&lt;Base!$M166," ↓",""))</f>
        <v>65</v>
      </c>
      <c r="N166" s="19">
        <f>Changed!G166-Base!G166</f>
        <v>0</v>
      </c>
    </row>
    <row r="167" spans="1:14" ht="15.75" customHeight="1" x14ac:dyDescent="0.2">
      <c r="A167" s="4">
        <v>166</v>
      </c>
      <c r="B167" s="5" t="s">
        <v>170</v>
      </c>
      <c r="C167" s="6" t="str">
        <f>IF(Changed!C167&lt;&gt;"", Changed!C167, "")</f>
        <v>Normal</v>
      </c>
      <c r="D167" s="6" t="str">
        <f>IF(Changed!D167&lt;&gt;"", Changed!D167, "")</f>
        <v/>
      </c>
      <c r="E167" s="6" t="str">
        <f>IF(Changed!E167&lt;&gt;"", Changed!E167, "")</f>
        <v>Trace</v>
      </c>
      <c r="F167" s="6" t="str">
        <f>IF(Changed!F167&lt;&gt;"", Changed!F167, "")</f>
        <v>Download</v>
      </c>
      <c r="G167" s="7" t="str" cm="1">
        <f t="array" ref="G167">INDEX(Changed!$G:$G,ROW())&amp;IF(Changed!$G167&gt;Base!$G167,"↑",IF(Changed!$G167&lt;Base!$G167," ↓",""))</f>
        <v>395</v>
      </c>
      <c r="H167" s="7" t="str" cm="1">
        <f t="array" ref="H167">INDEX(Changed!$H:$H,ROW())&amp;IF(Changed!$H167&gt;Base!$H167,"↑",IF(Changed!$H167&lt;Base!$H167," ↓",""))</f>
        <v>65</v>
      </c>
      <c r="I167" s="7" t="str" cm="1">
        <f t="array" ref="I167">INDEX(Changed!$I:$I,ROW())&amp;IF(Changed!$I167&gt;Base!$I167,"↑",IF(Changed!$I167&lt;Base!$I167," ↓",""))</f>
        <v>60</v>
      </c>
      <c r="J167" s="7" t="str" cm="1">
        <f t="array" ref="J167">INDEX(Changed!$J:$J,ROW())&amp;IF(Changed!$J167&gt;Base!$J167,"↑",IF(Changed!$J167&lt;Base!$J167," ↓",""))</f>
        <v>70</v>
      </c>
      <c r="K167" s="7" t="str" cm="1">
        <f t="array" ref="K167">INDEX(Changed!$K:$K,ROW())&amp;IF(Changed!$K167&gt;Base!$K167,"↑",IF(Changed!$K167&lt;Base!$K167," ↓",""))</f>
        <v>85</v>
      </c>
      <c r="L167" s="7" t="str" cm="1">
        <f t="array" ref="L167">INDEX(Changed!$L:$L,ROW())&amp;IF(Changed!$L167&gt;Base!$L167,"↑",IF(Changed!$L167&lt;Base!$L167," ↓",""))</f>
        <v>75</v>
      </c>
      <c r="M167" s="7" t="str" cm="1">
        <f t="array" ref="M167">INDEX(Changed!$M:$M,ROW())&amp;IF(Changed!$M167&gt;Base!$M167,"↑",IF(Changed!$M167&lt;Base!$M167," ↓",""))</f>
        <v>40</v>
      </c>
      <c r="N167" s="19">
        <f>Changed!G167-Base!G167</f>
        <v>0</v>
      </c>
    </row>
    <row r="168" spans="1:14" ht="15.75" customHeight="1" x14ac:dyDescent="0.2">
      <c r="A168" s="4">
        <v>167</v>
      </c>
      <c r="B168" s="5" t="s">
        <v>268</v>
      </c>
      <c r="C168" s="6" t="str">
        <f>IF(Changed!C168&lt;&gt;"", Changed!C168, "")</f>
        <v>Normal</v>
      </c>
      <c r="D168" s="6" t="str">
        <f>IF(Changed!D168&lt;&gt;"", Changed!D168, "")</f>
        <v/>
      </c>
      <c r="E168" s="6" t="str">
        <f>IF(Changed!E168&lt;&gt;"", Changed!E168, "")</f>
        <v>Trace</v>
      </c>
      <c r="F168" s="6" t="str">
        <f>IF(Changed!F168&lt;&gt;"", Changed!F168, "")</f>
        <v>Download</v>
      </c>
      <c r="G168" s="7" t="str" cm="1">
        <f t="array" ref="G168">INDEX(Changed!$G:$G,ROW())&amp;IF(Changed!$G168&gt;Base!$G168,"↑",IF(Changed!$G168&lt;Base!$G168," ↓",""))</f>
        <v>505 ↓</v>
      </c>
      <c r="H168" s="7" t="str" cm="1">
        <f t="array" ref="H168">INDEX(Changed!$H:$H,ROW())&amp;IF(Changed!$H168&gt;Base!$H168,"↑",IF(Changed!$H168&lt;Base!$H168," ↓",""))</f>
        <v>85</v>
      </c>
      <c r="I168" s="7" t="str" cm="1">
        <f t="array" ref="I168">INDEX(Changed!$I:$I,ROW())&amp;IF(Changed!$I168&gt;Base!$I168,"↑",IF(Changed!$I168&lt;Base!$I168," ↓",""))</f>
        <v>70 ↓</v>
      </c>
      <c r="J168" s="7" t="str" cm="1">
        <f t="array" ref="J168">INDEX(Changed!$J:$J,ROW())&amp;IF(Changed!$J168&gt;Base!$J168,"↑",IF(Changed!$J168&lt;Base!$J168," ↓",""))</f>
        <v>90</v>
      </c>
      <c r="K168" s="7" t="str" cm="1">
        <f t="array" ref="K168">INDEX(Changed!$K:$K,ROW())&amp;IF(Changed!$K168&gt;Base!$K168,"↑",IF(Changed!$K168&lt;Base!$K168," ↓",""))</f>
        <v>105</v>
      </c>
      <c r="L168" s="7" t="str" cm="1">
        <f t="array" ref="L168">INDEX(Changed!$L:$L,ROW())&amp;IF(Changed!$L168&gt;Base!$L168,"↑",IF(Changed!$L168&lt;Base!$L168," ↓",""))</f>
        <v>95</v>
      </c>
      <c r="M168" s="7" t="str" cm="1">
        <f t="array" ref="M168">INDEX(Changed!$M:$M,ROW())&amp;IF(Changed!$M168&gt;Base!$M168,"↑",IF(Changed!$M168&lt;Base!$M168," ↓",""))</f>
        <v>60</v>
      </c>
      <c r="N168" s="19">
        <f>Changed!G168-Base!G168</f>
        <v>-10</v>
      </c>
    </row>
    <row r="169" spans="1:14" ht="15.75" customHeight="1" x14ac:dyDescent="0.2">
      <c r="A169" s="4">
        <v>168</v>
      </c>
      <c r="B169" s="5" t="s">
        <v>509</v>
      </c>
      <c r="C169" s="6" t="str">
        <f>IF(Changed!C169&lt;&gt;"", Changed!C169, "")</f>
        <v>Normal</v>
      </c>
      <c r="D169" s="6" t="str">
        <f>IF(Changed!D169&lt;&gt;"", Changed!D169, "")</f>
        <v/>
      </c>
      <c r="E169" s="6" t="str">
        <f>IF(Changed!E169&lt;&gt;"", Changed!E169, "")</f>
        <v>Adaptability</v>
      </c>
      <c r="F169" s="6" t="str">
        <f>IF(Changed!F169&lt;&gt;"", Changed!F169, "")</f>
        <v>Download</v>
      </c>
      <c r="G169" s="7" t="str" cm="1">
        <f t="array" ref="G169">INDEX(Changed!$G:$G,ROW())&amp;IF(Changed!$G169&gt;Base!$G169,"↑",IF(Changed!$G169&lt;Base!$G169," ↓",""))</f>
        <v>545↑</v>
      </c>
      <c r="H169" s="7" t="str" cm="1">
        <f t="array" ref="H169">INDEX(Changed!$H:$H,ROW())&amp;IF(Changed!$H169&gt;Base!$H169,"↑",IF(Changed!$H169&lt;Base!$H169," ↓",""))</f>
        <v>95↑</v>
      </c>
      <c r="I169" s="7" t="str" cm="1">
        <f t="array" ref="I169">INDEX(Changed!$I:$I,ROW())&amp;IF(Changed!$I169&gt;Base!$I169,"↑",IF(Changed!$I169&lt;Base!$I169," ↓",""))</f>
        <v>80</v>
      </c>
      <c r="J169" s="7" t="str" cm="1">
        <f t="array" ref="J169">INDEX(Changed!$J:$J,ROW())&amp;IF(Changed!$J169&gt;Base!$J169,"↑",IF(Changed!$J169&lt;Base!$J169," ↓",""))</f>
        <v>70</v>
      </c>
      <c r="K169" s="7" t="str" cm="1">
        <f t="array" ref="K169">INDEX(Changed!$K:$K,ROW())&amp;IF(Changed!$K169&gt;Base!$K169,"↑",IF(Changed!$K169&lt;Base!$K169," ↓",""))</f>
        <v>135</v>
      </c>
      <c r="L169" s="7" t="str" cm="1">
        <f t="array" ref="L169">INDEX(Changed!$L:$L,ROW())&amp;IF(Changed!$L169&gt;Base!$L169,"↑",IF(Changed!$L169&lt;Base!$L169," ↓",""))</f>
        <v>75</v>
      </c>
      <c r="M169" s="7" t="str" cm="1">
        <f t="array" ref="M169">INDEX(Changed!$M:$M,ROW())&amp;IF(Changed!$M169&gt;Base!$M169,"↑",IF(Changed!$M169&lt;Base!$M169," ↓",""))</f>
        <v>90</v>
      </c>
      <c r="N169" s="19">
        <f>Changed!G169-Base!G169</f>
        <v>10</v>
      </c>
    </row>
    <row r="170" spans="1:14" ht="15.75" customHeight="1" x14ac:dyDescent="0.2">
      <c r="A170" s="4">
        <v>169</v>
      </c>
      <c r="B170" s="5" t="s">
        <v>171</v>
      </c>
      <c r="C170" s="6" t="str">
        <f>IF(Changed!C170&lt;&gt;"", Changed!C170, "")</f>
        <v>Rock</v>
      </c>
      <c r="D170" s="6" t="str">
        <f>IF(Changed!D170&lt;&gt;"", Changed!D170, "")</f>
        <v>Water</v>
      </c>
      <c r="E170" s="6" t="str">
        <f>IF(Changed!E170&lt;&gt;"", Changed!E170, "")</f>
        <v>Swift Swim</v>
      </c>
      <c r="F170" s="6" t="str">
        <f>IF(Changed!F170&lt;&gt;"", Changed!F170, "")</f>
        <v>Shell Armor</v>
      </c>
      <c r="G170" s="7" t="str" cm="1">
        <f t="array" ref="G170">INDEX(Changed!$G:$G,ROW())&amp;IF(Changed!$G170&gt;Base!$G170,"↑",IF(Changed!$G170&lt;Base!$G170," ↓",""))</f>
        <v>355</v>
      </c>
      <c r="H170" s="7" t="str" cm="1">
        <f t="array" ref="H170">INDEX(Changed!$H:$H,ROW())&amp;IF(Changed!$H170&gt;Base!$H170,"↑",IF(Changed!$H170&lt;Base!$H170," ↓",""))</f>
        <v>35</v>
      </c>
      <c r="I170" s="7" t="str" cm="1">
        <f t="array" ref="I170">INDEX(Changed!$I:$I,ROW())&amp;IF(Changed!$I170&gt;Base!$I170,"↑",IF(Changed!$I170&lt;Base!$I170," ↓",""))</f>
        <v>40</v>
      </c>
      <c r="J170" s="7" t="str" cm="1">
        <f t="array" ref="J170">INDEX(Changed!$J:$J,ROW())&amp;IF(Changed!$J170&gt;Base!$J170,"↑",IF(Changed!$J170&lt;Base!$J170," ↓",""))</f>
        <v>100</v>
      </c>
      <c r="K170" s="7" t="str" cm="1">
        <f t="array" ref="K170">INDEX(Changed!$K:$K,ROW())&amp;IF(Changed!$K170&gt;Base!$K170,"↑",IF(Changed!$K170&lt;Base!$K170," ↓",""))</f>
        <v>90</v>
      </c>
      <c r="L170" s="7" t="str" cm="1">
        <f t="array" ref="L170">INDEX(Changed!$L:$L,ROW())&amp;IF(Changed!$L170&gt;Base!$L170,"↑",IF(Changed!$L170&lt;Base!$L170," ↓",""))</f>
        <v>55</v>
      </c>
      <c r="M170" s="7" t="str" cm="1">
        <f t="array" ref="M170">INDEX(Changed!$M:$M,ROW())&amp;IF(Changed!$M170&gt;Base!$M170,"↑",IF(Changed!$M170&lt;Base!$M170," ↓",""))</f>
        <v>35</v>
      </c>
      <c r="N170" s="19">
        <f>Changed!G170-Base!G170</f>
        <v>0</v>
      </c>
    </row>
    <row r="171" spans="1:14" ht="15.75" customHeight="1" x14ac:dyDescent="0.2">
      <c r="A171" s="4">
        <v>170</v>
      </c>
      <c r="B171" s="5" t="s">
        <v>172</v>
      </c>
      <c r="C171" s="6" t="str">
        <f>IF(Changed!C171&lt;&gt;"", Changed!C171, "")</f>
        <v>Rock</v>
      </c>
      <c r="D171" s="6" t="str">
        <f>IF(Changed!D171&lt;&gt;"", Changed!D171, "")</f>
        <v>Water</v>
      </c>
      <c r="E171" s="6" t="str">
        <f>IF(Changed!E171&lt;&gt;"", Changed!E171, "")</f>
        <v>Swift Swim</v>
      </c>
      <c r="F171" s="6" t="str">
        <f>IF(Changed!F171&lt;&gt;"", Changed!F171, "")</f>
        <v>Shell Armor</v>
      </c>
      <c r="G171" s="7" t="str" cm="1">
        <f t="array" ref="G171">INDEX(Changed!$G:$G,ROW())&amp;IF(Changed!$G171&gt;Base!$G171,"↑",IF(Changed!$G171&lt;Base!$G171," ↓",""))</f>
        <v>495</v>
      </c>
      <c r="H171" s="7" t="str" cm="1">
        <f t="array" ref="H171">INDEX(Changed!$H:$H,ROW())&amp;IF(Changed!$H171&gt;Base!$H171,"↑",IF(Changed!$H171&lt;Base!$H171," ↓",""))</f>
        <v>70</v>
      </c>
      <c r="I171" s="7" t="str" cm="1">
        <f t="array" ref="I171">INDEX(Changed!$I:$I,ROW())&amp;IF(Changed!$I171&gt;Base!$I171,"↑",IF(Changed!$I171&lt;Base!$I171," ↓",""))</f>
        <v>60</v>
      </c>
      <c r="J171" s="7" t="str" cm="1">
        <f t="array" ref="J171">INDEX(Changed!$J:$J,ROW())&amp;IF(Changed!$J171&gt;Base!$J171,"↑",IF(Changed!$J171&lt;Base!$J171," ↓",""))</f>
        <v>125</v>
      </c>
      <c r="K171" s="7" t="str" cm="1">
        <f t="array" ref="K171">INDEX(Changed!$K:$K,ROW())&amp;IF(Changed!$K171&gt;Base!$K171,"↑",IF(Changed!$K171&lt;Base!$K171," ↓",""))</f>
        <v>115</v>
      </c>
      <c r="L171" s="7" t="str" cm="1">
        <f t="array" ref="L171">INDEX(Changed!$L:$L,ROW())&amp;IF(Changed!$L171&gt;Base!$L171,"↑",IF(Changed!$L171&lt;Base!$L171," ↓",""))</f>
        <v>70</v>
      </c>
      <c r="M171" s="7" t="str" cm="1">
        <f t="array" ref="M171">INDEX(Changed!$M:$M,ROW())&amp;IF(Changed!$M171&gt;Base!$M171,"↑",IF(Changed!$M171&lt;Base!$M171," ↓",""))</f>
        <v>55</v>
      </c>
      <c r="N171" s="19">
        <f>Changed!G171-Base!G171</f>
        <v>0</v>
      </c>
    </row>
    <row r="172" spans="1:14" ht="15.75" customHeight="1" x14ac:dyDescent="0.2">
      <c r="A172" s="4">
        <v>171</v>
      </c>
      <c r="B172" s="5" t="s">
        <v>173</v>
      </c>
      <c r="C172" s="6" t="str">
        <f>IF(Changed!C172&lt;&gt;"", Changed!C172, "")</f>
        <v>Rock</v>
      </c>
      <c r="D172" s="6" t="str">
        <f>IF(Changed!D172&lt;&gt;"", Changed!D172, "")</f>
        <v>Water</v>
      </c>
      <c r="E172" s="6" t="str">
        <f>IF(Changed!E172&lt;&gt;"", Changed!E172, "")</f>
        <v>Swift Swim</v>
      </c>
      <c r="F172" s="6" t="str">
        <f>IF(Changed!F172&lt;&gt;"", Changed!F172, "")</f>
        <v>Battle Armor</v>
      </c>
      <c r="G172" s="7" t="str" cm="1">
        <f t="array" ref="G172">INDEX(Changed!$G:$G,ROW())&amp;IF(Changed!$G172&gt;Base!$G172,"↑",IF(Changed!$G172&lt;Base!$G172," ↓",""))</f>
        <v>355</v>
      </c>
      <c r="H172" s="7" t="str" cm="1">
        <f t="array" ref="H172">INDEX(Changed!$H:$H,ROW())&amp;IF(Changed!$H172&gt;Base!$H172,"↑",IF(Changed!$H172&lt;Base!$H172," ↓",""))</f>
        <v>30</v>
      </c>
      <c r="I172" s="7" t="str" cm="1">
        <f t="array" ref="I172">INDEX(Changed!$I:$I,ROW())&amp;IF(Changed!$I172&gt;Base!$I172,"↑",IF(Changed!$I172&lt;Base!$I172," ↓",""))</f>
        <v>80</v>
      </c>
      <c r="J172" s="7" t="str" cm="1">
        <f t="array" ref="J172">INDEX(Changed!$J:$J,ROW())&amp;IF(Changed!$J172&gt;Base!$J172,"↑",IF(Changed!$J172&lt;Base!$J172," ↓",""))</f>
        <v>90</v>
      </c>
      <c r="K172" s="7" t="str" cm="1">
        <f t="array" ref="K172">INDEX(Changed!$K:$K,ROW())&amp;IF(Changed!$K172&gt;Base!$K172,"↑",IF(Changed!$K172&lt;Base!$K172," ↓",""))</f>
        <v>55</v>
      </c>
      <c r="L172" s="7" t="str" cm="1">
        <f t="array" ref="L172">INDEX(Changed!$L:$L,ROW())&amp;IF(Changed!$L172&gt;Base!$L172,"↑",IF(Changed!$L172&lt;Base!$L172," ↓",""))</f>
        <v>45</v>
      </c>
      <c r="M172" s="7" t="str" cm="1">
        <f t="array" ref="M172">INDEX(Changed!$M:$M,ROW())&amp;IF(Changed!$M172&gt;Base!$M172,"↑",IF(Changed!$M172&lt;Base!$M172," ↓",""))</f>
        <v>55</v>
      </c>
      <c r="N172" s="19">
        <f>Changed!G172-Base!G172</f>
        <v>0</v>
      </c>
    </row>
    <row r="173" spans="1:14" ht="15.75" customHeight="1" x14ac:dyDescent="0.2">
      <c r="A173" s="4">
        <v>172</v>
      </c>
      <c r="B173" s="5" t="s">
        <v>174</v>
      </c>
      <c r="C173" s="6" t="str">
        <f>IF(Changed!C173&lt;&gt;"", Changed!C173, "")</f>
        <v>Rock</v>
      </c>
      <c r="D173" s="6" t="str">
        <f>IF(Changed!D173&lt;&gt;"", Changed!D173, "")</f>
        <v>Water</v>
      </c>
      <c r="E173" s="6" t="str">
        <f>IF(Changed!E173&lt;&gt;"", Changed!E173, "")</f>
        <v>Swift Swim</v>
      </c>
      <c r="F173" s="6" t="str">
        <f>IF(Changed!F173&lt;&gt;"", Changed!F173, "")</f>
        <v>Battle Armor</v>
      </c>
      <c r="G173" s="7" t="str" cm="1">
        <f t="array" ref="G173">INDEX(Changed!$G:$G,ROW())&amp;IF(Changed!$G173&gt;Base!$G173,"↑",IF(Changed!$G173&lt;Base!$G173," ↓",""))</f>
        <v>495</v>
      </c>
      <c r="H173" s="7" t="str" cm="1">
        <f t="array" ref="H173">INDEX(Changed!$H:$H,ROW())&amp;IF(Changed!$H173&gt;Base!$H173,"↑",IF(Changed!$H173&lt;Base!$H173," ↓",""))</f>
        <v>60</v>
      </c>
      <c r="I173" s="7" t="str" cm="1">
        <f t="array" ref="I173">INDEX(Changed!$I:$I,ROW())&amp;IF(Changed!$I173&gt;Base!$I173,"↑",IF(Changed!$I173&lt;Base!$I173," ↓",""))</f>
        <v>115</v>
      </c>
      <c r="J173" s="7" t="str" cm="1">
        <f t="array" ref="J173">INDEX(Changed!$J:$J,ROW())&amp;IF(Changed!$J173&gt;Base!$J173,"↑",IF(Changed!$J173&lt;Base!$J173," ↓",""))</f>
        <v>105</v>
      </c>
      <c r="K173" s="7" t="str" cm="1">
        <f t="array" ref="K173">INDEX(Changed!$K:$K,ROW())&amp;IF(Changed!$K173&gt;Base!$K173,"↑",IF(Changed!$K173&lt;Base!$K173," ↓",""))</f>
        <v>65</v>
      </c>
      <c r="L173" s="7" t="str" cm="1">
        <f t="array" ref="L173">INDEX(Changed!$L:$L,ROW())&amp;IF(Changed!$L173&gt;Base!$L173,"↑",IF(Changed!$L173&lt;Base!$L173," ↓",""))</f>
        <v>70</v>
      </c>
      <c r="M173" s="7" t="str" cm="1">
        <f t="array" ref="M173">INDEX(Changed!$M:$M,ROW())&amp;IF(Changed!$M173&gt;Base!$M173,"↑",IF(Changed!$M173&lt;Base!$M173," ↓",""))</f>
        <v>80</v>
      </c>
      <c r="N173" s="19">
        <f>Changed!G173-Base!G173</f>
        <v>0</v>
      </c>
    </row>
    <row r="174" spans="1:14" ht="15.75" customHeight="1" x14ac:dyDescent="0.2">
      <c r="A174" s="4">
        <v>173</v>
      </c>
      <c r="B174" s="5" t="s">
        <v>481</v>
      </c>
      <c r="C174" s="6" t="str">
        <f>IF(Changed!C174&lt;&gt;"", Changed!C174, "")</f>
        <v>Normal</v>
      </c>
      <c r="D174" s="6" t="str">
        <f>IF(Changed!D174&lt;&gt;"", Changed!D174, "")</f>
        <v/>
      </c>
      <c r="E174" s="6" t="str">
        <f>IF(Changed!E174&lt;&gt;"", Changed!E174, "")</f>
        <v>Pickup</v>
      </c>
      <c r="F174" s="6" t="str">
        <f>IF(Changed!F174&lt;&gt;"", Changed!F174, "")</f>
        <v>Thick Fat</v>
      </c>
      <c r="G174" s="7" t="str" cm="1">
        <f t="array" ref="G174">INDEX(Changed!$G:$G,ROW())&amp;IF(Changed!$G174&gt;Base!$G174,"↑",IF(Changed!$G174&lt;Base!$G174," ↓",""))</f>
        <v>390</v>
      </c>
      <c r="H174" s="7" t="str" cm="1">
        <f t="array" ref="H174">INDEX(Changed!$H:$H,ROW())&amp;IF(Changed!$H174&gt;Base!$H174,"↑",IF(Changed!$H174&lt;Base!$H174," ↓",""))</f>
        <v>135</v>
      </c>
      <c r="I174" s="7" t="str" cm="1">
        <f t="array" ref="I174">INDEX(Changed!$I:$I,ROW())&amp;IF(Changed!$I174&gt;Base!$I174,"↑",IF(Changed!$I174&lt;Base!$I174," ↓",""))</f>
        <v>85</v>
      </c>
      <c r="J174" s="7" t="str" cm="1">
        <f t="array" ref="J174">INDEX(Changed!$J:$J,ROW())&amp;IF(Changed!$J174&gt;Base!$J174,"↑",IF(Changed!$J174&lt;Base!$J174," ↓",""))</f>
        <v>40</v>
      </c>
      <c r="K174" s="7" t="str" cm="1">
        <f t="array" ref="K174">INDEX(Changed!$K:$K,ROW())&amp;IF(Changed!$K174&gt;Base!$K174,"↑",IF(Changed!$K174&lt;Base!$K174," ↓",""))</f>
        <v>40</v>
      </c>
      <c r="L174" s="7" t="str" cm="1">
        <f t="array" ref="L174">INDEX(Changed!$L:$L,ROW())&amp;IF(Changed!$L174&gt;Base!$L174,"↑",IF(Changed!$L174&lt;Base!$L174," ↓",""))</f>
        <v>85</v>
      </c>
      <c r="M174" s="7" t="str" cm="1">
        <f t="array" ref="M174">INDEX(Changed!$M:$M,ROW())&amp;IF(Changed!$M174&gt;Base!$M174,"↑",IF(Changed!$M174&lt;Base!$M174," ↓",""))</f>
        <v>5</v>
      </c>
      <c r="N174" s="19">
        <f>Changed!G174-Base!G174</f>
        <v>0</v>
      </c>
    </row>
    <row r="175" spans="1:14" ht="15.75" customHeight="1" x14ac:dyDescent="0.2">
      <c r="A175" s="4">
        <v>174</v>
      </c>
      <c r="B175" s="5" t="s">
        <v>176</v>
      </c>
      <c r="C175" s="6" t="str">
        <f>IF(Changed!C175&lt;&gt;"", Changed!C175, "")</f>
        <v>Normal</v>
      </c>
      <c r="D175" s="6" t="str">
        <f>IF(Changed!D175&lt;&gt;"", Changed!D175, "")</f>
        <v/>
      </c>
      <c r="E175" s="6" t="str">
        <f>IF(Changed!E175&lt;&gt;"", Changed!E175, "")</f>
        <v>Immunity</v>
      </c>
      <c r="F175" s="6" t="str">
        <f>IF(Changed!F175&lt;&gt;"", Changed!F175, "")</f>
        <v>Thick Fat</v>
      </c>
      <c r="G175" s="7" t="str" cm="1">
        <f t="array" ref="G175">INDEX(Changed!$G:$G,ROW())&amp;IF(Changed!$G175&gt;Base!$G175,"↑",IF(Changed!$G175&lt;Base!$G175," ↓",""))</f>
        <v>540</v>
      </c>
      <c r="H175" s="7" t="str" cm="1">
        <f t="array" ref="H175">INDEX(Changed!$H:$H,ROW())&amp;IF(Changed!$H175&gt;Base!$H175,"↑",IF(Changed!$H175&lt;Base!$H175," ↓",""))</f>
        <v>160</v>
      </c>
      <c r="I175" s="7" t="str" cm="1">
        <f t="array" ref="I175">INDEX(Changed!$I:$I,ROW())&amp;IF(Changed!$I175&gt;Base!$I175,"↑",IF(Changed!$I175&lt;Base!$I175," ↓",""))</f>
        <v>110</v>
      </c>
      <c r="J175" s="7" t="str" cm="1">
        <f t="array" ref="J175">INDEX(Changed!$J:$J,ROW())&amp;IF(Changed!$J175&gt;Base!$J175,"↑",IF(Changed!$J175&lt;Base!$J175," ↓",""))</f>
        <v>65</v>
      </c>
      <c r="K175" s="7" t="str" cm="1">
        <f t="array" ref="K175">INDEX(Changed!$K:$K,ROW())&amp;IF(Changed!$K175&gt;Base!$K175,"↑",IF(Changed!$K175&lt;Base!$K175," ↓",""))</f>
        <v>65</v>
      </c>
      <c r="L175" s="7" t="str" cm="1">
        <f t="array" ref="L175">INDEX(Changed!$L:$L,ROW())&amp;IF(Changed!$L175&gt;Base!$L175,"↑",IF(Changed!$L175&lt;Base!$L175," ↓",""))</f>
        <v>110</v>
      </c>
      <c r="M175" s="7" t="str" cm="1">
        <f t="array" ref="M175">INDEX(Changed!$M:$M,ROW())&amp;IF(Changed!$M175&gt;Base!$M175,"↑",IF(Changed!$M175&lt;Base!$M175," ↓",""))</f>
        <v>30</v>
      </c>
      <c r="N175" s="19">
        <f>Changed!G175-Base!G175</f>
        <v>0</v>
      </c>
    </row>
    <row r="176" spans="1:14" ht="15.75" customHeight="1" x14ac:dyDescent="0.2">
      <c r="A176" s="4">
        <v>175</v>
      </c>
      <c r="B176" s="5" t="s">
        <v>46</v>
      </c>
      <c r="C176" s="6" t="str">
        <f>IF(Changed!C176&lt;&gt;"", Changed!C176, "")</f>
        <v>Normal</v>
      </c>
      <c r="D176" s="6" t="str">
        <f>IF(Changed!D176&lt;&gt;"", Changed!D176, "")</f>
        <v>Flying</v>
      </c>
      <c r="E176" s="6" t="str">
        <f>IF(Changed!E176&lt;&gt;"", Changed!E176, "")</f>
        <v>Keen Eye</v>
      </c>
      <c r="F176" s="6" t="str">
        <f>IF(Changed!F176&lt;&gt;"", Changed!F176, "")</f>
        <v>Sniper</v>
      </c>
      <c r="G176" s="7" t="str" cm="1">
        <f t="array" ref="G176">INDEX(Changed!$G:$G,ROW())&amp;IF(Changed!$G176&gt;Base!$G176,"↑",IF(Changed!$G176&lt;Base!$G176," ↓",""))</f>
        <v>262</v>
      </c>
      <c r="H176" s="7" t="str" cm="1">
        <f t="array" ref="H176">INDEX(Changed!$H:$H,ROW())&amp;IF(Changed!$H176&gt;Base!$H176,"↑",IF(Changed!$H176&lt;Base!$H176," ↓",""))</f>
        <v>40</v>
      </c>
      <c r="I176" s="7" t="str" cm="1">
        <f t="array" ref="I176">INDEX(Changed!$I:$I,ROW())&amp;IF(Changed!$I176&gt;Base!$I176,"↑",IF(Changed!$I176&lt;Base!$I176," ↓",""))</f>
        <v>60</v>
      </c>
      <c r="J176" s="7" t="str" cm="1">
        <f t="array" ref="J176">INDEX(Changed!$J:$J,ROW())&amp;IF(Changed!$J176&gt;Base!$J176,"↑",IF(Changed!$J176&lt;Base!$J176," ↓",""))</f>
        <v>30</v>
      </c>
      <c r="K176" s="7" t="str" cm="1">
        <f t="array" ref="K176">INDEX(Changed!$K:$K,ROW())&amp;IF(Changed!$K176&gt;Base!$K176,"↑",IF(Changed!$K176&lt;Base!$K176," ↓",""))</f>
        <v>31</v>
      </c>
      <c r="L176" s="7" t="str" cm="1">
        <f t="array" ref="L176">INDEX(Changed!$L:$L,ROW())&amp;IF(Changed!$L176&gt;Base!$L176,"↑",IF(Changed!$L176&lt;Base!$L176," ↓",""))</f>
        <v>31</v>
      </c>
      <c r="M176" s="7" t="str" cm="1">
        <f t="array" ref="M176">INDEX(Changed!$M:$M,ROW())&amp;IF(Changed!$M176&gt;Base!$M176,"↑",IF(Changed!$M176&lt;Base!$M176," ↓",""))</f>
        <v>70</v>
      </c>
      <c r="N176" s="19">
        <f>Changed!G176-Base!G176</f>
        <v>0</v>
      </c>
    </row>
    <row r="177" spans="1:15" ht="15.75" customHeight="1" x14ac:dyDescent="0.2">
      <c r="A177" s="4">
        <v>176</v>
      </c>
      <c r="B177" s="5" t="s">
        <v>47</v>
      </c>
      <c r="C177" s="6" t="str">
        <f>IF(Changed!C177&lt;&gt;"", Changed!C177, "")</f>
        <v>Normal</v>
      </c>
      <c r="D177" s="6" t="str">
        <f>IF(Changed!D177&lt;&gt;"", Changed!D177, "")</f>
        <v>Flying</v>
      </c>
      <c r="E177" s="6" t="str">
        <f>IF(Changed!E177&lt;&gt;"", Changed!E177, "")</f>
        <v>Keen Eye</v>
      </c>
      <c r="F177" s="6" t="str">
        <f>IF(Changed!F177&lt;&gt;"", Changed!F177, "")</f>
        <v>Sniper</v>
      </c>
      <c r="G177" s="7" t="str" cm="1">
        <f t="array" ref="G177">INDEX(Changed!$G:$G,ROW())&amp;IF(Changed!$G177&gt;Base!$G177,"↑",IF(Changed!$G177&lt;Base!$G177," ↓",""))</f>
        <v>442</v>
      </c>
      <c r="H177" s="7" t="str" cm="1">
        <f t="array" ref="H177">INDEX(Changed!$H:$H,ROW())&amp;IF(Changed!$H177&gt;Base!$H177,"↑",IF(Changed!$H177&lt;Base!$H177," ↓",""))</f>
        <v>65</v>
      </c>
      <c r="I177" s="7" t="str" cm="1">
        <f t="array" ref="I177">INDEX(Changed!$I:$I,ROW())&amp;IF(Changed!$I177&gt;Base!$I177,"↑",IF(Changed!$I177&lt;Base!$I177," ↓",""))</f>
        <v>90</v>
      </c>
      <c r="J177" s="7" t="str" cm="1">
        <f t="array" ref="J177">INDEX(Changed!$J:$J,ROW())&amp;IF(Changed!$J177&gt;Base!$J177,"↑",IF(Changed!$J177&lt;Base!$J177," ↓",""))</f>
        <v>65</v>
      </c>
      <c r="K177" s="7" t="str" cm="1">
        <f t="array" ref="K177">INDEX(Changed!$K:$K,ROW())&amp;IF(Changed!$K177&gt;Base!$K177,"↑",IF(Changed!$K177&lt;Base!$K177," ↓",""))</f>
        <v>61</v>
      </c>
      <c r="L177" s="7" t="str" cm="1">
        <f t="array" ref="L177">INDEX(Changed!$L:$L,ROW())&amp;IF(Changed!$L177&gt;Base!$L177,"↑",IF(Changed!$L177&lt;Base!$L177," ↓",""))</f>
        <v>61</v>
      </c>
      <c r="M177" s="7" t="str" cm="1">
        <f t="array" ref="M177">INDEX(Changed!$M:$M,ROW())&amp;IF(Changed!$M177&gt;Base!$M177,"↑",IF(Changed!$M177&lt;Base!$M177," ↓",""))</f>
        <v>100</v>
      </c>
      <c r="N177" s="19">
        <f>Changed!G177-Base!G177</f>
        <v>0</v>
      </c>
      <c r="O177" s="253" t="s">
        <v>1520</v>
      </c>
    </row>
    <row r="178" spans="1:15" ht="15.75" customHeight="1" x14ac:dyDescent="0.2">
      <c r="A178" s="4">
        <v>177</v>
      </c>
      <c r="B178" s="5" t="s">
        <v>177</v>
      </c>
      <c r="C178" s="6" t="str">
        <f>IF(Changed!C178&lt;&gt;"", Changed!C178, "")</f>
        <v>Ice</v>
      </c>
      <c r="D178" s="6" t="str">
        <f>IF(Changed!D178&lt;&gt;"", Changed!D178, "")</f>
        <v>Flying</v>
      </c>
      <c r="E178" s="6" t="str">
        <f>IF(Changed!E178&lt;&gt;"", Changed!E178, "")</f>
        <v>Snow Warning</v>
      </c>
      <c r="F178" s="6" t="str">
        <f>IF(Changed!F178&lt;&gt;"", Changed!F178, "")</f>
        <v>Filter</v>
      </c>
      <c r="G178" s="7" t="str" cm="1">
        <f t="array" ref="G178">INDEX(Changed!$G:$G,ROW())&amp;IF(Changed!$G178&gt;Base!$G178,"↑",IF(Changed!$G178&lt;Base!$G178," ↓",""))</f>
        <v>580</v>
      </c>
      <c r="H178" s="7" t="str" cm="1">
        <f t="array" ref="H178">INDEX(Changed!$H:$H,ROW())&amp;IF(Changed!$H178&gt;Base!$H178,"↑",IF(Changed!$H178&lt;Base!$H178," ↓",""))</f>
        <v>90</v>
      </c>
      <c r="I178" s="7" t="str" cm="1">
        <f t="array" ref="I178">INDEX(Changed!$I:$I,ROW())&amp;IF(Changed!$I178&gt;Base!$I178,"↑",IF(Changed!$I178&lt;Base!$I178," ↓",""))</f>
        <v>85</v>
      </c>
      <c r="J178" s="7" t="str" cm="1">
        <f t="array" ref="J178">INDEX(Changed!$J:$J,ROW())&amp;IF(Changed!$J178&gt;Base!$J178,"↑",IF(Changed!$J178&lt;Base!$J178," ↓",""))</f>
        <v>100</v>
      </c>
      <c r="K178" s="7" t="str" cm="1">
        <f t="array" ref="K178">INDEX(Changed!$K:$K,ROW())&amp;IF(Changed!$K178&gt;Base!$K178,"↑",IF(Changed!$K178&lt;Base!$K178," ↓",""))</f>
        <v>95</v>
      </c>
      <c r="L178" s="7" t="str" cm="1">
        <f t="array" ref="L178">INDEX(Changed!$L:$L,ROW())&amp;IF(Changed!$L178&gt;Base!$L178,"↑",IF(Changed!$L178&lt;Base!$L178," ↓",""))</f>
        <v>125</v>
      </c>
      <c r="M178" s="7" t="str" cm="1">
        <f t="array" ref="M178">INDEX(Changed!$M:$M,ROW())&amp;IF(Changed!$M178&gt;Base!$M178,"↑",IF(Changed!$M178&lt;Base!$M178," ↓",""))</f>
        <v>85</v>
      </c>
      <c r="N178" s="19">
        <f>Changed!G178-Base!G178</f>
        <v>0</v>
      </c>
      <c r="O178" s="253" t="s">
        <v>1521</v>
      </c>
    </row>
    <row r="179" spans="1:15" ht="15.75" customHeight="1" x14ac:dyDescent="0.2">
      <c r="A179" s="4">
        <v>178</v>
      </c>
      <c r="B179" s="5" t="s">
        <v>178</v>
      </c>
      <c r="C179" s="6" t="str">
        <f>IF(Changed!C179&lt;&gt;"", Changed!C179, "")</f>
        <v>Electric</v>
      </c>
      <c r="D179" s="6" t="str">
        <f>IF(Changed!D179&lt;&gt;"", Changed!D179, "")</f>
        <v>Flying</v>
      </c>
      <c r="E179" s="6" t="str">
        <f>IF(Changed!E179&lt;&gt;"", Changed!E179, "")</f>
        <v>Drizzle</v>
      </c>
      <c r="F179" s="6" t="str">
        <f>IF(Changed!F179&lt;&gt;"", Changed!F179, "")</f>
        <v>Static</v>
      </c>
      <c r="G179" s="7" t="str" cm="1">
        <f t="array" ref="G179">INDEX(Changed!$G:$G,ROW())&amp;IF(Changed!$G179&gt;Base!$G179,"↑",IF(Changed!$G179&lt;Base!$G179," ↓",""))</f>
        <v>580</v>
      </c>
      <c r="H179" s="7" t="str" cm="1">
        <f t="array" ref="H179">INDEX(Changed!$H:$H,ROW())&amp;IF(Changed!$H179&gt;Base!$H179,"↑",IF(Changed!$H179&lt;Base!$H179," ↓",""))</f>
        <v>90</v>
      </c>
      <c r="I179" s="7" t="str" cm="1">
        <f t="array" ref="I179">INDEX(Changed!$I:$I,ROW())&amp;IF(Changed!$I179&gt;Base!$I179,"↑",IF(Changed!$I179&lt;Base!$I179," ↓",""))</f>
        <v>90</v>
      </c>
      <c r="J179" s="7" t="str" cm="1">
        <f t="array" ref="J179">INDEX(Changed!$J:$J,ROW())&amp;IF(Changed!$J179&gt;Base!$J179,"↑",IF(Changed!$J179&lt;Base!$J179," ↓",""))</f>
        <v>85</v>
      </c>
      <c r="K179" s="7" t="str" cm="1">
        <f t="array" ref="K179">INDEX(Changed!$K:$K,ROW())&amp;IF(Changed!$K179&gt;Base!$K179,"↑",IF(Changed!$K179&lt;Base!$K179," ↓",""))</f>
        <v>125</v>
      </c>
      <c r="L179" s="7" t="str" cm="1">
        <f t="array" ref="L179">INDEX(Changed!$L:$L,ROW())&amp;IF(Changed!$L179&gt;Base!$L179,"↑",IF(Changed!$L179&lt;Base!$L179," ↓",""))</f>
        <v>90</v>
      </c>
      <c r="M179" s="7" t="str" cm="1">
        <f t="array" ref="M179">INDEX(Changed!$M:$M,ROW())&amp;IF(Changed!$M179&gt;Base!$M179,"↑",IF(Changed!$M179&lt;Base!$M179," ↓",""))</f>
        <v>100</v>
      </c>
      <c r="N179" s="19">
        <f>Changed!G179-Base!G179</f>
        <v>0</v>
      </c>
    </row>
    <row r="180" spans="1:15" ht="15.75" customHeight="1" x14ac:dyDescent="0.2">
      <c r="A180" s="4">
        <v>179</v>
      </c>
      <c r="B180" s="5" t="s">
        <v>179</v>
      </c>
      <c r="C180" s="6" t="str">
        <f>IF(Changed!C180&lt;&gt;"", Changed!C180, "")</f>
        <v>Fire</v>
      </c>
      <c r="D180" s="6" t="str">
        <f>IF(Changed!D180&lt;&gt;"", Changed!D180, "")</f>
        <v>Flying</v>
      </c>
      <c r="E180" s="6" t="str">
        <f>IF(Changed!E180&lt;&gt;"", Changed!E180, "")</f>
        <v>Drought</v>
      </c>
      <c r="F180" s="6" t="str">
        <f>IF(Changed!F180&lt;&gt;"", Changed!F180, "")</f>
        <v>Solar Power</v>
      </c>
      <c r="G180" s="7" t="str" cm="1">
        <f t="array" ref="G180">INDEX(Changed!$G:$G,ROW())&amp;IF(Changed!$G180&gt;Base!$G180,"↑",IF(Changed!$G180&lt;Base!$G180," ↓",""))</f>
        <v>580</v>
      </c>
      <c r="H180" s="7" t="str" cm="1">
        <f t="array" ref="H180">INDEX(Changed!$H:$H,ROW())&amp;IF(Changed!$H180&gt;Base!$H180,"↑",IF(Changed!$H180&lt;Base!$H180," ↓",""))</f>
        <v>90</v>
      </c>
      <c r="I180" s="7" t="str" cm="1">
        <f t="array" ref="I180">INDEX(Changed!$I:$I,ROW())&amp;IF(Changed!$I180&gt;Base!$I180,"↑",IF(Changed!$I180&lt;Base!$I180," ↓",""))</f>
        <v>100</v>
      </c>
      <c r="J180" s="7" t="str" cm="1">
        <f t="array" ref="J180">INDEX(Changed!$J:$J,ROW())&amp;IF(Changed!$J180&gt;Base!$J180,"↑",IF(Changed!$J180&lt;Base!$J180," ↓",""))</f>
        <v>90</v>
      </c>
      <c r="K180" s="7" t="str" cm="1">
        <f t="array" ref="K180">INDEX(Changed!$K:$K,ROW())&amp;IF(Changed!$K180&gt;Base!$K180,"↑",IF(Changed!$K180&lt;Base!$K180," ↓",""))</f>
        <v>125</v>
      </c>
      <c r="L180" s="7" t="str" cm="1">
        <f t="array" ref="L180">INDEX(Changed!$L:$L,ROW())&amp;IF(Changed!$L180&gt;Base!$L180,"↑",IF(Changed!$L180&lt;Base!$L180," ↓",""))</f>
        <v>85</v>
      </c>
      <c r="M180" s="7" t="str" cm="1">
        <f t="array" ref="M180">INDEX(Changed!$M:$M,ROW())&amp;IF(Changed!$M180&gt;Base!$M180,"↑",IF(Changed!$M180&lt;Base!$M180," ↓",""))</f>
        <v>90</v>
      </c>
      <c r="N180" s="19">
        <f>Changed!G180-Base!G180</f>
        <v>0</v>
      </c>
    </row>
    <row r="181" spans="1:15" ht="15.75" customHeight="1" x14ac:dyDescent="0.2">
      <c r="A181" s="4">
        <v>180</v>
      </c>
      <c r="B181" s="5" t="s">
        <v>175</v>
      </c>
      <c r="C181" s="6" t="str">
        <f>IF(Changed!C181&lt;&gt;"", Changed!C181, "")</f>
        <v>Rock</v>
      </c>
      <c r="D181" s="6" t="str">
        <f>IF(Changed!D181&lt;&gt;"", Changed!D181, "")</f>
        <v>Flying</v>
      </c>
      <c r="E181" s="6" t="str">
        <f>IF(Changed!E181&lt;&gt;"", Changed!E181, "")</f>
        <v>Rock Head</v>
      </c>
      <c r="F181" s="6" t="str">
        <f>IF(Changed!F181&lt;&gt;"", Changed!F181, "")</f>
        <v>Pressure</v>
      </c>
      <c r="G181" s="7" t="str" cm="1">
        <f t="array" ref="G181">INDEX(Changed!$G:$G,ROW())&amp;IF(Changed!$G181&gt;Base!$G181,"↑",IF(Changed!$G181&lt;Base!$G181," ↓",""))</f>
        <v>515</v>
      </c>
      <c r="H181" s="7" t="str" cm="1">
        <f t="array" ref="H181">INDEX(Changed!$H:$H,ROW())&amp;IF(Changed!$H181&gt;Base!$H181,"↑",IF(Changed!$H181&lt;Base!$H181," ↓",""))</f>
        <v>80</v>
      </c>
      <c r="I181" s="7" t="str" cm="1">
        <f t="array" ref="I181">INDEX(Changed!$I:$I,ROW())&amp;IF(Changed!$I181&gt;Base!$I181,"↑",IF(Changed!$I181&lt;Base!$I181," ↓",""))</f>
        <v>105</v>
      </c>
      <c r="J181" s="7" t="str" cm="1">
        <f t="array" ref="J181">INDEX(Changed!$J:$J,ROW())&amp;IF(Changed!$J181&gt;Base!$J181,"↑",IF(Changed!$J181&lt;Base!$J181," ↓",""))</f>
        <v>65</v>
      </c>
      <c r="K181" s="7" t="str" cm="1">
        <f t="array" ref="K181">INDEX(Changed!$K:$K,ROW())&amp;IF(Changed!$K181&gt;Base!$K181,"↑",IF(Changed!$K181&lt;Base!$K181," ↓",""))</f>
        <v>60</v>
      </c>
      <c r="L181" s="7" t="str" cm="1">
        <f t="array" ref="L181">INDEX(Changed!$L:$L,ROW())&amp;IF(Changed!$L181&gt;Base!$L181,"↑",IF(Changed!$L181&lt;Base!$L181," ↓",""))</f>
        <v>75</v>
      </c>
      <c r="M181" s="7" t="str" cm="1">
        <f t="array" ref="M181">INDEX(Changed!$M:$M,ROW())&amp;IF(Changed!$M181&gt;Base!$M181,"↑",IF(Changed!$M181&lt;Base!$M181," ↓",""))</f>
        <v>130</v>
      </c>
      <c r="N181" s="19">
        <f>Changed!G181-Base!G181</f>
        <v>0</v>
      </c>
    </row>
    <row r="182" spans="1:15" ht="15.75" customHeight="1" x14ac:dyDescent="0.2">
      <c r="A182" s="4">
        <v>181</v>
      </c>
      <c r="B182" s="5" t="s">
        <v>262</v>
      </c>
      <c r="C182" s="6" t="str">
        <f>IF(Changed!C182&lt;&gt;"", Changed!C182, "")</f>
        <v>Steel</v>
      </c>
      <c r="D182" s="6" t="str">
        <f>IF(Changed!D182&lt;&gt;"", Changed!D182, "")</f>
        <v>Flying</v>
      </c>
      <c r="E182" s="6" t="str">
        <f>IF(Changed!E182&lt;&gt;"", Changed!E182, "")</f>
        <v>Keen Eye</v>
      </c>
      <c r="F182" s="6" t="str">
        <f>IF(Changed!F182&lt;&gt;"", Changed!F182, "")</f>
        <v>Sturdy</v>
      </c>
      <c r="G182" s="7" t="str" cm="1">
        <f t="array" ref="G182">INDEX(Changed!$G:$G,ROW())&amp;IF(Changed!$G182&gt;Base!$G182,"↑",IF(Changed!$G182&lt;Base!$G182," ↓",""))</f>
        <v>465</v>
      </c>
      <c r="H182" s="7" t="str" cm="1">
        <f t="array" ref="H182">INDEX(Changed!$H:$H,ROW())&amp;IF(Changed!$H182&gt;Base!$H182,"↑",IF(Changed!$H182&lt;Base!$H182," ↓",""))</f>
        <v>65</v>
      </c>
      <c r="I182" s="7" t="str" cm="1">
        <f t="array" ref="I182">INDEX(Changed!$I:$I,ROW())&amp;IF(Changed!$I182&gt;Base!$I182,"↑",IF(Changed!$I182&lt;Base!$I182," ↓",""))</f>
        <v>80</v>
      </c>
      <c r="J182" s="7" t="str" cm="1">
        <f t="array" ref="J182">INDEX(Changed!$J:$J,ROW())&amp;IF(Changed!$J182&gt;Base!$J182,"↑",IF(Changed!$J182&lt;Base!$J182," ↓",""))</f>
        <v>140</v>
      </c>
      <c r="K182" s="7" t="str" cm="1">
        <f t="array" ref="K182">INDEX(Changed!$K:$K,ROW())&amp;IF(Changed!$K182&gt;Base!$K182,"↑",IF(Changed!$K182&lt;Base!$K182," ↓",""))</f>
        <v>40</v>
      </c>
      <c r="L182" s="7" t="str" cm="1">
        <f t="array" ref="L182">INDEX(Changed!$L:$L,ROW())&amp;IF(Changed!$L182&gt;Base!$L182,"↑",IF(Changed!$L182&lt;Base!$L182," ↓",""))</f>
        <v>70</v>
      </c>
      <c r="M182" s="7" t="str" cm="1">
        <f t="array" ref="M182">INDEX(Changed!$M:$M,ROW())&amp;IF(Changed!$M182&gt;Base!$M182,"↑",IF(Changed!$M182&lt;Base!$M182," ↓",""))</f>
        <v>70</v>
      </c>
      <c r="N182" s="19">
        <f>Changed!G182-Base!G182</f>
        <v>0</v>
      </c>
    </row>
    <row r="183" spans="1:15" ht="15.75" customHeight="1" x14ac:dyDescent="0.2">
      <c r="A183" s="4">
        <v>182</v>
      </c>
      <c r="B183" s="5" t="s">
        <v>180</v>
      </c>
      <c r="C183" s="6" t="str">
        <f>IF(Changed!C183&lt;&gt;"", Changed!C183, "")</f>
        <v>Dragon</v>
      </c>
      <c r="D183" s="6" t="str">
        <f>IF(Changed!D183&lt;&gt;"", Changed!D183, "")</f>
        <v/>
      </c>
      <c r="E183" s="6" t="str">
        <f>IF(Changed!E183&lt;&gt;"", Changed!E183, "")</f>
        <v>Shed Skin</v>
      </c>
      <c r="F183" s="6" t="str">
        <f>IF(Changed!F183&lt;&gt;"", Changed!F183, "")</f>
        <v>Multiscale</v>
      </c>
      <c r="G183" s="7" t="str" cm="1">
        <f t="array" ref="G183">INDEX(Changed!$G:$G,ROW())&amp;IF(Changed!$G183&gt;Base!$G183,"↑",IF(Changed!$G183&lt;Base!$G183," ↓",""))</f>
        <v>300</v>
      </c>
      <c r="H183" s="7" t="str" cm="1">
        <f t="array" ref="H183">INDEX(Changed!$H:$H,ROW())&amp;IF(Changed!$H183&gt;Base!$H183,"↑",IF(Changed!$H183&lt;Base!$H183," ↓",""))</f>
        <v>41</v>
      </c>
      <c r="I183" s="7" t="str" cm="1">
        <f t="array" ref="I183">INDEX(Changed!$I:$I,ROW())&amp;IF(Changed!$I183&gt;Base!$I183,"↑",IF(Changed!$I183&lt;Base!$I183," ↓",""))</f>
        <v>64</v>
      </c>
      <c r="J183" s="7" t="str" cm="1">
        <f t="array" ref="J183">INDEX(Changed!$J:$J,ROW())&amp;IF(Changed!$J183&gt;Base!$J183,"↑",IF(Changed!$J183&lt;Base!$J183," ↓",""))</f>
        <v>45</v>
      </c>
      <c r="K183" s="7" t="str" cm="1">
        <f t="array" ref="K183">INDEX(Changed!$K:$K,ROW())&amp;IF(Changed!$K183&gt;Base!$K183,"↑",IF(Changed!$K183&lt;Base!$K183," ↓",""))</f>
        <v>50</v>
      </c>
      <c r="L183" s="7" t="str" cm="1">
        <f t="array" ref="L183">INDEX(Changed!$L:$L,ROW())&amp;IF(Changed!$L183&gt;Base!$L183,"↑",IF(Changed!$L183&lt;Base!$L183," ↓",""))</f>
        <v>50</v>
      </c>
      <c r="M183" s="7" t="str" cm="1">
        <f t="array" ref="M183">INDEX(Changed!$M:$M,ROW())&amp;IF(Changed!$M183&gt;Base!$M183,"↑",IF(Changed!$M183&lt;Base!$M183," ↓",""))</f>
        <v>50</v>
      </c>
      <c r="N183" s="19">
        <f>Changed!G183-Base!G183</f>
        <v>0</v>
      </c>
    </row>
    <row r="184" spans="1:15" ht="15.75" customHeight="1" x14ac:dyDescent="0.2">
      <c r="A184" s="4">
        <v>183</v>
      </c>
      <c r="B184" s="5" t="s">
        <v>182</v>
      </c>
      <c r="C184" s="6" t="str">
        <f>IF(Changed!C184&lt;&gt;"", Changed!C184, "")</f>
        <v>Dragon</v>
      </c>
      <c r="D184" s="6" t="str">
        <f>IF(Changed!D184&lt;&gt;"", Changed!D184, "")</f>
        <v/>
      </c>
      <c r="E184" s="6" t="str">
        <f>IF(Changed!E184&lt;&gt;"", Changed!E184, "")</f>
        <v>Shed Skin</v>
      </c>
      <c r="F184" s="6" t="str">
        <f>IF(Changed!F184&lt;&gt;"", Changed!F184, "")</f>
        <v>Multiscale</v>
      </c>
      <c r="G184" s="7" t="str" cm="1">
        <f t="array" ref="G184">INDEX(Changed!$G:$G,ROW())&amp;IF(Changed!$G184&gt;Base!$G184,"↑",IF(Changed!$G184&lt;Base!$G184," ↓",""))</f>
        <v>420</v>
      </c>
      <c r="H184" s="7" t="str" cm="1">
        <f t="array" ref="H184">INDEX(Changed!$H:$H,ROW())&amp;IF(Changed!$H184&gt;Base!$H184,"↑",IF(Changed!$H184&lt;Base!$H184," ↓",""))</f>
        <v>61</v>
      </c>
      <c r="I184" s="7" t="str" cm="1">
        <f t="array" ref="I184">INDEX(Changed!$I:$I,ROW())&amp;IF(Changed!$I184&gt;Base!$I184,"↑",IF(Changed!$I184&lt;Base!$I184," ↓",""))</f>
        <v>84</v>
      </c>
      <c r="J184" s="7" t="str" cm="1">
        <f t="array" ref="J184">INDEX(Changed!$J:$J,ROW())&amp;IF(Changed!$J184&gt;Base!$J184,"↑",IF(Changed!$J184&lt;Base!$J184," ↓",""))</f>
        <v>65</v>
      </c>
      <c r="K184" s="7" t="str" cm="1">
        <f t="array" ref="K184">INDEX(Changed!$K:$K,ROW())&amp;IF(Changed!$K184&gt;Base!$K184,"↑",IF(Changed!$K184&lt;Base!$K184," ↓",""))</f>
        <v>70</v>
      </c>
      <c r="L184" s="7" t="str" cm="1">
        <f t="array" ref="L184">INDEX(Changed!$L:$L,ROW())&amp;IF(Changed!$L184&gt;Base!$L184,"↑",IF(Changed!$L184&lt;Base!$L184," ↓",""))</f>
        <v>70</v>
      </c>
      <c r="M184" s="7" t="str" cm="1">
        <f t="array" ref="M184">INDEX(Changed!$M:$M,ROW())&amp;IF(Changed!$M184&gt;Base!$M184,"↑",IF(Changed!$M184&lt;Base!$M184," ↓",""))</f>
        <v>70</v>
      </c>
      <c r="N184" s="19">
        <f>Changed!G184-Base!G184</f>
        <v>0</v>
      </c>
    </row>
    <row r="185" spans="1:15" ht="15.75" customHeight="1" x14ac:dyDescent="0.2">
      <c r="A185" s="4">
        <v>184</v>
      </c>
      <c r="B185" s="5" t="s">
        <v>183</v>
      </c>
      <c r="C185" s="6" t="str">
        <f>IF(Changed!C185&lt;&gt;"", Changed!C185, "")</f>
        <v>Dragon</v>
      </c>
      <c r="D185" s="6" t="str">
        <f>IF(Changed!D185&lt;&gt;"", Changed!D185, "")</f>
        <v/>
      </c>
      <c r="E185" s="6" t="str">
        <f>IF(Changed!E185&lt;&gt;"", Changed!E185, "")</f>
        <v>Inner Focus</v>
      </c>
      <c r="F185" s="6" t="str">
        <f>IF(Changed!F185&lt;&gt;"", Changed!F185, "")</f>
        <v>Multiscale</v>
      </c>
      <c r="G185" s="7" t="str" cm="1">
        <f t="array" ref="G185">INDEX(Changed!$G:$G,ROW())&amp;IF(Changed!$G185&gt;Base!$G185,"↑",IF(Changed!$G185&lt;Base!$G185," ↓",""))</f>
        <v>590 ↓</v>
      </c>
      <c r="H185" s="7" t="str" cm="1">
        <f t="array" ref="H185">INDEX(Changed!$H:$H,ROW())&amp;IF(Changed!$H185&gt;Base!$H185,"↑",IF(Changed!$H185&lt;Base!$H185," ↓",""))</f>
        <v>91</v>
      </c>
      <c r="I185" s="7" t="str" cm="1">
        <f t="array" ref="I185">INDEX(Changed!$I:$I,ROW())&amp;IF(Changed!$I185&gt;Base!$I185,"↑",IF(Changed!$I185&lt;Base!$I185," ↓",""))</f>
        <v>124 ↓</v>
      </c>
      <c r="J185" s="7" t="str" cm="1">
        <f t="array" ref="J185">INDEX(Changed!$J:$J,ROW())&amp;IF(Changed!$J185&gt;Base!$J185,"↑",IF(Changed!$J185&lt;Base!$J185," ↓",""))</f>
        <v>95</v>
      </c>
      <c r="K185" s="7" t="str" cm="1">
        <f t="array" ref="K185">INDEX(Changed!$K:$K,ROW())&amp;IF(Changed!$K185&gt;Base!$K185,"↑",IF(Changed!$K185&lt;Base!$K185," ↓",""))</f>
        <v>100</v>
      </c>
      <c r="L185" s="7" t="str" cm="1">
        <f t="array" ref="L185">INDEX(Changed!$L:$L,ROW())&amp;IF(Changed!$L185&gt;Base!$L185,"↑",IF(Changed!$L185&lt;Base!$L185," ↓",""))</f>
        <v>100</v>
      </c>
      <c r="M185" s="7" t="str" cm="1">
        <f t="array" ref="M185">INDEX(Changed!$M:$M,ROW())&amp;IF(Changed!$M185&gt;Base!$M185,"↑",IF(Changed!$M185&lt;Base!$M185," ↓",""))</f>
        <v>80</v>
      </c>
      <c r="N185" s="19">
        <f>Changed!G185-Base!G185</f>
        <v>-10</v>
      </c>
    </row>
    <row r="186" spans="1:15" ht="15.75" customHeight="1" x14ac:dyDescent="0.2">
      <c r="A186" s="4">
        <v>185</v>
      </c>
      <c r="B186" s="5" t="s">
        <v>184</v>
      </c>
      <c r="C186" s="6" t="str">
        <f>IF(Changed!C186&lt;&gt;"", Changed!C186, "")</f>
        <v>Psychic</v>
      </c>
      <c r="D186" s="6" t="str">
        <f>IF(Changed!D186&lt;&gt;"", Changed!D186, "")</f>
        <v/>
      </c>
      <c r="E186" s="6" t="str">
        <f>IF(Changed!E186&lt;&gt;"", Changed!E186, "")</f>
        <v>Beast Boost</v>
      </c>
      <c r="F186" s="6" t="str">
        <f>IF(Changed!F186&lt;&gt;"", Changed!F186, "")</f>
        <v>Download</v>
      </c>
      <c r="G186" s="7" t="str" cm="1">
        <f t="array" ref="G186">INDEX(Changed!$G:$G,ROW())&amp;IF(Changed!$G186&gt;Base!$G186,"↑",IF(Changed!$G186&lt;Base!$G186," ↓",""))</f>
        <v>680</v>
      </c>
      <c r="H186" s="7" t="str" cm="1">
        <f t="array" ref="H186">INDEX(Changed!$H:$H,ROW())&amp;IF(Changed!$H186&gt;Base!$H186,"↑",IF(Changed!$H186&lt;Base!$H186," ↓",""))</f>
        <v>106</v>
      </c>
      <c r="I186" s="7" t="str" cm="1">
        <f t="array" ref="I186">INDEX(Changed!$I:$I,ROW())&amp;IF(Changed!$I186&gt;Base!$I186,"↑",IF(Changed!$I186&lt;Base!$I186," ↓",""))</f>
        <v>110</v>
      </c>
      <c r="J186" s="7" t="str" cm="1">
        <f t="array" ref="J186">INDEX(Changed!$J:$J,ROW())&amp;IF(Changed!$J186&gt;Base!$J186,"↑",IF(Changed!$J186&lt;Base!$J186," ↓",""))</f>
        <v>90</v>
      </c>
      <c r="K186" s="7" t="str" cm="1">
        <f t="array" ref="K186">INDEX(Changed!$K:$K,ROW())&amp;IF(Changed!$K186&gt;Base!$K186,"↑",IF(Changed!$K186&lt;Base!$K186," ↓",""))</f>
        <v>154</v>
      </c>
      <c r="L186" s="7" t="str" cm="1">
        <f t="array" ref="L186">INDEX(Changed!$L:$L,ROW())&amp;IF(Changed!$L186&gt;Base!$L186,"↑",IF(Changed!$L186&lt;Base!$L186," ↓",""))</f>
        <v>90</v>
      </c>
      <c r="M186" s="7" t="str" cm="1">
        <f t="array" ref="M186">INDEX(Changed!$M:$M,ROW())&amp;IF(Changed!$M186&gt;Base!$M186,"↑",IF(Changed!$M186&lt;Base!$M186," ↓",""))</f>
        <v>130</v>
      </c>
      <c r="N186" s="19">
        <f>Changed!G186-Base!G186</f>
        <v>0</v>
      </c>
    </row>
    <row r="187" spans="1:15" ht="15.75" customHeight="1" x14ac:dyDescent="0.2">
      <c r="A187" s="4">
        <v>186</v>
      </c>
      <c r="B187" s="5" t="s">
        <v>185</v>
      </c>
      <c r="C187" s="6" t="str">
        <f>IF(Changed!C187&lt;&gt;"", Changed!C187, "")</f>
        <v>Psychic</v>
      </c>
      <c r="D187" s="6" t="str">
        <f>IF(Changed!D187&lt;&gt;"", Changed!D187, "")</f>
        <v/>
      </c>
      <c r="E187" s="6" t="str">
        <f>IF(Changed!E187&lt;&gt;"", Changed!E187, "")</f>
        <v xml:space="preserve">Synchronize </v>
      </c>
      <c r="F187" s="6" t="str">
        <f>IF(Changed!F187&lt;&gt;"", Changed!F187, "")</f>
        <v/>
      </c>
      <c r="G187" s="7" t="str" cm="1">
        <f t="array" ref="G187">INDEX(Changed!$G:$G,ROW())&amp;IF(Changed!$G187&gt;Base!$G187,"↑",IF(Changed!$G187&lt;Base!$G187," ↓",""))</f>
        <v>600</v>
      </c>
      <c r="H187" s="7" t="str" cm="1">
        <f t="array" ref="H187">INDEX(Changed!$H:$H,ROW())&amp;IF(Changed!$H187&gt;Base!$H187,"↑",IF(Changed!$H187&lt;Base!$H187," ↓",""))</f>
        <v>100</v>
      </c>
      <c r="I187" s="7" t="str" cm="1">
        <f t="array" ref="I187">INDEX(Changed!$I:$I,ROW())&amp;IF(Changed!$I187&gt;Base!$I187,"↑",IF(Changed!$I187&lt;Base!$I187," ↓",""))</f>
        <v>100</v>
      </c>
      <c r="J187" s="7" t="str" cm="1">
        <f t="array" ref="J187">INDEX(Changed!$J:$J,ROW())&amp;IF(Changed!$J187&gt;Base!$J187,"↑",IF(Changed!$J187&lt;Base!$J187," ↓",""))</f>
        <v>100</v>
      </c>
      <c r="K187" s="7" t="str" cm="1">
        <f t="array" ref="K187">INDEX(Changed!$K:$K,ROW())&amp;IF(Changed!$K187&gt;Base!$K187,"↑",IF(Changed!$K187&lt;Base!$K187," ↓",""))</f>
        <v>100</v>
      </c>
      <c r="L187" s="7" t="str" cm="1">
        <f t="array" ref="L187">INDEX(Changed!$L:$L,ROW())&amp;IF(Changed!$L187&gt;Base!$L187,"↑",IF(Changed!$L187&lt;Base!$L187," ↓",""))</f>
        <v>100</v>
      </c>
      <c r="M187" s="7" t="str" cm="1">
        <f t="array" ref="M187">INDEX(Changed!$M:$M,ROW())&amp;IF(Changed!$M187&gt;Base!$M187,"↑",IF(Changed!$M187&lt;Base!$M187," ↓",""))</f>
        <v>100</v>
      </c>
      <c r="N187" s="19">
        <f>Changed!G187-Base!G187</f>
        <v>0</v>
      </c>
    </row>
    <row r="188" spans="1:15" ht="15.75" customHeight="1" x14ac:dyDescent="0.2">
      <c r="A188" s="4">
        <v>187</v>
      </c>
      <c r="B188" s="5" t="s">
        <v>186</v>
      </c>
      <c r="C188" s="6" t="str">
        <f>IF(Changed!C188&lt;&gt;"", Changed!C188, "")</f>
        <v>Grass</v>
      </c>
      <c r="D188" s="6" t="str">
        <f>IF(Changed!D188&lt;&gt;"", Changed!D188, "")</f>
        <v/>
      </c>
      <c r="E188" s="6" t="str">
        <f>IF(Changed!E188&lt;&gt;"", Changed!E188, "")</f>
        <v>Overgrow</v>
      </c>
      <c r="F188" s="6" t="str">
        <f>IF(Changed!F188&lt;&gt;"", Changed!F188, "")</f>
        <v>Filter</v>
      </c>
      <c r="G188" s="7" t="str" cm="1">
        <f t="array" ref="G188">INDEX(Changed!$G:$G,ROW())&amp;IF(Changed!$G188&gt;Base!$G188,"↑",IF(Changed!$G188&lt;Base!$G188," ↓",""))</f>
        <v>318</v>
      </c>
      <c r="H188" s="7" t="str" cm="1">
        <f t="array" ref="H188">INDEX(Changed!$H:$H,ROW())&amp;IF(Changed!$H188&gt;Base!$H188,"↑",IF(Changed!$H188&lt;Base!$H188," ↓",""))</f>
        <v>45</v>
      </c>
      <c r="I188" s="7" t="str" cm="1">
        <f t="array" ref="I188">INDEX(Changed!$I:$I,ROW())&amp;IF(Changed!$I188&gt;Base!$I188,"↑",IF(Changed!$I188&lt;Base!$I188," ↓",""))</f>
        <v>49</v>
      </c>
      <c r="J188" s="7" t="str" cm="1">
        <f t="array" ref="J188">INDEX(Changed!$J:$J,ROW())&amp;IF(Changed!$J188&gt;Base!$J188,"↑",IF(Changed!$J188&lt;Base!$J188," ↓",""))</f>
        <v>65</v>
      </c>
      <c r="K188" s="7" t="str" cm="1">
        <f t="array" ref="K188">INDEX(Changed!$K:$K,ROW())&amp;IF(Changed!$K188&gt;Base!$K188,"↑",IF(Changed!$K188&lt;Base!$K188," ↓",""))</f>
        <v>49</v>
      </c>
      <c r="L188" s="7" t="str" cm="1">
        <f t="array" ref="L188">INDEX(Changed!$L:$L,ROW())&amp;IF(Changed!$L188&gt;Base!$L188,"↑",IF(Changed!$L188&lt;Base!$L188," ↓",""))</f>
        <v>65</v>
      </c>
      <c r="M188" s="7" t="str" cm="1">
        <f t="array" ref="M188">INDEX(Changed!$M:$M,ROW())&amp;IF(Changed!$M188&gt;Base!$M188,"↑",IF(Changed!$M188&lt;Base!$M188," ↓",""))</f>
        <v>45</v>
      </c>
      <c r="N188" s="19">
        <f>Changed!G188-Base!G188</f>
        <v>0</v>
      </c>
    </row>
    <row r="189" spans="1:15" ht="15.75" customHeight="1" x14ac:dyDescent="0.2">
      <c r="A189" s="4">
        <v>188</v>
      </c>
      <c r="B189" s="5" t="s">
        <v>187</v>
      </c>
      <c r="C189" s="6" t="str">
        <f>IF(Changed!C189&lt;&gt;"", Changed!C189, "")</f>
        <v>Grass</v>
      </c>
      <c r="D189" s="6" t="str">
        <f>IF(Changed!D189&lt;&gt;"", Changed!D189, "")</f>
        <v/>
      </c>
      <c r="E189" s="6" t="str">
        <f>IF(Changed!E189&lt;&gt;"", Changed!E189, "")</f>
        <v>Overgrow</v>
      </c>
      <c r="F189" s="6" t="str">
        <f>IF(Changed!F189&lt;&gt;"", Changed!F189, "")</f>
        <v>Filter</v>
      </c>
      <c r="G189" s="7" t="str" cm="1">
        <f t="array" ref="G189">INDEX(Changed!$G:$G,ROW())&amp;IF(Changed!$G189&gt;Base!$G189,"↑",IF(Changed!$G189&lt;Base!$G189," ↓",""))</f>
        <v>405</v>
      </c>
      <c r="H189" s="7" t="str" cm="1">
        <f t="array" ref="H189">INDEX(Changed!$H:$H,ROW())&amp;IF(Changed!$H189&gt;Base!$H189,"↑",IF(Changed!$H189&lt;Base!$H189," ↓",""))</f>
        <v>60</v>
      </c>
      <c r="I189" s="7" t="str" cm="1">
        <f t="array" ref="I189">INDEX(Changed!$I:$I,ROW())&amp;IF(Changed!$I189&gt;Base!$I189,"↑",IF(Changed!$I189&lt;Base!$I189," ↓",""))</f>
        <v>62</v>
      </c>
      <c r="J189" s="7" t="str" cm="1">
        <f t="array" ref="J189">INDEX(Changed!$J:$J,ROW())&amp;IF(Changed!$J189&gt;Base!$J189,"↑",IF(Changed!$J189&lt;Base!$J189," ↓",""))</f>
        <v>80</v>
      </c>
      <c r="K189" s="7" t="str" cm="1">
        <f t="array" ref="K189">INDEX(Changed!$K:$K,ROW())&amp;IF(Changed!$K189&gt;Base!$K189,"↑",IF(Changed!$K189&lt;Base!$K189," ↓",""))</f>
        <v>63</v>
      </c>
      <c r="L189" s="7" t="str" cm="1">
        <f t="array" ref="L189">INDEX(Changed!$L:$L,ROW())&amp;IF(Changed!$L189&gt;Base!$L189,"↑",IF(Changed!$L189&lt;Base!$L189," ↓",""))</f>
        <v>80</v>
      </c>
      <c r="M189" s="7" t="str" cm="1">
        <f t="array" ref="M189">INDEX(Changed!$M:$M,ROW())&amp;IF(Changed!$M189&gt;Base!$M189,"↑",IF(Changed!$M189&lt;Base!$M189," ↓",""))</f>
        <v>60</v>
      </c>
      <c r="N189" s="19">
        <f>Changed!G189-Base!G189</f>
        <v>0</v>
      </c>
    </row>
    <row r="190" spans="1:15" ht="15.75" customHeight="1" x14ac:dyDescent="0.2">
      <c r="A190" s="4">
        <v>189</v>
      </c>
      <c r="B190" s="5" t="s">
        <v>188</v>
      </c>
      <c r="C190" s="6" t="str">
        <f>IF(Changed!C190&lt;&gt;"", Changed!C190, "")</f>
        <v>Grass</v>
      </c>
      <c r="D190" s="6" t="str">
        <f>IF(Changed!D190&lt;&gt;"", Changed!D190, "")</f>
        <v/>
      </c>
      <c r="E190" s="6" t="str">
        <f>IF(Changed!E190&lt;&gt;"", Changed!E190, "")</f>
        <v>Overgrow</v>
      </c>
      <c r="F190" s="6" t="str">
        <f>IF(Changed!F190&lt;&gt;"", Changed!F190, "")</f>
        <v>Filter</v>
      </c>
      <c r="G190" s="7" t="str" cm="1">
        <f t="array" ref="G190">INDEX(Changed!$G:$G,ROW())&amp;IF(Changed!$G190&gt;Base!$G190,"↑",IF(Changed!$G190&lt;Base!$G190," ↓",""))</f>
        <v>535↑</v>
      </c>
      <c r="H190" s="7" t="str" cm="1">
        <f t="array" ref="H190">INDEX(Changed!$H:$H,ROW())&amp;IF(Changed!$H190&gt;Base!$H190,"↑",IF(Changed!$H190&lt;Base!$H190," ↓",""))</f>
        <v>80</v>
      </c>
      <c r="I190" s="7" t="str" cm="1">
        <f t="array" ref="I190">INDEX(Changed!$I:$I,ROW())&amp;IF(Changed!$I190&gt;Base!$I190,"↑",IF(Changed!$I190&lt;Base!$I190," ↓",""))</f>
        <v>92↑</v>
      </c>
      <c r="J190" s="7" t="str" cm="1">
        <f t="array" ref="J190">INDEX(Changed!$J:$J,ROW())&amp;IF(Changed!$J190&gt;Base!$J190,"↑",IF(Changed!$J190&lt;Base!$J190," ↓",""))</f>
        <v>100</v>
      </c>
      <c r="K190" s="7" t="str" cm="1">
        <f t="array" ref="K190">INDEX(Changed!$K:$K,ROW())&amp;IF(Changed!$K190&gt;Base!$K190,"↑",IF(Changed!$K190&lt;Base!$K190," ↓",""))</f>
        <v>93↑</v>
      </c>
      <c r="L190" s="7" t="str" cm="1">
        <f t="array" ref="L190">INDEX(Changed!$L:$L,ROW())&amp;IF(Changed!$L190&gt;Base!$L190,"↑",IF(Changed!$L190&lt;Base!$L190," ↓",""))</f>
        <v>100</v>
      </c>
      <c r="M190" s="7" t="str" cm="1">
        <f t="array" ref="M190">INDEX(Changed!$M:$M,ROW())&amp;IF(Changed!$M190&gt;Base!$M190,"↑",IF(Changed!$M190&lt;Base!$M190," ↓",""))</f>
        <v>70 ↓</v>
      </c>
      <c r="N190" s="19">
        <f>Changed!G190-Base!G190</f>
        <v>10</v>
      </c>
    </row>
    <row r="191" spans="1:15" ht="15.75" customHeight="1" x14ac:dyDescent="0.2">
      <c r="A191" s="4">
        <v>190</v>
      </c>
      <c r="B191" s="5" t="s">
        <v>189</v>
      </c>
      <c r="C191" s="6" t="str">
        <f>IF(Changed!C191&lt;&gt;"", Changed!C191, "")</f>
        <v>Fire</v>
      </c>
      <c r="D191" s="6" t="str">
        <f>IF(Changed!D191&lt;&gt;"", Changed!D191, "")</f>
        <v/>
      </c>
      <c r="E191" s="6" t="str">
        <f>IF(Changed!E191&lt;&gt;"", Changed!E191, "")</f>
        <v>Blaze</v>
      </c>
      <c r="F191" s="6" t="str">
        <f>IF(Changed!F191&lt;&gt;"", Changed!F191, "")</f>
        <v>Sheer Force</v>
      </c>
      <c r="G191" s="7" t="str" cm="1">
        <f t="array" ref="G191">INDEX(Changed!$G:$G,ROW())&amp;IF(Changed!$G191&gt;Base!$G191,"↑",IF(Changed!$G191&lt;Base!$G191," ↓",""))</f>
        <v>309</v>
      </c>
      <c r="H191" s="7" t="str" cm="1">
        <f t="array" ref="H191">INDEX(Changed!$H:$H,ROW())&amp;IF(Changed!$H191&gt;Base!$H191,"↑",IF(Changed!$H191&lt;Base!$H191," ↓",""))</f>
        <v>39</v>
      </c>
      <c r="I191" s="7" t="str" cm="1">
        <f t="array" ref="I191">INDEX(Changed!$I:$I,ROW())&amp;IF(Changed!$I191&gt;Base!$I191,"↑",IF(Changed!$I191&lt;Base!$I191," ↓",""))</f>
        <v>52</v>
      </c>
      <c r="J191" s="7" t="str" cm="1">
        <f t="array" ref="J191">INDEX(Changed!$J:$J,ROW())&amp;IF(Changed!$J191&gt;Base!$J191,"↑",IF(Changed!$J191&lt;Base!$J191," ↓",""))</f>
        <v>43</v>
      </c>
      <c r="K191" s="7" t="str" cm="1">
        <f t="array" ref="K191">INDEX(Changed!$K:$K,ROW())&amp;IF(Changed!$K191&gt;Base!$K191,"↑",IF(Changed!$K191&lt;Base!$K191," ↓",""))</f>
        <v>60</v>
      </c>
      <c r="L191" s="7" t="str" cm="1">
        <f t="array" ref="L191">INDEX(Changed!$L:$L,ROW())&amp;IF(Changed!$L191&gt;Base!$L191,"↑",IF(Changed!$L191&lt;Base!$L191," ↓",""))</f>
        <v>50</v>
      </c>
      <c r="M191" s="7" t="str" cm="1">
        <f t="array" ref="M191">INDEX(Changed!$M:$M,ROW())&amp;IF(Changed!$M191&gt;Base!$M191,"↑",IF(Changed!$M191&lt;Base!$M191," ↓",""))</f>
        <v>65</v>
      </c>
      <c r="N191" s="19">
        <f>Changed!G191-Base!G191</f>
        <v>0</v>
      </c>
    </row>
    <row r="192" spans="1:15" ht="15.75" customHeight="1" x14ac:dyDescent="0.2">
      <c r="A192" s="4">
        <v>191</v>
      </c>
      <c r="B192" s="5" t="s">
        <v>190</v>
      </c>
      <c r="C192" s="6" t="str">
        <f>IF(Changed!C192&lt;&gt;"", Changed!C192, "")</f>
        <v>Fire</v>
      </c>
      <c r="D192" s="6" t="str">
        <f>IF(Changed!D192&lt;&gt;"", Changed!D192, "")</f>
        <v/>
      </c>
      <c r="E192" s="6" t="str">
        <f>IF(Changed!E192&lt;&gt;"", Changed!E192, "")</f>
        <v>Blaze</v>
      </c>
      <c r="F192" s="6" t="str">
        <f>IF(Changed!F192&lt;&gt;"", Changed!F192, "")</f>
        <v>Sheer Force</v>
      </c>
      <c r="G192" s="7" t="str" cm="1">
        <f t="array" ref="G192">INDEX(Changed!$G:$G,ROW())&amp;IF(Changed!$G192&gt;Base!$G192,"↑",IF(Changed!$G192&lt;Base!$G192," ↓",""))</f>
        <v>405</v>
      </c>
      <c r="H192" s="7" t="str" cm="1">
        <f t="array" ref="H192">INDEX(Changed!$H:$H,ROW())&amp;IF(Changed!$H192&gt;Base!$H192,"↑",IF(Changed!$H192&lt;Base!$H192," ↓",""))</f>
        <v>58</v>
      </c>
      <c r="I192" s="7" t="str" cm="1">
        <f t="array" ref="I192">INDEX(Changed!$I:$I,ROW())&amp;IF(Changed!$I192&gt;Base!$I192,"↑",IF(Changed!$I192&lt;Base!$I192," ↓",""))</f>
        <v>64</v>
      </c>
      <c r="J192" s="7" t="str" cm="1">
        <f t="array" ref="J192">INDEX(Changed!$J:$J,ROW())&amp;IF(Changed!$J192&gt;Base!$J192,"↑",IF(Changed!$J192&lt;Base!$J192," ↓",""))</f>
        <v>58</v>
      </c>
      <c r="K192" s="7" t="str" cm="1">
        <f t="array" ref="K192">INDEX(Changed!$K:$K,ROW())&amp;IF(Changed!$K192&gt;Base!$K192,"↑",IF(Changed!$K192&lt;Base!$K192," ↓",""))</f>
        <v>80</v>
      </c>
      <c r="L192" s="7" t="str" cm="1">
        <f t="array" ref="L192">INDEX(Changed!$L:$L,ROW())&amp;IF(Changed!$L192&gt;Base!$L192,"↑",IF(Changed!$L192&lt;Base!$L192," ↓",""))</f>
        <v>65</v>
      </c>
      <c r="M192" s="7" t="str" cm="1">
        <f t="array" ref="M192">INDEX(Changed!$M:$M,ROW())&amp;IF(Changed!$M192&gt;Base!$M192,"↑",IF(Changed!$M192&lt;Base!$M192," ↓",""))</f>
        <v>80</v>
      </c>
      <c r="N192" s="19">
        <f>Changed!G192-Base!G192</f>
        <v>0</v>
      </c>
    </row>
    <row r="193" spans="1:14" ht="15.75" customHeight="1" x14ac:dyDescent="0.2">
      <c r="A193" s="4">
        <v>192</v>
      </c>
      <c r="B193" s="5" t="s">
        <v>191</v>
      </c>
      <c r="C193" s="6" t="str">
        <f>IF(Changed!C193&lt;&gt;"", Changed!C193, "")</f>
        <v>Fire</v>
      </c>
      <c r="D193" s="6" t="str">
        <f>IF(Changed!D193&lt;&gt;"", Changed!D193, "")</f>
        <v/>
      </c>
      <c r="E193" s="6" t="str">
        <f>IF(Changed!E193&lt;&gt;"", Changed!E193, "")</f>
        <v>Blaze</v>
      </c>
      <c r="F193" s="6" t="str">
        <f>IF(Changed!F193&lt;&gt;"", Changed!F193, "")</f>
        <v>Sheer Force</v>
      </c>
      <c r="G193" s="7" t="str" cm="1">
        <f t="array" ref="G193">INDEX(Changed!$G:$G,ROW())&amp;IF(Changed!$G193&gt;Base!$G193,"↑",IF(Changed!$G193&lt;Base!$G193," ↓",""))</f>
        <v>534</v>
      </c>
      <c r="H193" s="7" t="str" cm="1">
        <f t="array" ref="H193">INDEX(Changed!$H:$H,ROW())&amp;IF(Changed!$H193&gt;Base!$H193,"↑",IF(Changed!$H193&lt;Base!$H193," ↓",""))</f>
        <v>78</v>
      </c>
      <c r="I193" s="7" t="str" cm="1">
        <f t="array" ref="I193">INDEX(Changed!$I:$I,ROW())&amp;IF(Changed!$I193&gt;Base!$I193,"↑",IF(Changed!$I193&lt;Base!$I193," ↓",""))</f>
        <v>84</v>
      </c>
      <c r="J193" s="7" t="str" cm="1">
        <f t="array" ref="J193">INDEX(Changed!$J:$J,ROW())&amp;IF(Changed!$J193&gt;Base!$J193,"↑",IF(Changed!$J193&lt;Base!$J193," ↓",""))</f>
        <v>78</v>
      </c>
      <c r="K193" s="7" t="str" cm="1">
        <f t="array" ref="K193">INDEX(Changed!$K:$K,ROW())&amp;IF(Changed!$K193&gt;Base!$K193,"↑",IF(Changed!$K193&lt;Base!$K193," ↓",""))</f>
        <v>109</v>
      </c>
      <c r="L193" s="7" t="str" cm="1">
        <f t="array" ref="L193">INDEX(Changed!$L:$L,ROW())&amp;IF(Changed!$L193&gt;Base!$L193,"↑",IF(Changed!$L193&lt;Base!$L193," ↓",""))</f>
        <v>85</v>
      </c>
      <c r="M193" s="7" t="str" cm="1">
        <f t="array" ref="M193">INDEX(Changed!$M:$M,ROW())&amp;IF(Changed!$M193&gt;Base!$M193,"↑",IF(Changed!$M193&lt;Base!$M193," ↓",""))</f>
        <v>100</v>
      </c>
      <c r="N193" s="19">
        <f>Changed!G193-Base!G193</f>
        <v>0</v>
      </c>
    </row>
    <row r="194" spans="1:14" ht="15.75" customHeight="1" x14ac:dyDescent="0.2">
      <c r="A194" s="4">
        <v>193</v>
      </c>
      <c r="B194" s="5" t="s">
        <v>192</v>
      </c>
      <c r="C194" s="6" t="str">
        <f>IF(Changed!C194&lt;&gt;"", Changed!C194, "")</f>
        <v>Water</v>
      </c>
      <c r="D194" s="6" t="str">
        <f>IF(Changed!D194&lt;&gt;"", Changed!D194, "")</f>
        <v/>
      </c>
      <c r="E194" s="6" t="str">
        <f>IF(Changed!E194&lt;&gt;"", Changed!E194, "")</f>
        <v>Torrent</v>
      </c>
      <c r="F194" s="6" t="str">
        <f>IF(Changed!F194&lt;&gt;"", Changed!F194, "")</f>
        <v>Strong Jaw</v>
      </c>
      <c r="G194" s="7" t="str" cm="1">
        <f t="array" ref="G194">INDEX(Changed!$G:$G,ROW())&amp;IF(Changed!$G194&gt;Base!$G194,"↑",IF(Changed!$G194&lt;Base!$G194," ↓",""))</f>
        <v>314</v>
      </c>
      <c r="H194" s="7" t="str" cm="1">
        <f t="array" ref="H194">INDEX(Changed!$H:$H,ROW())&amp;IF(Changed!$H194&gt;Base!$H194,"↑",IF(Changed!$H194&lt;Base!$H194," ↓",""))</f>
        <v>50</v>
      </c>
      <c r="I194" s="7" t="str" cm="1">
        <f t="array" ref="I194">INDEX(Changed!$I:$I,ROW())&amp;IF(Changed!$I194&gt;Base!$I194,"↑",IF(Changed!$I194&lt;Base!$I194," ↓",""))</f>
        <v>65</v>
      </c>
      <c r="J194" s="7" t="str" cm="1">
        <f t="array" ref="J194">INDEX(Changed!$J:$J,ROW())&amp;IF(Changed!$J194&gt;Base!$J194,"↑",IF(Changed!$J194&lt;Base!$J194," ↓",""))</f>
        <v>64</v>
      </c>
      <c r="K194" s="7" t="str" cm="1">
        <f t="array" ref="K194">INDEX(Changed!$K:$K,ROW())&amp;IF(Changed!$K194&gt;Base!$K194,"↑",IF(Changed!$K194&lt;Base!$K194," ↓",""))</f>
        <v>44</v>
      </c>
      <c r="L194" s="7" t="str" cm="1">
        <f t="array" ref="L194">INDEX(Changed!$L:$L,ROW())&amp;IF(Changed!$L194&gt;Base!$L194,"↑",IF(Changed!$L194&lt;Base!$L194," ↓",""))</f>
        <v>48</v>
      </c>
      <c r="M194" s="7" t="str" cm="1">
        <f t="array" ref="M194">INDEX(Changed!$M:$M,ROW())&amp;IF(Changed!$M194&gt;Base!$M194,"↑",IF(Changed!$M194&lt;Base!$M194," ↓",""))</f>
        <v>43</v>
      </c>
      <c r="N194" s="19">
        <f>Changed!G194-Base!G194</f>
        <v>0</v>
      </c>
    </row>
    <row r="195" spans="1:14" ht="15.75" customHeight="1" x14ac:dyDescent="0.2">
      <c r="A195" s="4">
        <v>194</v>
      </c>
      <c r="B195" s="5" t="s">
        <v>193</v>
      </c>
      <c r="C195" s="6" t="str">
        <f>IF(Changed!C195&lt;&gt;"", Changed!C195, "")</f>
        <v>Water</v>
      </c>
      <c r="D195" s="6" t="str">
        <f>IF(Changed!D195&lt;&gt;"", Changed!D195, "")</f>
        <v/>
      </c>
      <c r="E195" s="6" t="str">
        <f>IF(Changed!E195&lt;&gt;"", Changed!E195, "")</f>
        <v>Torrent</v>
      </c>
      <c r="F195" s="6" t="str">
        <f>IF(Changed!F195&lt;&gt;"", Changed!F195, "")</f>
        <v>Strong Jaw</v>
      </c>
      <c r="G195" s="7" t="str" cm="1">
        <f t="array" ref="G195">INDEX(Changed!$G:$G,ROW())&amp;IF(Changed!$G195&gt;Base!$G195,"↑",IF(Changed!$G195&lt;Base!$G195," ↓",""))</f>
        <v>405</v>
      </c>
      <c r="H195" s="7" t="str" cm="1">
        <f t="array" ref="H195">INDEX(Changed!$H:$H,ROW())&amp;IF(Changed!$H195&gt;Base!$H195,"↑",IF(Changed!$H195&lt;Base!$H195," ↓",""))</f>
        <v>65</v>
      </c>
      <c r="I195" s="7" t="str" cm="1">
        <f t="array" ref="I195">INDEX(Changed!$I:$I,ROW())&amp;IF(Changed!$I195&gt;Base!$I195,"↑",IF(Changed!$I195&lt;Base!$I195," ↓",""))</f>
        <v>80</v>
      </c>
      <c r="J195" s="7" t="str" cm="1">
        <f t="array" ref="J195">INDEX(Changed!$J:$J,ROW())&amp;IF(Changed!$J195&gt;Base!$J195,"↑",IF(Changed!$J195&lt;Base!$J195," ↓",""))</f>
        <v>80</v>
      </c>
      <c r="K195" s="7" t="str" cm="1">
        <f t="array" ref="K195">INDEX(Changed!$K:$K,ROW())&amp;IF(Changed!$K195&gt;Base!$K195,"↑",IF(Changed!$K195&lt;Base!$K195," ↓",""))</f>
        <v>59</v>
      </c>
      <c r="L195" s="7" t="str" cm="1">
        <f t="array" ref="L195">INDEX(Changed!$L:$L,ROW())&amp;IF(Changed!$L195&gt;Base!$L195,"↑",IF(Changed!$L195&lt;Base!$L195," ↓",""))</f>
        <v>63</v>
      </c>
      <c r="M195" s="7" t="str" cm="1">
        <f t="array" ref="M195">INDEX(Changed!$M:$M,ROW())&amp;IF(Changed!$M195&gt;Base!$M195,"↑",IF(Changed!$M195&lt;Base!$M195," ↓",""))</f>
        <v>58</v>
      </c>
      <c r="N195" s="19">
        <f>Changed!G195-Base!G195</f>
        <v>0</v>
      </c>
    </row>
    <row r="196" spans="1:14" ht="15.75" customHeight="1" x14ac:dyDescent="0.2">
      <c r="A196" s="4">
        <v>195</v>
      </c>
      <c r="B196" s="5" t="s">
        <v>194</v>
      </c>
      <c r="C196" s="6" t="str">
        <f>IF(Changed!C196&lt;&gt;"", Changed!C196, "")</f>
        <v>Water</v>
      </c>
      <c r="D196" s="6" t="str">
        <f>IF(Changed!D196&lt;&gt;"", Changed!D196, "")</f>
        <v/>
      </c>
      <c r="E196" s="6" t="str">
        <f>IF(Changed!E196&lt;&gt;"", Changed!E196, "")</f>
        <v>Torrent</v>
      </c>
      <c r="F196" s="6" t="str">
        <f>IF(Changed!F196&lt;&gt;"", Changed!F196, "")</f>
        <v>Strong Jaw</v>
      </c>
      <c r="G196" s="7" t="str" cm="1">
        <f t="array" ref="G196">INDEX(Changed!$G:$G,ROW())&amp;IF(Changed!$G196&gt;Base!$G196,"↑",IF(Changed!$G196&lt;Base!$G196," ↓",""))</f>
        <v>530</v>
      </c>
      <c r="H196" s="7" t="str" cm="1">
        <f t="array" ref="H196">INDEX(Changed!$H:$H,ROW())&amp;IF(Changed!$H196&gt;Base!$H196,"↑",IF(Changed!$H196&lt;Base!$H196," ↓",""))</f>
        <v>85</v>
      </c>
      <c r="I196" s="7" t="str" cm="1">
        <f t="array" ref="I196">INDEX(Changed!$I:$I,ROW())&amp;IF(Changed!$I196&gt;Base!$I196,"↑",IF(Changed!$I196&lt;Base!$I196," ↓",""))</f>
        <v>105</v>
      </c>
      <c r="J196" s="7" t="str" cm="1">
        <f t="array" ref="J196">INDEX(Changed!$J:$J,ROW())&amp;IF(Changed!$J196&gt;Base!$J196,"↑",IF(Changed!$J196&lt;Base!$J196," ↓",""))</f>
        <v>100</v>
      </c>
      <c r="K196" s="7" t="str" cm="1">
        <f t="array" ref="K196">INDEX(Changed!$K:$K,ROW())&amp;IF(Changed!$K196&gt;Base!$K196,"↑",IF(Changed!$K196&lt;Base!$K196," ↓",""))</f>
        <v>79</v>
      </c>
      <c r="L196" s="7" t="str" cm="1">
        <f t="array" ref="L196">INDEX(Changed!$L:$L,ROW())&amp;IF(Changed!$L196&gt;Base!$L196,"↑",IF(Changed!$L196&lt;Base!$L196," ↓",""))</f>
        <v>83</v>
      </c>
      <c r="M196" s="7" t="str" cm="1">
        <f t="array" ref="M196">INDEX(Changed!$M:$M,ROW())&amp;IF(Changed!$M196&gt;Base!$M196,"↑",IF(Changed!$M196&lt;Base!$M196," ↓",""))</f>
        <v>78</v>
      </c>
      <c r="N196" s="19">
        <f>Changed!G196-Base!G196</f>
        <v>0</v>
      </c>
    </row>
    <row r="197" spans="1:14" ht="15.75" customHeight="1" x14ac:dyDescent="0.2">
      <c r="A197" s="4">
        <v>196</v>
      </c>
      <c r="B197" s="5" t="s">
        <v>195</v>
      </c>
      <c r="C197" s="6" t="str">
        <f>IF(Changed!C197&lt;&gt;"", Changed!C197, "")</f>
        <v>Normal</v>
      </c>
      <c r="D197" s="6" t="str">
        <f>IF(Changed!D197&lt;&gt;"", Changed!D197, "")</f>
        <v/>
      </c>
      <c r="E197" s="6" t="str">
        <f>IF(Changed!E197&lt;&gt;"", Changed!E197, "")</f>
        <v>Run Away</v>
      </c>
      <c r="F197" s="6" t="str">
        <f>IF(Changed!F197&lt;&gt;"", Changed!F197, "")</f>
        <v>Keen Eye</v>
      </c>
      <c r="G197" s="7" t="str" cm="1">
        <f t="array" ref="G197">INDEX(Changed!$G:$G,ROW())&amp;IF(Changed!$G197&gt;Base!$G197,"↑",IF(Changed!$G197&lt;Base!$G197," ↓",""))</f>
        <v>215</v>
      </c>
      <c r="H197" s="7" t="str" cm="1">
        <f t="array" ref="H197">INDEX(Changed!$H:$H,ROW())&amp;IF(Changed!$H197&gt;Base!$H197,"↑",IF(Changed!$H197&lt;Base!$H197," ↓",""))</f>
        <v>35</v>
      </c>
      <c r="I197" s="7" t="str" cm="1">
        <f t="array" ref="I197">INDEX(Changed!$I:$I,ROW())&amp;IF(Changed!$I197&gt;Base!$I197,"↑",IF(Changed!$I197&lt;Base!$I197," ↓",""))</f>
        <v>46</v>
      </c>
      <c r="J197" s="7" t="str" cm="1">
        <f t="array" ref="J197">INDEX(Changed!$J:$J,ROW())&amp;IF(Changed!$J197&gt;Base!$J197,"↑",IF(Changed!$J197&lt;Base!$J197," ↓",""))</f>
        <v>34</v>
      </c>
      <c r="K197" s="7" t="str" cm="1">
        <f t="array" ref="K197">INDEX(Changed!$K:$K,ROW())&amp;IF(Changed!$K197&gt;Base!$K197,"↑",IF(Changed!$K197&lt;Base!$K197," ↓",""))</f>
        <v>35</v>
      </c>
      <c r="L197" s="7" t="str" cm="1">
        <f t="array" ref="L197">INDEX(Changed!$L:$L,ROW())&amp;IF(Changed!$L197&gt;Base!$L197,"↑",IF(Changed!$L197&lt;Base!$L197," ↓",""))</f>
        <v>45</v>
      </c>
      <c r="M197" s="7" t="str" cm="1">
        <f t="array" ref="M197">INDEX(Changed!$M:$M,ROW())&amp;IF(Changed!$M197&gt;Base!$M197,"↑",IF(Changed!$M197&lt;Base!$M197," ↓",""))</f>
        <v>20</v>
      </c>
      <c r="N197" s="19">
        <f>Changed!G197-Base!G197</f>
        <v>0</v>
      </c>
    </row>
    <row r="198" spans="1:14" ht="15.75" customHeight="1" x14ac:dyDescent="0.2">
      <c r="A198" s="4">
        <v>197</v>
      </c>
      <c r="B198" s="5" t="s">
        <v>196</v>
      </c>
      <c r="C198" s="6" t="str">
        <f>IF(Changed!C198&lt;&gt;"", Changed!C198, "")</f>
        <v>Normal</v>
      </c>
      <c r="D198" s="6" t="str">
        <f>IF(Changed!D198&lt;&gt;"", Changed!D198, "")</f>
        <v/>
      </c>
      <c r="E198" s="6" t="str">
        <f>IF(Changed!E198&lt;&gt;"", Changed!E198, "")</f>
        <v>Run Away</v>
      </c>
      <c r="F198" s="6" t="str">
        <f>IF(Changed!F198&lt;&gt;"", Changed!F198, "")</f>
        <v>Keen Eye</v>
      </c>
      <c r="G198" s="7" t="str" cm="1">
        <f t="array" ref="G198">INDEX(Changed!$G:$G,ROW())&amp;IF(Changed!$G198&gt;Base!$G198,"↑",IF(Changed!$G198&lt;Base!$G198," ↓",""))</f>
        <v>415</v>
      </c>
      <c r="H198" s="7" t="str" cm="1">
        <f t="array" ref="H198">INDEX(Changed!$H:$H,ROW())&amp;IF(Changed!$H198&gt;Base!$H198,"↑",IF(Changed!$H198&lt;Base!$H198," ↓",""))</f>
        <v>85</v>
      </c>
      <c r="I198" s="7" t="str" cm="1">
        <f t="array" ref="I198">INDEX(Changed!$I:$I,ROW())&amp;IF(Changed!$I198&gt;Base!$I198,"↑",IF(Changed!$I198&lt;Base!$I198," ↓",""))</f>
        <v>76</v>
      </c>
      <c r="J198" s="7" t="str" cm="1">
        <f t="array" ref="J198">INDEX(Changed!$J:$J,ROW())&amp;IF(Changed!$J198&gt;Base!$J198,"↑",IF(Changed!$J198&lt;Base!$J198," ↓",""))</f>
        <v>64</v>
      </c>
      <c r="K198" s="7" t="str" cm="1">
        <f t="array" ref="K198">INDEX(Changed!$K:$K,ROW())&amp;IF(Changed!$K198&gt;Base!$K198,"↑",IF(Changed!$K198&lt;Base!$K198," ↓",""))</f>
        <v>45</v>
      </c>
      <c r="L198" s="7" t="str" cm="1">
        <f t="array" ref="L198">INDEX(Changed!$L:$L,ROW())&amp;IF(Changed!$L198&gt;Base!$L198,"↑",IF(Changed!$L198&lt;Base!$L198," ↓",""))</f>
        <v>55</v>
      </c>
      <c r="M198" s="7" t="str" cm="1">
        <f t="array" ref="M198">INDEX(Changed!$M:$M,ROW())&amp;IF(Changed!$M198&gt;Base!$M198,"↑",IF(Changed!$M198&lt;Base!$M198," ↓",""))</f>
        <v>90</v>
      </c>
      <c r="N198" s="19">
        <f>Changed!G198-Base!G198</f>
        <v>0</v>
      </c>
    </row>
    <row r="199" spans="1:14" ht="15.75" customHeight="1" x14ac:dyDescent="0.2">
      <c r="A199" s="4">
        <v>198</v>
      </c>
      <c r="B199" s="5" t="s">
        <v>197</v>
      </c>
      <c r="C199" s="6" t="str">
        <f>IF(Changed!C199&lt;&gt;"", Changed!C199, "")</f>
        <v>Normal</v>
      </c>
      <c r="D199" s="6" t="str">
        <f>IF(Changed!D199&lt;&gt;"", Changed!D199, "")</f>
        <v>Flying</v>
      </c>
      <c r="E199" s="6" t="str">
        <f>IF(Changed!E199&lt;&gt;"", Changed!E199, "")</f>
        <v>Insomnia</v>
      </c>
      <c r="F199" s="6" t="str">
        <f>IF(Changed!F199&lt;&gt;"", Changed!F199, "")</f>
        <v>Mind's Eye</v>
      </c>
      <c r="G199" s="7" t="str" cm="1">
        <f t="array" ref="G199">INDEX(Changed!$G:$G,ROW())&amp;IF(Changed!$G199&gt;Base!$G199,"↑",IF(Changed!$G199&lt;Base!$G199," ↓",""))</f>
        <v>262</v>
      </c>
      <c r="H199" s="7" t="str" cm="1">
        <f t="array" ref="H199">INDEX(Changed!$H:$H,ROW())&amp;IF(Changed!$H199&gt;Base!$H199,"↑",IF(Changed!$H199&lt;Base!$H199," ↓",""))</f>
        <v>60</v>
      </c>
      <c r="I199" s="7" t="str" cm="1">
        <f t="array" ref="I199">INDEX(Changed!$I:$I,ROW())&amp;IF(Changed!$I199&gt;Base!$I199,"↑",IF(Changed!$I199&lt;Base!$I199," ↓",""))</f>
        <v>30</v>
      </c>
      <c r="J199" s="7" t="str" cm="1">
        <f t="array" ref="J199">INDEX(Changed!$J:$J,ROW())&amp;IF(Changed!$J199&gt;Base!$J199,"↑",IF(Changed!$J199&lt;Base!$J199," ↓",""))</f>
        <v>30</v>
      </c>
      <c r="K199" s="7" t="str" cm="1">
        <f t="array" ref="K199">INDEX(Changed!$K:$K,ROW())&amp;IF(Changed!$K199&gt;Base!$K199,"↑",IF(Changed!$K199&lt;Base!$K199," ↓",""))</f>
        <v>36</v>
      </c>
      <c r="L199" s="7" t="str" cm="1">
        <f t="array" ref="L199">INDEX(Changed!$L:$L,ROW())&amp;IF(Changed!$L199&gt;Base!$L199,"↑",IF(Changed!$L199&lt;Base!$L199," ↓",""))</f>
        <v>56</v>
      </c>
      <c r="M199" s="7" t="str" cm="1">
        <f t="array" ref="M199">INDEX(Changed!$M:$M,ROW())&amp;IF(Changed!$M199&gt;Base!$M199,"↑",IF(Changed!$M199&lt;Base!$M199," ↓",""))</f>
        <v>50</v>
      </c>
      <c r="N199" s="19">
        <f>Changed!G199-Base!G199</f>
        <v>0</v>
      </c>
    </row>
    <row r="200" spans="1:14" ht="15.75" customHeight="1" x14ac:dyDescent="0.2">
      <c r="A200" s="4">
        <v>199</v>
      </c>
      <c r="B200" s="5" t="s">
        <v>198</v>
      </c>
      <c r="C200" s="6" t="str">
        <f>IF(Changed!C200&lt;&gt;"", Changed!C200, "")</f>
        <v>Normal</v>
      </c>
      <c r="D200" s="6" t="str">
        <f>IF(Changed!D200&lt;&gt;"", Changed!D200, "")</f>
        <v>Flying</v>
      </c>
      <c r="E200" s="6" t="str">
        <f>IF(Changed!E200&lt;&gt;"", Changed!E200, "")</f>
        <v>Insomnia</v>
      </c>
      <c r="F200" s="6" t="str">
        <f>IF(Changed!F200&lt;&gt;"", Changed!F200, "")</f>
        <v>Mind's Eye</v>
      </c>
      <c r="G200" s="7" t="str" cm="1">
        <f t="array" ref="G200">INDEX(Changed!$G:$G,ROW())&amp;IF(Changed!$G200&gt;Base!$G200,"↑",IF(Changed!$G200&lt;Base!$G200," ↓",""))</f>
        <v>452</v>
      </c>
      <c r="H200" s="7" t="str" cm="1">
        <f t="array" ref="H200">INDEX(Changed!$H:$H,ROW())&amp;IF(Changed!$H200&gt;Base!$H200,"↑",IF(Changed!$H200&lt;Base!$H200," ↓",""))</f>
        <v>100</v>
      </c>
      <c r="I200" s="7" t="str" cm="1">
        <f t="array" ref="I200">INDEX(Changed!$I:$I,ROW())&amp;IF(Changed!$I200&gt;Base!$I200,"↑",IF(Changed!$I200&lt;Base!$I200," ↓",""))</f>
        <v>50</v>
      </c>
      <c r="J200" s="7" t="str" cm="1">
        <f t="array" ref="J200">INDEX(Changed!$J:$J,ROW())&amp;IF(Changed!$J200&gt;Base!$J200,"↑",IF(Changed!$J200&lt;Base!$J200," ↓",""))</f>
        <v>55↑</v>
      </c>
      <c r="K200" s="7" t="str" cm="1">
        <f t="array" ref="K200">INDEX(Changed!$K:$K,ROW())&amp;IF(Changed!$K200&gt;Base!$K200,"↑",IF(Changed!$K200&lt;Base!$K200," ↓",""))</f>
        <v>91↑</v>
      </c>
      <c r="L200" s="7" t="str" cm="1">
        <f t="array" ref="L200">INDEX(Changed!$L:$L,ROW())&amp;IF(Changed!$L200&gt;Base!$L200,"↑",IF(Changed!$L200&lt;Base!$L200," ↓",""))</f>
        <v>96</v>
      </c>
      <c r="M200" s="7" t="str" cm="1">
        <f t="array" ref="M200">INDEX(Changed!$M:$M,ROW())&amp;IF(Changed!$M200&gt;Base!$M200,"↑",IF(Changed!$M200&lt;Base!$M200," ↓",""))</f>
        <v>60 ↓</v>
      </c>
      <c r="N200" s="19">
        <f>Changed!G200-Base!G200</f>
        <v>0</v>
      </c>
    </row>
    <row r="201" spans="1:14" ht="15.75" customHeight="1" x14ac:dyDescent="0.2">
      <c r="A201" s="4">
        <v>200</v>
      </c>
      <c r="B201" s="5" t="s">
        <v>199</v>
      </c>
      <c r="C201" s="6" t="str">
        <f>IF(Changed!C201&lt;&gt;"", Changed!C201, "")</f>
        <v>Bug</v>
      </c>
      <c r="D201" s="6" t="str">
        <f>IF(Changed!D201&lt;&gt;"", Changed!D201, "")</f>
        <v/>
      </c>
      <c r="E201" s="6" t="str">
        <f>IF(Changed!E201&lt;&gt;"", Changed!E201, "")</f>
        <v>Swarm</v>
      </c>
      <c r="F201" s="6" t="str">
        <f>IF(Changed!F201&lt;&gt;"", Changed!F201, "")</f>
        <v>Technician</v>
      </c>
      <c r="G201" s="7" t="str" cm="1">
        <f t="array" ref="G201">INDEX(Changed!$G:$G,ROW())&amp;IF(Changed!$G201&gt;Base!$G201,"↑",IF(Changed!$G201&lt;Base!$G201," ↓",""))</f>
        <v>265</v>
      </c>
      <c r="H201" s="7" t="str" cm="1">
        <f t="array" ref="H201">INDEX(Changed!$H:$H,ROW())&amp;IF(Changed!$H201&gt;Base!$H201,"↑",IF(Changed!$H201&lt;Base!$H201," ↓",""))</f>
        <v>40</v>
      </c>
      <c r="I201" s="7" t="str" cm="1">
        <f t="array" ref="I201">INDEX(Changed!$I:$I,ROW())&amp;IF(Changed!$I201&gt;Base!$I201,"↑",IF(Changed!$I201&lt;Base!$I201," ↓",""))</f>
        <v>20</v>
      </c>
      <c r="J201" s="7" t="str" cm="1">
        <f t="array" ref="J201">INDEX(Changed!$J:$J,ROW())&amp;IF(Changed!$J201&gt;Base!$J201,"↑",IF(Changed!$J201&lt;Base!$J201," ↓",""))</f>
        <v>30</v>
      </c>
      <c r="K201" s="7" t="str" cm="1">
        <f t="array" ref="K201">INDEX(Changed!$K:$K,ROW())&amp;IF(Changed!$K201&gt;Base!$K201,"↑",IF(Changed!$K201&lt;Base!$K201," ↓",""))</f>
        <v>40</v>
      </c>
      <c r="L201" s="7" t="str" cm="1">
        <f t="array" ref="L201">INDEX(Changed!$L:$L,ROW())&amp;IF(Changed!$L201&gt;Base!$L201,"↑",IF(Changed!$L201&lt;Base!$L201," ↓",""))</f>
        <v>80</v>
      </c>
      <c r="M201" s="7" t="str" cm="1">
        <f t="array" ref="M201">INDEX(Changed!$M:$M,ROW())&amp;IF(Changed!$M201&gt;Base!$M201,"↑",IF(Changed!$M201&lt;Base!$M201," ↓",""))</f>
        <v>55</v>
      </c>
      <c r="N201" s="19">
        <f>Changed!G201-Base!G201</f>
        <v>0</v>
      </c>
    </row>
    <row r="202" spans="1:14" ht="15.75" customHeight="1" x14ac:dyDescent="0.2">
      <c r="A202" s="4">
        <v>201</v>
      </c>
      <c r="B202" s="5" t="s">
        <v>200</v>
      </c>
      <c r="C202" s="6" t="str">
        <f>IF(Changed!C202&lt;&gt;"", Changed!C202, "")</f>
        <v>Bug</v>
      </c>
      <c r="D202" s="6" t="str">
        <f>IF(Changed!D202&lt;&gt;"", Changed!D202, "")</f>
        <v>Fighting</v>
      </c>
      <c r="E202" s="6" t="str">
        <f>IF(Changed!E202&lt;&gt;"", Changed!E202, "")</f>
        <v>Swarm</v>
      </c>
      <c r="F202" s="6" t="str">
        <f>IF(Changed!F202&lt;&gt;"", Changed!F202, "")</f>
        <v>Technician</v>
      </c>
      <c r="G202" s="7" t="str" cm="1">
        <f t="array" ref="G202">INDEX(Changed!$G:$G,ROW())&amp;IF(Changed!$G202&gt;Base!$G202,"↑",IF(Changed!$G202&lt;Base!$G202," ↓",""))</f>
        <v>390</v>
      </c>
      <c r="H202" s="7" t="str" cm="1">
        <f t="array" ref="H202">INDEX(Changed!$H:$H,ROW())&amp;IF(Changed!$H202&gt;Base!$H202,"↑",IF(Changed!$H202&lt;Base!$H202," ↓",""))</f>
        <v>55</v>
      </c>
      <c r="I202" s="7" t="str" cm="1">
        <f t="array" ref="I202">INDEX(Changed!$I:$I,ROW())&amp;IF(Changed!$I202&gt;Base!$I202,"↑",IF(Changed!$I202&lt;Base!$I202," ↓",""))</f>
        <v>35</v>
      </c>
      <c r="J202" s="7" t="str" cm="1">
        <f t="array" ref="J202">INDEX(Changed!$J:$J,ROW())&amp;IF(Changed!$J202&gt;Base!$J202,"↑",IF(Changed!$J202&lt;Base!$J202," ↓",""))</f>
        <v>50</v>
      </c>
      <c r="K202" s="7" t="str" cm="1">
        <f t="array" ref="K202">INDEX(Changed!$K:$K,ROW())&amp;IF(Changed!$K202&gt;Base!$K202,"↑",IF(Changed!$K202&lt;Base!$K202," ↓",""))</f>
        <v>55</v>
      </c>
      <c r="L202" s="7" t="str" cm="1">
        <f t="array" ref="L202">INDEX(Changed!$L:$L,ROW())&amp;IF(Changed!$L202&gt;Base!$L202,"↑",IF(Changed!$L202&lt;Base!$L202," ↓",""))</f>
        <v>110</v>
      </c>
      <c r="M202" s="7" t="str" cm="1">
        <f t="array" ref="M202">INDEX(Changed!$M:$M,ROW())&amp;IF(Changed!$M202&gt;Base!$M202,"↑",IF(Changed!$M202&lt;Base!$M202," ↓",""))</f>
        <v>85</v>
      </c>
      <c r="N202" s="19">
        <f>Changed!G202-Base!G202</f>
        <v>0</v>
      </c>
    </row>
    <row r="203" spans="1:14" ht="15.75" customHeight="1" x14ac:dyDescent="0.2">
      <c r="A203" s="4">
        <v>202</v>
      </c>
      <c r="B203" s="5" t="s">
        <v>201</v>
      </c>
      <c r="C203" s="6" t="str">
        <f>IF(Changed!C203&lt;&gt;"", Changed!C203, "")</f>
        <v>Bug</v>
      </c>
      <c r="D203" s="6" t="str">
        <f>IF(Changed!D203&lt;&gt;"", Changed!D203, "")</f>
        <v>Poison</v>
      </c>
      <c r="E203" s="6" t="str">
        <f>IF(Changed!E203&lt;&gt;"", Changed!E203, "")</f>
        <v>Swarm</v>
      </c>
      <c r="F203" s="6" t="str">
        <f>IF(Changed!F203&lt;&gt;"", Changed!F203, "")</f>
        <v>Insomnia</v>
      </c>
      <c r="G203" s="7" t="str" cm="1">
        <f t="array" ref="G203">INDEX(Changed!$G:$G,ROW())&amp;IF(Changed!$G203&gt;Base!$G203,"↑",IF(Changed!$G203&lt;Base!$G203," ↓",""))</f>
        <v>250</v>
      </c>
      <c r="H203" s="7" t="str" cm="1">
        <f t="array" ref="H203">INDEX(Changed!$H:$H,ROW())&amp;IF(Changed!$H203&gt;Base!$H203,"↑",IF(Changed!$H203&lt;Base!$H203," ↓",""))</f>
        <v>40</v>
      </c>
      <c r="I203" s="7" t="str" cm="1">
        <f t="array" ref="I203">INDEX(Changed!$I:$I,ROW())&amp;IF(Changed!$I203&gt;Base!$I203,"↑",IF(Changed!$I203&lt;Base!$I203," ↓",""))</f>
        <v>60</v>
      </c>
      <c r="J203" s="7" t="str" cm="1">
        <f t="array" ref="J203">INDEX(Changed!$J:$J,ROW())&amp;IF(Changed!$J203&gt;Base!$J203,"↑",IF(Changed!$J203&lt;Base!$J203," ↓",""))</f>
        <v>40</v>
      </c>
      <c r="K203" s="7" t="str" cm="1">
        <f t="array" ref="K203">INDEX(Changed!$K:$K,ROW())&amp;IF(Changed!$K203&gt;Base!$K203,"↑",IF(Changed!$K203&lt;Base!$K203," ↓",""))</f>
        <v>40</v>
      </c>
      <c r="L203" s="7" t="str" cm="1">
        <f t="array" ref="L203">INDEX(Changed!$L:$L,ROW())&amp;IF(Changed!$L203&gt;Base!$L203,"↑",IF(Changed!$L203&lt;Base!$L203," ↓",""))</f>
        <v>40</v>
      </c>
      <c r="M203" s="7" t="str" cm="1">
        <f t="array" ref="M203">INDEX(Changed!$M:$M,ROW())&amp;IF(Changed!$M203&gt;Base!$M203,"↑",IF(Changed!$M203&lt;Base!$M203," ↓",""))</f>
        <v>30</v>
      </c>
      <c r="N203" s="19">
        <f>Changed!G203-Base!G203</f>
        <v>0</v>
      </c>
    </row>
    <row r="204" spans="1:14" ht="15.75" customHeight="1" x14ac:dyDescent="0.2">
      <c r="A204" s="4">
        <v>203</v>
      </c>
      <c r="B204" s="5" t="s">
        <v>202</v>
      </c>
      <c r="C204" s="6" t="str">
        <f>IF(Changed!C204&lt;&gt;"", Changed!C204, "")</f>
        <v>Bug</v>
      </c>
      <c r="D204" s="6" t="str">
        <f>IF(Changed!D204&lt;&gt;"", Changed!D204, "")</f>
        <v>Poison</v>
      </c>
      <c r="E204" s="6" t="str">
        <f>IF(Changed!E204&lt;&gt;"", Changed!E204, "")</f>
        <v>Swarm</v>
      </c>
      <c r="F204" s="6" t="str">
        <f>IF(Changed!F204&lt;&gt;"", Changed!F204, "")</f>
        <v>Insomnia</v>
      </c>
      <c r="G204" s="7" t="str" cm="1">
        <f t="array" ref="G204">INDEX(Changed!$G:$G,ROW())&amp;IF(Changed!$G204&gt;Base!$G204,"↑",IF(Changed!$G204&lt;Base!$G204," ↓",""))</f>
        <v>400</v>
      </c>
      <c r="H204" s="7" t="str" cm="1">
        <f t="array" ref="H204">INDEX(Changed!$H:$H,ROW())&amp;IF(Changed!$H204&gt;Base!$H204,"↑",IF(Changed!$H204&lt;Base!$H204," ↓",""))</f>
        <v>70</v>
      </c>
      <c r="I204" s="7" t="str" cm="1">
        <f t="array" ref="I204">INDEX(Changed!$I:$I,ROW())&amp;IF(Changed!$I204&gt;Base!$I204,"↑",IF(Changed!$I204&lt;Base!$I204," ↓",""))</f>
        <v>90</v>
      </c>
      <c r="J204" s="7" t="str" cm="1">
        <f t="array" ref="J204">INDEX(Changed!$J:$J,ROW())&amp;IF(Changed!$J204&gt;Base!$J204,"↑",IF(Changed!$J204&lt;Base!$J204," ↓",""))</f>
        <v>70</v>
      </c>
      <c r="K204" s="7" t="str" cm="1">
        <f t="array" ref="K204">INDEX(Changed!$K:$K,ROW())&amp;IF(Changed!$K204&gt;Base!$K204,"↑",IF(Changed!$K204&lt;Base!$K204," ↓",""))</f>
        <v>60</v>
      </c>
      <c r="L204" s="7" t="str" cm="1">
        <f t="array" ref="L204">INDEX(Changed!$L:$L,ROW())&amp;IF(Changed!$L204&gt;Base!$L204,"↑",IF(Changed!$L204&lt;Base!$L204," ↓",""))</f>
        <v>70</v>
      </c>
      <c r="M204" s="7" t="str" cm="1">
        <f t="array" ref="M204">INDEX(Changed!$M:$M,ROW())&amp;IF(Changed!$M204&gt;Base!$M204,"↑",IF(Changed!$M204&lt;Base!$M204," ↓",""))</f>
        <v>40</v>
      </c>
      <c r="N204" s="19">
        <f>Changed!G204-Base!G204</f>
        <v>0</v>
      </c>
    </row>
    <row r="205" spans="1:14" ht="15.75" customHeight="1" x14ac:dyDescent="0.2">
      <c r="A205" s="4">
        <v>204</v>
      </c>
      <c r="B205" s="5" t="s">
        <v>204</v>
      </c>
      <c r="C205" s="6" t="str">
        <f>IF(Changed!C205&lt;&gt;"", Changed!C205, "")</f>
        <v>Water</v>
      </c>
      <c r="D205" s="6" t="str">
        <f>IF(Changed!D205&lt;&gt;"", Changed!D205, "")</f>
        <v>Electric</v>
      </c>
      <c r="E205" s="6" t="str">
        <f>IF(Changed!E205&lt;&gt;"", Changed!E205, "")</f>
        <v>Volt Absorb</v>
      </c>
      <c r="F205" s="6" t="str">
        <f>IF(Changed!F205&lt;&gt;"", Changed!F205, "")</f>
        <v>Illuminate</v>
      </c>
      <c r="G205" s="7" t="str" cm="1">
        <f t="array" ref="G205">INDEX(Changed!$G:$G,ROW())&amp;IF(Changed!$G205&gt;Base!$G205,"↑",IF(Changed!$G205&lt;Base!$G205," ↓",""))</f>
        <v>330</v>
      </c>
      <c r="H205" s="7" t="str" cm="1">
        <f t="array" ref="H205">INDEX(Changed!$H:$H,ROW())&amp;IF(Changed!$H205&gt;Base!$H205,"↑",IF(Changed!$H205&lt;Base!$H205," ↓",""))</f>
        <v>75</v>
      </c>
      <c r="I205" s="7" t="str" cm="1">
        <f t="array" ref="I205">INDEX(Changed!$I:$I,ROW())&amp;IF(Changed!$I205&gt;Base!$I205,"↑",IF(Changed!$I205&lt;Base!$I205," ↓",""))</f>
        <v>38</v>
      </c>
      <c r="J205" s="7" t="str" cm="1">
        <f t="array" ref="J205">INDEX(Changed!$J:$J,ROW())&amp;IF(Changed!$J205&gt;Base!$J205,"↑",IF(Changed!$J205&lt;Base!$J205," ↓",""))</f>
        <v>38</v>
      </c>
      <c r="K205" s="7" t="str" cm="1">
        <f t="array" ref="K205">INDEX(Changed!$K:$K,ROW())&amp;IF(Changed!$K205&gt;Base!$K205,"↑",IF(Changed!$K205&lt;Base!$K205," ↓",""))</f>
        <v>56</v>
      </c>
      <c r="L205" s="7" t="str" cm="1">
        <f t="array" ref="L205">INDEX(Changed!$L:$L,ROW())&amp;IF(Changed!$L205&gt;Base!$L205,"↑",IF(Changed!$L205&lt;Base!$L205," ↓",""))</f>
        <v>56</v>
      </c>
      <c r="M205" s="7" t="str" cm="1">
        <f t="array" ref="M205">INDEX(Changed!$M:$M,ROW())&amp;IF(Changed!$M205&gt;Base!$M205,"↑",IF(Changed!$M205&lt;Base!$M205," ↓",""))</f>
        <v>67</v>
      </c>
      <c r="N205" s="19">
        <f>Changed!G205-Base!G205</f>
        <v>0</v>
      </c>
    </row>
    <row r="206" spans="1:14" ht="15.75" customHeight="1" x14ac:dyDescent="0.2">
      <c r="A206" s="4">
        <v>205</v>
      </c>
      <c r="B206" s="5" t="s">
        <v>205</v>
      </c>
      <c r="C206" s="6" t="str">
        <f>IF(Changed!C206&lt;&gt;"", Changed!C206, "")</f>
        <v>Water</v>
      </c>
      <c r="D206" s="6" t="str">
        <f>IF(Changed!D206&lt;&gt;"", Changed!D206, "")</f>
        <v>Electric</v>
      </c>
      <c r="E206" s="6" t="str">
        <f>IF(Changed!E206&lt;&gt;"", Changed!E206, "")</f>
        <v>Volt Absorb</v>
      </c>
      <c r="F206" s="6" t="str">
        <f>IF(Changed!F206&lt;&gt;"", Changed!F206, "")</f>
        <v>Illuminate</v>
      </c>
      <c r="G206" s="7" t="str" cm="1">
        <f t="array" ref="G206">INDEX(Changed!$G:$G,ROW())&amp;IF(Changed!$G206&gt;Base!$G206,"↑",IF(Changed!$G206&lt;Base!$G206," ↓",""))</f>
        <v>460</v>
      </c>
      <c r="H206" s="7" t="str" cm="1">
        <f t="array" ref="H206">INDEX(Changed!$H:$H,ROW())&amp;IF(Changed!$H206&gt;Base!$H206,"↑",IF(Changed!$H206&lt;Base!$H206," ↓",""))</f>
        <v>125</v>
      </c>
      <c r="I206" s="7" t="str" cm="1">
        <f t="array" ref="I206">INDEX(Changed!$I:$I,ROW())&amp;IF(Changed!$I206&gt;Base!$I206,"↑",IF(Changed!$I206&lt;Base!$I206," ↓",""))</f>
        <v>58</v>
      </c>
      <c r="J206" s="7" t="str" cm="1">
        <f t="array" ref="J206">INDEX(Changed!$J:$J,ROW())&amp;IF(Changed!$J206&gt;Base!$J206,"↑",IF(Changed!$J206&lt;Base!$J206," ↓",""))</f>
        <v>58</v>
      </c>
      <c r="K206" s="7" t="str" cm="1">
        <f t="array" ref="K206">INDEX(Changed!$K:$K,ROW())&amp;IF(Changed!$K206&gt;Base!$K206,"↑",IF(Changed!$K206&lt;Base!$K206," ↓",""))</f>
        <v>76</v>
      </c>
      <c r="L206" s="7" t="str" cm="1">
        <f t="array" ref="L206">INDEX(Changed!$L:$L,ROW())&amp;IF(Changed!$L206&gt;Base!$L206,"↑",IF(Changed!$L206&lt;Base!$L206," ↓",""))</f>
        <v>76</v>
      </c>
      <c r="M206" s="7" t="str" cm="1">
        <f t="array" ref="M206">INDEX(Changed!$M:$M,ROW())&amp;IF(Changed!$M206&gt;Base!$M206,"↑",IF(Changed!$M206&lt;Base!$M206," ↓",""))</f>
        <v>67</v>
      </c>
      <c r="N206" s="19">
        <f>Changed!G206-Base!G206</f>
        <v>0</v>
      </c>
    </row>
    <row r="207" spans="1:14" ht="15.75" customHeight="1" x14ac:dyDescent="0.2">
      <c r="A207" s="4">
        <v>206</v>
      </c>
      <c r="B207" s="5" t="s">
        <v>209</v>
      </c>
      <c r="C207" s="6" t="str">
        <f>IF(Changed!C207&lt;&gt;"", Changed!C207, "")</f>
        <v>Normal</v>
      </c>
      <c r="D207" s="6" t="str">
        <f>IF(Changed!D207&lt;&gt;"", Changed!D207, "")</f>
        <v/>
      </c>
      <c r="E207" s="6" t="str">
        <f>IF(Changed!E207&lt;&gt;"", Changed!E207, "")</f>
        <v>Hustle</v>
      </c>
      <c r="F207" s="6" t="str">
        <f>IF(Changed!F207&lt;&gt;"", Changed!F207, "")</f>
        <v>Serence Grace</v>
      </c>
      <c r="G207" s="7" t="str" cm="1">
        <f t="array" ref="G207">INDEX(Changed!$G:$G,ROW())&amp;IF(Changed!$G207&gt;Base!$G207,"↑",IF(Changed!$G207&lt;Base!$G207," ↓",""))</f>
        <v>245</v>
      </c>
      <c r="H207" s="7" t="str" cm="1">
        <f t="array" ref="H207">INDEX(Changed!$H:$H,ROW())&amp;IF(Changed!$H207&gt;Base!$H207,"↑",IF(Changed!$H207&lt;Base!$H207," ↓",""))</f>
        <v>35</v>
      </c>
      <c r="I207" s="7" t="str" cm="1">
        <f t="array" ref="I207">INDEX(Changed!$I:$I,ROW())&amp;IF(Changed!$I207&gt;Base!$I207,"↑",IF(Changed!$I207&lt;Base!$I207," ↓",""))</f>
        <v>20</v>
      </c>
      <c r="J207" s="7" t="str" cm="1">
        <f t="array" ref="J207">INDEX(Changed!$J:$J,ROW())&amp;IF(Changed!$J207&gt;Base!$J207,"↑",IF(Changed!$J207&lt;Base!$J207," ↓",""))</f>
        <v>65</v>
      </c>
      <c r="K207" s="7" t="str" cm="1">
        <f t="array" ref="K207">INDEX(Changed!$K:$K,ROW())&amp;IF(Changed!$K207&gt;Base!$K207,"↑",IF(Changed!$K207&lt;Base!$K207," ↓",""))</f>
        <v>40</v>
      </c>
      <c r="L207" s="7" t="str" cm="1">
        <f t="array" ref="L207">INDEX(Changed!$L:$L,ROW())&amp;IF(Changed!$L207&gt;Base!$L207,"↑",IF(Changed!$L207&lt;Base!$L207," ↓",""))</f>
        <v>65</v>
      </c>
      <c r="M207" s="7" t="str" cm="1">
        <f t="array" ref="M207">INDEX(Changed!$M:$M,ROW())&amp;IF(Changed!$M207&gt;Base!$M207,"↑",IF(Changed!$M207&lt;Base!$M207," ↓",""))</f>
        <v>20</v>
      </c>
      <c r="N207" s="19">
        <f>Changed!G207-Base!G207</f>
        <v>0</v>
      </c>
    </row>
    <row r="208" spans="1:14" ht="15.75" customHeight="1" x14ac:dyDescent="0.2">
      <c r="A208" s="4">
        <v>207</v>
      </c>
      <c r="B208" s="5" t="s">
        <v>210</v>
      </c>
      <c r="C208" s="6" t="str">
        <f>IF(Changed!C208&lt;&gt;"", Changed!C208, "")</f>
        <v>Normal</v>
      </c>
      <c r="D208" s="6" t="str">
        <f>IF(Changed!D208&lt;&gt;"", Changed!D208, "")</f>
        <v>Flying</v>
      </c>
      <c r="E208" s="6" t="str">
        <f>IF(Changed!E208&lt;&gt;"", Changed!E208, "")</f>
        <v>Hustle</v>
      </c>
      <c r="F208" s="6" t="str">
        <f>IF(Changed!F208&lt;&gt;"", Changed!F208, "")</f>
        <v>Serence Grace</v>
      </c>
      <c r="G208" s="7" t="str" cm="1">
        <f t="array" ref="G208">INDEX(Changed!$G:$G,ROW())&amp;IF(Changed!$G208&gt;Base!$G208,"↑",IF(Changed!$G208&lt;Base!$G208," ↓",""))</f>
        <v>405</v>
      </c>
      <c r="H208" s="7" t="str" cm="1">
        <f t="array" ref="H208">INDEX(Changed!$H:$H,ROW())&amp;IF(Changed!$H208&gt;Base!$H208,"↑",IF(Changed!$H208&lt;Base!$H208," ↓",""))</f>
        <v>55</v>
      </c>
      <c r="I208" s="7" t="str" cm="1">
        <f t="array" ref="I208">INDEX(Changed!$I:$I,ROW())&amp;IF(Changed!$I208&gt;Base!$I208,"↑",IF(Changed!$I208&lt;Base!$I208," ↓",""))</f>
        <v>40</v>
      </c>
      <c r="J208" s="7" t="str" cm="1">
        <f t="array" ref="J208">INDEX(Changed!$J:$J,ROW())&amp;IF(Changed!$J208&gt;Base!$J208,"↑",IF(Changed!$J208&lt;Base!$J208," ↓",""))</f>
        <v>85</v>
      </c>
      <c r="K208" s="7" t="str" cm="1">
        <f t="array" ref="K208">INDEX(Changed!$K:$K,ROW())&amp;IF(Changed!$K208&gt;Base!$K208,"↑",IF(Changed!$K208&lt;Base!$K208," ↓",""))</f>
        <v>80</v>
      </c>
      <c r="L208" s="7" t="str" cm="1">
        <f t="array" ref="L208">INDEX(Changed!$L:$L,ROW())&amp;IF(Changed!$L208&gt;Base!$L208,"↑",IF(Changed!$L208&lt;Base!$L208," ↓",""))</f>
        <v>105</v>
      </c>
      <c r="M208" s="7" t="str" cm="1">
        <f t="array" ref="M208">INDEX(Changed!$M:$M,ROW())&amp;IF(Changed!$M208&gt;Base!$M208,"↑",IF(Changed!$M208&lt;Base!$M208," ↓",""))</f>
        <v>40</v>
      </c>
      <c r="N208" s="19">
        <f>Changed!G208-Base!G208</f>
        <v>0</v>
      </c>
    </row>
    <row r="209" spans="1:14" ht="15.75" customHeight="1" x14ac:dyDescent="0.2">
      <c r="A209" s="4">
        <v>208</v>
      </c>
      <c r="B209" s="5" t="s">
        <v>503</v>
      </c>
      <c r="C209" s="6" t="str">
        <f>IF(Changed!C209&lt;&gt;"", Changed!C209, "")</f>
        <v>Normal</v>
      </c>
      <c r="D209" s="6" t="str">
        <f>IF(Changed!D209&lt;&gt;"", Changed!D209, "")</f>
        <v>Flying</v>
      </c>
      <c r="E209" s="6" t="str">
        <f>IF(Changed!E209&lt;&gt;"", Changed!E209, "")</f>
        <v>Hustle</v>
      </c>
      <c r="F209" s="6" t="str">
        <f>IF(Changed!F209&lt;&gt;"", Changed!F209, "")</f>
        <v>Serene Grace</v>
      </c>
      <c r="G209" s="7" t="str" cm="1">
        <f t="array" ref="G209">INDEX(Changed!$G:$G,ROW())&amp;IF(Changed!$G209&gt;Base!$G209,"↑",IF(Changed!$G209&lt;Base!$G209," ↓",""))</f>
        <v>545</v>
      </c>
      <c r="H209" s="7" t="str" cm="1">
        <f t="array" ref="H209">INDEX(Changed!$H:$H,ROW())&amp;IF(Changed!$H209&gt;Base!$H209,"↑",IF(Changed!$H209&lt;Base!$H209," ↓",""))</f>
        <v>85</v>
      </c>
      <c r="I209" s="7" t="str" cm="1">
        <f t="array" ref="I209">INDEX(Changed!$I:$I,ROW())&amp;IF(Changed!$I209&gt;Base!$I209,"↑",IF(Changed!$I209&lt;Base!$I209," ↓",""))</f>
        <v>50</v>
      </c>
      <c r="J209" s="7" t="str" cm="1">
        <f t="array" ref="J209">INDEX(Changed!$J:$J,ROW())&amp;IF(Changed!$J209&gt;Base!$J209,"↑",IF(Changed!$J209&lt;Base!$J209," ↓",""))</f>
        <v>95</v>
      </c>
      <c r="K209" s="7" t="str" cm="1">
        <f t="array" ref="K209">INDEX(Changed!$K:$K,ROW())&amp;IF(Changed!$K209&gt;Base!$K209,"↑",IF(Changed!$K209&lt;Base!$K209," ↓",""))</f>
        <v>120</v>
      </c>
      <c r="L209" s="7" t="str" cm="1">
        <f t="array" ref="L209">INDEX(Changed!$L:$L,ROW())&amp;IF(Changed!$L209&gt;Base!$L209,"↑",IF(Changed!$L209&lt;Base!$L209," ↓",""))</f>
        <v>115</v>
      </c>
      <c r="M209" s="7" t="str" cm="1">
        <f t="array" ref="M209">INDEX(Changed!$M:$M,ROW())&amp;IF(Changed!$M209&gt;Base!$M209,"↑",IF(Changed!$M209&lt;Base!$M209," ↓",""))</f>
        <v>80</v>
      </c>
      <c r="N209" s="19">
        <f>Changed!G209-Base!G209</f>
        <v>0</v>
      </c>
    </row>
    <row r="210" spans="1:14" ht="15.75" customHeight="1" x14ac:dyDescent="0.2">
      <c r="A210" s="4">
        <v>209</v>
      </c>
      <c r="B210" s="5" t="s">
        <v>211</v>
      </c>
      <c r="C210" s="6" t="str">
        <f>IF(Changed!C210&lt;&gt;"", Changed!C210, "")</f>
        <v>Psychic</v>
      </c>
      <c r="D210" s="6" t="str">
        <f>IF(Changed!D210&lt;&gt;"", Changed!D210, "")</f>
        <v>Flying</v>
      </c>
      <c r="E210" s="6" t="str">
        <f>IF(Changed!E210&lt;&gt;"", Changed!E210, "")</f>
        <v xml:space="preserve">Synchronize </v>
      </c>
      <c r="F210" s="6" t="str">
        <f>IF(Changed!F210&lt;&gt;"", Changed!F210, "")</f>
        <v>Magic Bounce</v>
      </c>
      <c r="G210" s="7" t="str" cm="1">
        <f t="array" ref="G210">INDEX(Changed!$G:$G,ROW())&amp;IF(Changed!$G210&gt;Base!$G210,"↑",IF(Changed!$G210&lt;Base!$G210," ↓",""))</f>
        <v>320</v>
      </c>
      <c r="H210" s="7" t="str" cm="1">
        <f t="array" ref="H210">INDEX(Changed!$H:$H,ROW())&amp;IF(Changed!$H210&gt;Base!$H210,"↑",IF(Changed!$H210&lt;Base!$H210," ↓",""))</f>
        <v>40</v>
      </c>
      <c r="I210" s="7" t="str" cm="1">
        <f t="array" ref="I210">INDEX(Changed!$I:$I,ROW())&amp;IF(Changed!$I210&gt;Base!$I210,"↑",IF(Changed!$I210&lt;Base!$I210," ↓",""))</f>
        <v>50</v>
      </c>
      <c r="J210" s="7" t="str" cm="1">
        <f t="array" ref="J210">INDEX(Changed!$J:$J,ROW())&amp;IF(Changed!$J210&gt;Base!$J210,"↑",IF(Changed!$J210&lt;Base!$J210," ↓",""))</f>
        <v>45</v>
      </c>
      <c r="K210" s="7" t="str" cm="1">
        <f t="array" ref="K210">INDEX(Changed!$K:$K,ROW())&amp;IF(Changed!$K210&gt;Base!$K210,"↑",IF(Changed!$K210&lt;Base!$K210," ↓",""))</f>
        <v>70</v>
      </c>
      <c r="L210" s="7" t="str" cm="1">
        <f t="array" ref="L210">INDEX(Changed!$L:$L,ROW())&amp;IF(Changed!$L210&gt;Base!$L210,"↑",IF(Changed!$L210&lt;Base!$L210," ↓",""))</f>
        <v>45</v>
      </c>
      <c r="M210" s="7" t="str" cm="1">
        <f t="array" ref="M210">INDEX(Changed!$M:$M,ROW())&amp;IF(Changed!$M210&gt;Base!$M210,"↑",IF(Changed!$M210&lt;Base!$M210," ↓",""))</f>
        <v>70</v>
      </c>
      <c r="N210" s="19">
        <f>Changed!G210-Base!G210</f>
        <v>0</v>
      </c>
    </row>
    <row r="211" spans="1:14" ht="15.75" customHeight="1" x14ac:dyDescent="0.2">
      <c r="A211" s="4">
        <v>210</v>
      </c>
      <c r="B211" s="5" t="s">
        <v>212</v>
      </c>
      <c r="C211" s="6" t="str">
        <f>IF(Changed!C211&lt;&gt;"", Changed!C211, "")</f>
        <v>Psychic</v>
      </c>
      <c r="D211" s="6" t="str">
        <f>IF(Changed!D211&lt;&gt;"", Changed!D211, "")</f>
        <v>Flying</v>
      </c>
      <c r="E211" s="6" t="str">
        <f>IF(Changed!E211&lt;&gt;"", Changed!E211, "")</f>
        <v xml:space="preserve">Synchronize </v>
      </c>
      <c r="F211" s="6" t="str">
        <f>IF(Changed!F211&lt;&gt;"", Changed!F211, "")</f>
        <v>Magic Bounce</v>
      </c>
      <c r="G211" s="7" t="str" cm="1">
        <f t="array" ref="G211">INDEX(Changed!$G:$G,ROW())&amp;IF(Changed!$G211&gt;Base!$G211,"↑",IF(Changed!$G211&lt;Base!$G211," ↓",""))</f>
        <v>470</v>
      </c>
      <c r="H211" s="7" t="str" cm="1">
        <f t="array" ref="H211">INDEX(Changed!$H:$H,ROW())&amp;IF(Changed!$H211&gt;Base!$H211,"↑",IF(Changed!$H211&lt;Base!$H211," ↓",""))</f>
        <v>65</v>
      </c>
      <c r="I211" s="7" t="str" cm="1">
        <f t="array" ref="I211">INDEX(Changed!$I:$I,ROW())&amp;IF(Changed!$I211&gt;Base!$I211,"↑",IF(Changed!$I211&lt;Base!$I211," ↓",""))</f>
        <v>75</v>
      </c>
      <c r="J211" s="7" t="str" cm="1">
        <f t="array" ref="J211">INDEX(Changed!$J:$J,ROW())&amp;IF(Changed!$J211&gt;Base!$J211,"↑",IF(Changed!$J211&lt;Base!$J211," ↓",""))</f>
        <v>70</v>
      </c>
      <c r="K211" s="7" t="str" cm="1">
        <f t="array" ref="K211">INDEX(Changed!$K:$K,ROW())&amp;IF(Changed!$K211&gt;Base!$K211,"↑",IF(Changed!$K211&lt;Base!$K211," ↓",""))</f>
        <v>95</v>
      </c>
      <c r="L211" s="7" t="str" cm="1">
        <f t="array" ref="L211">INDEX(Changed!$L:$L,ROW())&amp;IF(Changed!$L211&gt;Base!$L211,"↑",IF(Changed!$L211&lt;Base!$L211," ↓",""))</f>
        <v>70</v>
      </c>
      <c r="M211" s="7" t="str" cm="1">
        <f t="array" ref="M211">INDEX(Changed!$M:$M,ROW())&amp;IF(Changed!$M211&gt;Base!$M211,"↑",IF(Changed!$M211&lt;Base!$M211," ↓",""))</f>
        <v>95</v>
      </c>
      <c r="N211" s="19">
        <f>Changed!G211-Base!G211</f>
        <v>0</v>
      </c>
    </row>
    <row r="212" spans="1:14" ht="15.75" customHeight="1" x14ac:dyDescent="0.2">
      <c r="A212" s="4">
        <v>211</v>
      </c>
      <c r="B212" s="5" t="s">
        <v>213</v>
      </c>
      <c r="C212" s="6" t="str">
        <f>IF(Changed!C212&lt;&gt;"", Changed!C212, "")</f>
        <v>Electric</v>
      </c>
      <c r="D212" s="6" t="str">
        <f>IF(Changed!D212&lt;&gt;"", Changed!D212, "")</f>
        <v/>
      </c>
      <c r="E212" s="6" t="str">
        <f>IF(Changed!E212&lt;&gt;"", Changed!E212, "")</f>
        <v>Plus</v>
      </c>
      <c r="F212" s="6" t="str">
        <f>IF(Changed!F212&lt;&gt;"", Changed!F212, "")</f>
        <v>Transistor</v>
      </c>
      <c r="G212" s="7" t="str" cm="1">
        <f t="array" ref="G212">INDEX(Changed!$G:$G,ROW())&amp;IF(Changed!$G212&gt;Base!$G212,"↑",IF(Changed!$G212&lt;Base!$G212," ↓",""))</f>
        <v>280</v>
      </c>
      <c r="H212" s="7" t="str" cm="1">
        <f t="array" ref="H212">INDEX(Changed!$H:$H,ROW())&amp;IF(Changed!$H212&gt;Base!$H212,"↑",IF(Changed!$H212&lt;Base!$H212," ↓",""))</f>
        <v>55</v>
      </c>
      <c r="I212" s="7" t="str" cm="1">
        <f t="array" ref="I212">INDEX(Changed!$I:$I,ROW())&amp;IF(Changed!$I212&gt;Base!$I212,"↑",IF(Changed!$I212&lt;Base!$I212," ↓",""))</f>
        <v>40</v>
      </c>
      <c r="J212" s="7" t="str" cm="1">
        <f t="array" ref="J212">INDEX(Changed!$J:$J,ROW())&amp;IF(Changed!$J212&gt;Base!$J212,"↑",IF(Changed!$J212&lt;Base!$J212," ↓",""))</f>
        <v>40</v>
      </c>
      <c r="K212" s="7" t="str" cm="1">
        <f t="array" ref="K212">INDEX(Changed!$K:$K,ROW())&amp;IF(Changed!$K212&gt;Base!$K212,"↑",IF(Changed!$K212&lt;Base!$K212," ↓",""))</f>
        <v>65</v>
      </c>
      <c r="L212" s="7" t="str" cm="1">
        <f t="array" ref="L212">INDEX(Changed!$L:$L,ROW())&amp;IF(Changed!$L212&gt;Base!$L212,"↑",IF(Changed!$L212&lt;Base!$L212," ↓",""))</f>
        <v>45</v>
      </c>
      <c r="M212" s="7" t="str" cm="1">
        <f t="array" ref="M212">INDEX(Changed!$M:$M,ROW())&amp;IF(Changed!$M212&gt;Base!$M212,"↑",IF(Changed!$M212&lt;Base!$M212," ↓",""))</f>
        <v>35</v>
      </c>
      <c r="N212" s="19">
        <f>Changed!G212-Base!G212</f>
        <v>0</v>
      </c>
    </row>
    <row r="213" spans="1:14" ht="15.75" customHeight="1" x14ac:dyDescent="0.2">
      <c r="A213" s="4">
        <v>212</v>
      </c>
      <c r="B213" s="5" t="s">
        <v>214</v>
      </c>
      <c r="C213" s="6" t="str">
        <f>IF(Changed!C213&lt;&gt;"", Changed!C213, "")</f>
        <v>Electric</v>
      </c>
      <c r="D213" s="6" t="str">
        <f>IF(Changed!D213&lt;&gt;"", Changed!D213, "")</f>
        <v/>
      </c>
      <c r="E213" s="6" t="str">
        <f>IF(Changed!E213&lt;&gt;"", Changed!E213, "")</f>
        <v>Plus</v>
      </c>
      <c r="F213" s="6" t="str">
        <f>IF(Changed!F213&lt;&gt;"", Changed!F213, "")</f>
        <v>Transistor</v>
      </c>
      <c r="G213" s="7" t="str" cm="1">
        <f t="array" ref="G213">INDEX(Changed!$G:$G,ROW())&amp;IF(Changed!$G213&gt;Base!$G213,"↑",IF(Changed!$G213&lt;Base!$G213," ↓",""))</f>
        <v>365</v>
      </c>
      <c r="H213" s="7" t="str" cm="1">
        <f t="array" ref="H213">INDEX(Changed!$H:$H,ROW())&amp;IF(Changed!$H213&gt;Base!$H213,"↑",IF(Changed!$H213&lt;Base!$H213," ↓",""))</f>
        <v>70</v>
      </c>
      <c r="I213" s="7" t="str" cm="1">
        <f t="array" ref="I213">INDEX(Changed!$I:$I,ROW())&amp;IF(Changed!$I213&gt;Base!$I213,"↑",IF(Changed!$I213&lt;Base!$I213," ↓",""))</f>
        <v>55</v>
      </c>
      <c r="J213" s="7" t="str" cm="1">
        <f t="array" ref="J213">INDEX(Changed!$J:$J,ROW())&amp;IF(Changed!$J213&gt;Base!$J213,"↑",IF(Changed!$J213&lt;Base!$J213," ↓",""))</f>
        <v>55</v>
      </c>
      <c r="K213" s="7" t="str" cm="1">
        <f t="array" ref="K213">INDEX(Changed!$K:$K,ROW())&amp;IF(Changed!$K213&gt;Base!$K213,"↑",IF(Changed!$K213&lt;Base!$K213," ↓",""))</f>
        <v>80</v>
      </c>
      <c r="L213" s="7" t="str" cm="1">
        <f t="array" ref="L213">INDEX(Changed!$L:$L,ROW())&amp;IF(Changed!$L213&gt;Base!$L213,"↑",IF(Changed!$L213&lt;Base!$L213," ↓",""))</f>
        <v>60</v>
      </c>
      <c r="M213" s="7" t="str" cm="1">
        <f t="array" ref="M213">INDEX(Changed!$M:$M,ROW())&amp;IF(Changed!$M213&gt;Base!$M213,"↑",IF(Changed!$M213&lt;Base!$M213," ↓",""))</f>
        <v>45</v>
      </c>
      <c r="N213" s="19">
        <f>Changed!G213-Base!G213</f>
        <v>0</v>
      </c>
    </row>
    <row r="214" spans="1:14" ht="15.75" customHeight="1" x14ac:dyDescent="0.2">
      <c r="A214" s="4">
        <v>213</v>
      </c>
      <c r="B214" s="5" t="s">
        <v>215</v>
      </c>
      <c r="C214" s="6" t="str">
        <f>IF(Changed!C214&lt;&gt;"", Changed!C214, "")</f>
        <v>Electric</v>
      </c>
      <c r="D214" s="6" t="str">
        <f>IF(Changed!D214&lt;&gt;"", Changed!D214, "")</f>
        <v>Dragon</v>
      </c>
      <c r="E214" s="6" t="str">
        <f>IF(Changed!E214&lt;&gt;"", Changed!E214, "")</f>
        <v>Plus</v>
      </c>
      <c r="F214" s="6" t="str">
        <f>IF(Changed!F214&lt;&gt;"", Changed!F214, "")</f>
        <v>Transistor</v>
      </c>
      <c r="G214" s="7" t="str" cm="1">
        <f t="array" ref="G214">INDEX(Changed!$G:$G,ROW())&amp;IF(Changed!$G214&gt;Base!$G214,"↑",IF(Changed!$G214&lt;Base!$G214," ↓",""))</f>
        <v>500</v>
      </c>
      <c r="H214" s="7" t="str" cm="1">
        <f t="array" ref="H214">INDEX(Changed!$H:$H,ROW())&amp;IF(Changed!$H214&gt;Base!$H214,"↑",IF(Changed!$H214&lt;Base!$H214," ↓",""))</f>
        <v>90</v>
      </c>
      <c r="I214" s="7" t="str" cm="1">
        <f t="array" ref="I214">INDEX(Changed!$I:$I,ROW())&amp;IF(Changed!$I214&gt;Base!$I214,"↑",IF(Changed!$I214&lt;Base!$I214," ↓",""))</f>
        <v>75</v>
      </c>
      <c r="J214" s="7" t="str" cm="1">
        <f t="array" ref="J214">INDEX(Changed!$J:$J,ROW())&amp;IF(Changed!$J214&gt;Base!$J214,"↑",IF(Changed!$J214&lt;Base!$J214," ↓",""))</f>
        <v>75</v>
      </c>
      <c r="K214" s="7" t="str" cm="1">
        <f t="array" ref="K214">INDEX(Changed!$K:$K,ROW())&amp;IF(Changed!$K214&gt;Base!$K214,"↑",IF(Changed!$K214&lt;Base!$K214," ↓",""))</f>
        <v>115</v>
      </c>
      <c r="L214" s="7" t="str" cm="1">
        <f t="array" ref="L214">INDEX(Changed!$L:$L,ROW())&amp;IF(Changed!$L214&gt;Base!$L214,"↑",IF(Changed!$L214&lt;Base!$L214," ↓",""))</f>
        <v>90</v>
      </c>
      <c r="M214" s="7" t="str" cm="1">
        <f t="array" ref="M214">INDEX(Changed!$M:$M,ROW())&amp;IF(Changed!$M214&gt;Base!$M214,"↑",IF(Changed!$M214&lt;Base!$M214," ↓",""))</f>
        <v>55</v>
      </c>
      <c r="N214" s="19">
        <f>Changed!G214-Base!G214</f>
        <v>0</v>
      </c>
    </row>
    <row r="215" spans="1:14" ht="15.75" customHeight="1" x14ac:dyDescent="0.2">
      <c r="A215" s="4">
        <v>214</v>
      </c>
      <c r="B215" s="5" t="s">
        <v>333</v>
      </c>
      <c r="C215" s="6" t="str">
        <f>IF(Changed!C215&lt;&gt;"", Changed!C215, "")</f>
        <v>Normal</v>
      </c>
      <c r="D215" s="6" t="str">
        <f>IF(Changed!D215&lt;&gt;"", Changed!D215, "")</f>
        <v/>
      </c>
      <c r="E215" s="6" t="str">
        <f>IF(Changed!E215&lt;&gt;"", Changed!E215, "")</f>
        <v>Water Bubble</v>
      </c>
      <c r="F215" s="6" t="str">
        <f>IF(Changed!F215&lt;&gt;"", Changed!F215, "")</f>
        <v>Huge Power</v>
      </c>
      <c r="G215" s="7" t="str" cm="1">
        <f t="array" ref="G215">INDEX(Changed!$G:$G,ROW())&amp;IF(Changed!$G215&gt;Base!$G215,"↑",IF(Changed!$G215&lt;Base!$G215," ↓",""))</f>
        <v>190</v>
      </c>
      <c r="H215" s="7" t="str" cm="1">
        <f t="array" ref="H215">INDEX(Changed!$H:$H,ROW())&amp;IF(Changed!$H215&gt;Base!$H215,"↑",IF(Changed!$H215&lt;Base!$H215," ↓",""))</f>
        <v>50</v>
      </c>
      <c r="I215" s="7" t="str" cm="1">
        <f t="array" ref="I215">INDEX(Changed!$I:$I,ROW())&amp;IF(Changed!$I215&gt;Base!$I215,"↑",IF(Changed!$I215&lt;Base!$I215," ↓",""))</f>
        <v>20</v>
      </c>
      <c r="J215" s="7" t="str" cm="1">
        <f t="array" ref="J215">INDEX(Changed!$J:$J,ROW())&amp;IF(Changed!$J215&gt;Base!$J215,"↑",IF(Changed!$J215&lt;Base!$J215," ↓",""))</f>
        <v>40</v>
      </c>
      <c r="K215" s="7" t="str" cm="1">
        <f t="array" ref="K215">INDEX(Changed!$K:$K,ROW())&amp;IF(Changed!$K215&gt;Base!$K215,"↑",IF(Changed!$K215&lt;Base!$K215," ↓",""))</f>
        <v>20</v>
      </c>
      <c r="L215" s="7" t="str" cm="1">
        <f t="array" ref="L215">INDEX(Changed!$L:$L,ROW())&amp;IF(Changed!$L215&gt;Base!$L215,"↑",IF(Changed!$L215&lt;Base!$L215," ↓",""))</f>
        <v>40</v>
      </c>
      <c r="M215" s="7" t="str" cm="1">
        <f t="array" ref="M215">INDEX(Changed!$M:$M,ROW())&amp;IF(Changed!$M215&gt;Base!$M215,"↑",IF(Changed!$M215&lt;Base!$M215," ↓",""))</f>
        <v>20</v>
      </c>
      <c r="N215" s="19">
        <f>Changed!G215-Base!G215</f>
        <v>0</v>
      </c>
    </row>
    <row r="216" spans="1:14" ht="15.75" customHeight="1" x14ac:dyDescent="0.2">
      <c r="A216" s="4">
        <v>215</v>
      </c>
      <c r="B216" s="5" t="s">
        <v>217</v>
      </c>
      <c r="C216" s="6" t="str">
        <f>IF(Changed!C216&lt;&gt;"", Changed!C216, "")</f>
        <v>Water</v>
      </c>
      <c r="D216" s="6" t="str">
        <f>IF(Changed!D216&lt;&gt;"", Changed!D216, "")</f>
        <v/>
      </c>
      <c r="E216" s="6" t="str">
        <f>IF(Changed!E216&lt;&gt;"", Changed!E216, "")</f>
        <v>Water Bubble</v>
      </c>
      <c r="F216" s="6" t="str">
        <f>IF(Changed!F216&lt;&gt;"", Changed!F216, "")</f>
        <v>Huge Power</v>
      </c>
      <c r="G216" s="7" t="str" cm="1">
        <f t="array" ref="G216">INDEX(Changed!$G:$G,ROW())&amp;IF(Changed!$G216&gt;Base!$G216,"↑",IF(Changed!$G216&lt;Base!$G216," ↓",""))</f>
        <v>250</v>
      </c>
      <c r="H216" s="7" t="str" cm="1">
        <f t="array" ref="H216">INDEX(Changed!$H:$H,ROW())&amp;IF(Changed!$H216&gt;Base!$H216,"↑",IF(Changed!$H216&lt;Base!$H216," ↓",""))</f>
        <v>70</v>
      </c>
      <c r="I216" s="7" t="str" cm="1">
        <f t="array" ref="I216">INDEX(Changed!$I:$I,ROW())&amp;IF(Changed!$I216&gt;Base!$I216,"↑",IF(Changed!$I216&lt;Base!$I216," ↓",""))</f>
        <v>20</v>
      </c>
      <c r="J216" s="7" t="str" cm="1">
        <f t="array" ref="J216">INDEX(Changed!$J:$J,ROW())&amp;IF(Changed!$J216&gt;Base!$J216,"↑",IF(Changed!$J216&lt;Base!$J216," ↓",""))</f>
        <v>50</v>
      </c>
      <c r="K216" s="7" t="str" cm="1">
        <f t="array" ref="K216">INDEX(Changed!$K:$K,ROW())&amp;IF(Changed!$K216&gt;Base!$K216,"↑",IF(Changed!$K216&lt;Base!$K216," ↓",""))</f>
        <v>20</v>
      </c>
      <c r="L216" s="7" t="str" cm="1">
        <f t="array" ref="L216">INDEX(Changed!$L:$L,ROW())&amp;IF(Changed!$L216&gt;Base!$L216,"↑",IF(Changed!$L216&lt;Base!$L216," ↓",""))</f>
        <v>50</v>
      </c>
      <c r="M216" s="7" t="str" cm="1">
        <f t="array" ref="M216">INDEX(Changed!$M:$M,ROW())&amp;IF(Changed!$M216&gt;Base!$M216,"↑",IF(Changed!$M216&lt;Base!$M216," ↓",""))</f>
        <v>40</v>
      </c>
      <c r="N216" s="19">
        <f>Changed!G216-Base!G216</f>
        <v>0</v>
      </c>
    </row>
    <row r="217" spans="1:14" ht="15.75" customHeight="1" x14ac:dyDescent="0.2">
      <c r="A217" s="4">
        <v>216</v>
      </c>
      <c r="B217" s="5" t="s">
        <v>218</v>
      </c>
      <c r="C217" s="6" t="str">
        <f>IF(Changed!C217&lt;&gt;"", Changed!C217, "")</f>
        <v>Water</v>
      </c>
      <c r="D217" s="6" t="str">
        <f>IF(Changed!D217&lt;&gt;"", Changed!D217, "")</f>
        <v/>
      </c>
      <c r="E217" s="6" t="str">
        <f>IF(Changed!E217&lt;&gt;"", Changed!E217, "")</f>
        <v>Water Bubble</v>
      </c>
      <c r="F217" s="6" t="str">
        <f>IF(Changed!F217&lt;&gt;"", Changed!F217, "")</f>
        <v>Huge Power</v>
      </c>
      <c r="G217" s="7" t="str" cm="1">
        <f t="array" ref="G217">INDEX(Changed!$G:$G,ROW())&amp;IF(Changed!$G217&gt;Base!$G217,"↑",IF(Changed!$G217&lt;Base!$G217," ↓",""))</f>
        <v>410</v>
      </c>
      <c r="H217" s="7" t="str" cm="1">
        <f t="array" ref="H217">INDEX(Changed!$H:$H,ROW())&amp;IF(Changed!$H217&gt;Base!$H217,"↑",IF(Changed!$H217&lt;Base!$H217," ↓",""))</f>
        <v>100</v>
      </c>
      <c r="I217" s="7" t="str" cm="1">
        <f t="array" ref="I217">INDEX(Changed!$I:$I,ROW())&amp;IF(Changed!$I217&gt;Base!$I217,"↑",IF(Changed!$I217&lt;Base!$I217," ↓",""))</f>
        <v>50</v>
      </c>
      <c r="J217" s="7" t="str" cm="1">
        <f t="array" ref="J217">INDEX(Changed!$J:$J,ROW())&amp;IF(Changed!$J217&gt;Base!$J217,"↑",IF(Changed!$J217&lt;Base!$J217," ↓",""))</f>
        <v>80</v>
      </c>
      <c r="K217" s="7" t="str" cm="1">
        <f t="array" ref="K217">INDEX(Changed!$K:$K,ROW())&amp;IF(Changed!$K217&gt;Base!$K217,"↑",IF(Changed!$K217&lt;Base!$K217," ↓",""))</f>
        <v>50</v>
      </c>
      <c r="L217" s="7" t="str" cm="1">
        <f t="array" ref="L217">INDEX(Changed!$L:$L,ROW())&amp;IF(Changed!$L217&gt;Base!$L217,"↑",IF(Changed!$L217&lt;Base!$L217," ↓",""))</f>
        <v>80</v>
      </c>
      <c r="M217" s="7" t="str" cm="1">
        <f t="array" ref="M217">INDEX(Changed!$M:$M,ROW())&amp;IF(Changed!$M217&gt;Base!$M217,"↑",IF(Changed!$M217&lt;Base!$M217," ↓",""))</f>
        <v>50</v>
      </c>
      <c r="N217" s="19">
        <f>Changed!G217-Base!G217</f>
        <v>0</v>
      </c>
    </row>
    <row r="218" spans="1:14" ht="15.75" customHeight="1" x14ac:dyDescent="0.2">
      <c r="A218" s="4">
        <v>217</v>
      </c>
      <c r="B218" s="5" t="s">
        <v>473</v>
      </c>
      <c r="C218" s="6" t="str">
        <f>IF(Changed!C218&lt;&gt;"", Changed!C218, "")</f>
        <v>Rock</v>
      </c>
      <c r="D218" s="6" t="str">
        <f>IF(Changed!D218&lt;&gt;"", Changed!D218, "")</f>
        <v/>
      </c>
      <c r="E218" s="6" t="str">
        <f>IF(Changed!E218&lt;&gt;"", Changed!E218, "")</f>
        <v>Sap Sipper</v>
      </c>
      <c r="F218" s="6" t="str">
        <f>IF(Changed!F218&lt;&gt;"", Changed!F218, "")</f>
        <v>Rock Head</v>
      </c>
      <c r="G218" s="7" t="str" cm="1">
        <f t="array" ref="G218">INDEX(Changed!$G:$G,ROW())&amp;IF(Changed!$G218&gt;Base!$G218,"↑",IF(Changed!$G218&lt;Base!$G218," ↓",""))</f>
        <v>290</v>
      </c>
      <c r="H218" s="7" t="str" cm="1">
        <f t="array" ref="H218">INDEX(Changed!$H:$H,ROW())&amp;IF(Changed!$H218&gt;Base!$H218,"↑",IF(Changed!$H218&lt;Base!$H218," ↓",""))</f>
        <v>50</v>
      </c>
      <c r="I218" s="7" t="str" cm="1">
        <f t="array" ref="I218">INDEX(Changed!$I:$I,ROW())&amp;IF(Changed!$I218&gt;Base!$I218,"↑",IF(Changed!$I218&lt;Base!$I218," ↓",""))</f>
        <v>80</v>
      </c>
      <c r="J218" s="7" t="str" cm="1">
        <f t="array" ref="J218">INDEX(Changed!$J:$J,ROW())&amp;IF(Changed!$J218&gt;Base!$J218,"↑",IF(Changed!$J218&lt;Base!$J218," ↓",""))</f>
        <v>95</v>
      </c>
      <c r="K218" s="7" t="str" cm="1">
        <f t="array" ref="K218">INDEX(Changed!$K:$K,ROW())&amp;IF(Changed!$K218&gt;Base!$K218,"↑",IF(Changed!$K218&lt;Base!$K218," ↓",""))</f>
        <v>10</v>
      </c>
      <c r="L218" s="7" t="str" cm="1">
        <f t="array" ref="L218">INDEX(Changed!$L:$L,ROW())&amp;IF(Changed!$L218&gt;Base!$L218,"↑",IF(Changed!$L218&lt;Base!$L218," ↓",""))</f>
        <v>45</v>
      </c>
      <c r="M218" s="7" t="str" cm="1">
        <f t="array" ref="M218">INDEX(Changed!$M:$M,ROW())&amp;IF(Changed!$M218&gt;Base!$M218,"↑",IF(Changed!$M218&lt;Base!$M218," ↓",""))</f>
        <v>10</v>
      </c>
      <c r="N218" s="19">
        <f>Changed!G218-Base!G218</f>
        <v>0</v>
      </c>
    </row>
    <row r="219" spans="1:14" ht="15.75" customHeight="1" x14ac:dyDescent="0.2">
      <c r="A219" s="4">
        <v>218</v>
      </c>
      <c r="B219" s="5" t="s">
        <v>219</v>
      </c>
      <c r="C219" s="6" t="str">
        <f>IF(Changed!C219&lt;&gt;"", Changed!C219, "")</f>
        <v>Rock</v>
      </c>
      <c r="D219" s="6" t="str">
        <f>IF(Changed!D219&lt;&gt;"", Changed!D219, "")</f>
        <v/>
      </c>
      <c r="E219" s="6" t="str">
        <f>IF(Changed!E219&lt;&gt;"", Changed!E219, "")</f>
        <v>Sap Sipper</v>
      </c>
      <c r="F219" s="6" t="str">
        <f>IF(Changed!F219&lt;&gt;"", Changed!F219, "")</f>
        <v>Rock Head</v>
      </c>
      <c r="G219" s="7" t="str" cm="1">
        <f t="array" ref="G219">INDEX(Changed!$G:$G,ROW())&amp;IF(Changed!$G219&gt;Base!$G219,"↑",IF(Changed!$G219&lt;Base!$G219," ↓",""))</f>
        <v>410</v>
      </c>
      <c r="H219" s="7" t="str" cm="1">
        <f t="array" ref="H219">INDEX(Changed!$H:$H,ROW())&amp;IF(Changed!$H219&gt;Base!$H219,"↑",IF(Changed!$H219&lt;Base!$H219," ↓",""))</f>
        <v>70</v>
      </c>
      <c r="I219" s="7" t="str" cm="1">
        <f t="array" ref="I219">INDEX(Changed!$I:$I,ROW())&amp;IF(Changed!$I219&gt;Base!$I219,"↑",IF(Changed!$I219&lt;Base!$I219," ↓",""))</f>
        <v>100</v>
      </c>
      <c r="J219" s="7" t="str" cm="1">
        <f t="array" ref="J219">INDEX(Changed!$J:$J,ROW())&amp;IF(Changed!$J219&gt;Base!$J219,"↑",IF(Changed!$J219&lt;Base!$J219," ↓",""))</f>
        <v>115</v>
      </c>
      <c r="K219" s="7" t="str" cm="1">
        <f t="array" ref="K219">INDEX(Changed!$K:$K,ROW())&amp;IF(Changed!$K219&gt;Base!$K219,"↑",IF(Changed!$K219&lt;Base!$K219," ↓",""))</f>
        <v>30</v>
      </c>
      <c r="L219" s="7" t="str" cm="1">
        <f t="array" ref="L219">INDEX(Changed!$L:$L,ROW())&amp;IF(Changed!$L219&gt;Base!$L219,"↑",IF(Changed!$L219&lt;Base!$L219," ↓",""))</f>
        <v>65</v>
      </c>
      <c r="M219" s="7" t="str" cm="1">
        <f t="array" ref="M219">INDEX(Changed!$M:$M,ROW())&amp;IF(Changed!$M219&gt;Base!$M219,"↑",IF(Changed!$M219&lt;Base!$M219," ↓",""))</f>
        <v>30</v>
      </c>
      <c r="N219" s="19">
        <f>Changed!G219-Base!G219</f>
        <v>0</v>
      </c>
    </row>
    <row r="220" spans="1:14" ht="15.75" customHeight="1" x14ac:dyDescent="0.2">
      <c r="A220" s="4">
        <v>219</v>
      </c>
      <c r="B220" s="5" t="s">
        <v>221</v>
      </c>
      <c r="C220" s="6" t="str">
        <f>IF(Changed!C220&lt;&gt;"", Changed!C220, "")</f>
        <v>Grass</v>
      </c>
      <c r="D220" s="6" t="str">
        <f>IF(Changed!D220&lt;&gt;"", Changed!D220, "")</f>
        <v>Flying</v>
      </c>
      <c r="E220" s="6" t="str">
        <f>IF(Changed!E220&lt;&gt;"", Changed!E220, "")</f>
        <v>Chlorophyll</v>
      </c>
      <c r="F220" s="6" t="str">
        <f>IF(Changed!F220&lt;&gt;"", Changed!F220, "")</f>
        <v>Leaf Guard</v>
      </c>
      <c r="G220" s="7" t="str" cm="1">
        <f t="array" ref="G220">INDEX(Changed!$G:$G,ROW())&amp;IF(Changed!$G220&gt;Base!$G220,"↑",IF(Changed!$G220&lt;Base!$G220," ↓",""))</f>
        <v>250</v>
      </c>
      <c r="H220" s="7" t="str" cm="1">
        <f t="array" ref="H220">INDEX(Changed!$H:$H,ROW())&amp;IF(Changed!$H220&gt;Base!$H220,"↑",IF(Changed!$H220&lt;Base!$H220," ↓",""))</f>
        <v>35</v>
      </c>
      <c r="I220" s="7" t="str" cm="1">
        <f t="array" ref="I220">INDEX(Changed!$I:$I,ROW())&amp;IF(Changed!$I220&gt;Base!$I220,"↑",IF(Changed!$I220&lt;Base!$I220," ↓",""))</f>
        <v>35</v>
      </c>
      <c r="J220" s="7" t="str" cm="1">
        <f t="array" ref="J220">INDEX(Changed!$J:$J,ROW())&amp;IF(Changed!$J220&gt;Base!$J220,"↑",IF(Changed!$J220&lt;Base!$J220," ↓",""))</f>
        <v>40</v>
      </c>
      <c r="K220" s="7" t="str" cm="1">
        <f t="array" ref="K220">INDEX(Changed!$K:$K,ROW())&amp;IF(Changed!$K220&gt;Base!$K220,"↑",IF(Changed!$K220&lt;Base!$K220," ↓",""))</f>
        <v>35</v>
      </c>
      <c r="L220" s="7" t="str" cm="1">
        <f t="array" ref="L220">INDEX(Changed!$L:$L,ROW())&amp;IF(Changed!$L220&gt;Base!$L220,"↑",IF(Changed!$L220&lt;Base!$L220," ↓",""))</f>
        <v>55</v>
      </c>
      <c r="M220" s="7" t="str" cm="1">
        <f t="array" ref="M220">INDEX(Changed!$M:$M,ROW())&amp;IF(Changed!$M220&gt;Base!$M220,"↑",IF(Changed!$M220&lt;Base!$M220," ↓",""))</f>
        <v>50</v>
      </c>
      <c r="N220" s="19">
        <f>Changed!G220-Base!G220</f>
        <v>0</v>
      </c>
    </row>
    <row r="221" spans="1:14" ht="15.75" customHeight="1" x14ac:dyDescent="0.2">
      <c r="A221" s="4">
        <v>220</v>
      </c>
      <c r="B221" s="5" t="s">
        <v>222</v>
      </c>
      <c r="C221" s="6" t="str">
        <f>IF(Changed!C221&lt;&gt;"", Changed!C221, "")</f>
        <v>Grass</v>
      </c>
      <c r="D221" s="6" t="str">
        <f>IF(Changed!D221&lt;&gt;"", Changed!D221, "")</f>
        <v>Flying</v>
      </c>
      <c r="E221" s="6" t="str">
        <f>IF(Changed!E221&lt;&gt;"", Changed!E221, "")</f>
        <v>Chlorophyll</v>
      </c>
      <c r="F221" s="6" t="str">
        <f>IF(Changed!F221&lt;&gt;"", Changed!F221, "")</f>
        <v>Leaf Guard</v>
      </c>
      <c r="G221" s="7" t="str" cm="1">
        <f t="array" ref="G221">INDEX(Changed!$G:$G,ROW())&amp;IF(Changed!$G221&gt;Base!$G221,"↑",IF(Changed!$G221&lt;Base!$G221," ↓",""))</f>
        <v>340</v>
      </c>
      <c r="H221" s="7" t="str" cm="1">
        <f t="array" ref="H221">INDEX(Changed!$H:$H,ROW())&amp;IF(Changed!$H221&gt;Base!$H221,"↑",IF(Changed!$H221&lt;Base!$H221," ↓",""))</f>
        <v>55</v>
      </c>
      <c r="I221" s="7" t="str" cm="1">
        <f t="array" ref="I221">INDEX(Changed!$I:$I,ROW())&amp;IF(Changed!$I221&gt;Base!$I221,"↑",IF(Changed!$I221&lt;Base!$I221," ↓",""))</f>
        <v>45</v>
      </c>
      <c r="J221" s="7" t="str" cm="1">
        <f t="array" ref="J221">INDEX(Changed!$J:$J,ROW())&amp;IF(Changed!$J221&gt;Base!$J221,"↑",IF(Changed!$J221&lt;Base!$J221," ↓",""))</f>
        <v>50</v>
      </c>
      <c r="K221" s="7" t="str" cm="1">
        <f t="array" ref="K221">INDEX(Changed!$K:$K,ROW())&amp;IF(Changed!$K221&gt;Base!$K221,"↑",IF(Changed!$K221&lt;Base!$K221," ↓",""))</f>
        <v>45</v>
      </c>
      <c r="L221" s="7" t="str" cm="1">
        <f t="array" ref="L221">INDEX(Changed!$L:$L,ROW())&amp;IF(Changed!$L221&gt;Base!$L221,"↑",IF(Changed!$L221&lt;Base!$L221," ↓",""))</f>
        <v>65</v>
      </c>
      <c r="M221" s="7" t="str" cm="1">
        <f t="array" ref="M221">INDEX(Changed!$M:$M,ROW())&amp;IF(Changed!$M221&gt;Base!$M221,"↑",IF(Changed!$M221&lt;Base!$M221," ↓",""))</f>
        <v>80</v>
      </c>
      <c r="N221" s="19">
        <f>Changed!G221-Base!G221</f>
        <v>0</v>
      </c>
    </row>
    <row r="222" spans="1:14" ht="15.75" customHeight="1" x14ac:dyDescent="0.2">
      <c r="A222" s="4">
        <v>221</v>
      </c>
      <c r="B222" s="5" t="s">
        <v>223</v>
      </c>
      <c r="C222" s="6" t="str">
        <f>IF(Changed!C222&lt;&gt;"", Changed!C222, "")</f>
        <v>Grass</v>
      </c>
      <c r="D222" s="6" t="str">
        <f>IF(Changed!D222&lt;&gt;"", Changed!D222, "")</f>
        <v>Flying</v>
      </c>
      <c r="E222" s="6" t="str">
        <f>IF(Changed!E222&lt;&gt;"", Changed!E222, "")</f>
        <v>Chlorophyll</v>
      </c>
      <c r="F222" s="6" t="str">
        <f>IF(Changed!F222&lt;&gt;"", Changed!F222, "")</f>
        <v>Leaf Guard</v>
      </c>
      <c r="G222" s="7" t="str" cm="1">
        <f t="array" ref="G222">INDEX(Changed!$G:$G,ROW())&amp;IF(Changed!$G222&gt;Base!$G222,"↑",IF(Changed!$G222&lt;Base!$G222," ↓",""))</f>
        <v>450</v>
      </c>
      <c r="H222" s="7" t="str" cm="1">
        <f t="array" ref="H222">INDEX(Changed!$H:$H,ROW())&amp;IF(Changed!$H222&gt;Base!$H222,"↑",IF(Changed!$H222&lt;Base!$H222," ↓",""))</f>
        <v>75</v>
      </c>
      <c r="I222" s="7" t="str" cm="1">
        <f t="array" ref="I222">INDEX(Changed!$I:$I,ROW())&amp;IF(Changed!$I222&gt;Base!$I222,"↑",IF(Changed!$I222&lt;Base!$I222," ↓",""))</f>
        <v>55</v>
      </c>
      <c r="J222" s="7" t="str" cm="1">
        <f t="array" ref="J222">INDEX(Changed!$J:$J,ROW())&amp;IF(Changed!$J222&gt;Base!$J222,"↑",IF(Changed!$J222&lt;Base!$J222," ↓",""))</f>
        <v>70</v>
      </c>
      <c r="K222" s="7" t="str" cm="1">
        <f t="array" ref="K222">INDEX(Changed!$K:$K,ROW())&amp;IF(Changed!$K222&gt;Base!$K222,"↑",IF(Changed!$K222&lt;Base!$K222," ↓",""))</f>
        <v>55</v>
      </c>
      <c r="L222" s="7" t="str" cm="1">
        <f t="array" ref="L222">INDEX(Changed!$L:$L,ROW())&amp;IF(Changed!$L222&gt;Base!$L222,"↑",IF(Changed!$L222&lt;Base!$L222," ↓",""))</f>
        <v>85</v>
      </c>
      <c r="M222" s="7" t="str" cm="1">
        <f t="array" ref="M222">INDEX(Changed!$M:$M,ROW())&amp;IF(Changed!$M222&gt;Base!$M222,"↑",IF(Changed!$M222&lt;Base!$M222," ↓",""))</f>
        <v>110</v>
      </c>
      <c r="N222" s="19">
        <f>Changed!G222-Base!G222</f>
        <v>0</v>
      </c>
    </row>
    <row r="223" spans="1:14" ht="15.75" customHeight="1" x14ac:dyDescent="0.2">
      <c r="A223" s="4">
        <v>222</v>
      </c>
      <c r="B223" s="5" t="s">
        <v>224</v>
      </c>
      <c r="C223" s="6" t="str">
        <f>IF(Changed!C223&lt;&gt;"", Changed!C223, "")</f>
        <v>Normal</v>
      </c>
      <c r="D223" s="6" t="str">
        <f>IF(Changed!D223&lt;&gt;"", Changed!D223, "")</f>
        <v/>
      </c>
      <c r="E223" s="6" t="str">
        <f>IF(Changed!E223&lt;&gt;"", Changed!E223, "")</f>
        <v>Run Away</v>
      </c>
      <c r="F223" s="6" t="str">
        <f>IF(Changed!F223&lt;&gt;"", Changed!F223, "")</f>
        <v>Skill Link</v>
      </c>
      <c r="G223" s="7" t="str" cm="1">
        <f t="array" ref="G223">INDEX(Changed!$G:$G,ROW())&amp;IF(Changed!$G223&gt;Base!$G223,"↑",IF(Changed!$G223&lt;Base!$G223," ↓",""))</f>
        <v>360</v>
      </c>
      <c r="H223" s="7" t="str" cm="1">
        <f t="array" ref="H223">INDEX(Changed!$H:$H,ROW())&amp;IF(Changed!$H223&gt;Base!$H223,"↑",IF(Changed!$H223&lt;Base!$H223," ↓",""))</f>
        <v>55</v>
      </c>
      <c r="I223" s="7" t="str" cm="1">
        <f t="array" ref="I223">INDEX(Changed!$I:$I,ROW())&amp;IF(Changed!$I223&gt;Base!$I223,"↑",IF(Changed!$I223&lt;Base!$I223," ↓",""))</f>
        <v>70</v>
      </c>
      <c r="J223" s="7" t="str" cm="1">
        <f t="array" ref="J223">INDEX(Changed!$J:$J,ROW())&amp;IF(Changed!$J223&gt;Base!$J223,"↑",IF(Changed!$J223&lt;Base!$J223," ↓",""))</f>
        <v>55</v>
      </c>
      <c r="K223" s="7" t="str" cm="1">
        <f t="array" ref="K223">INDEX(Changed!$K:$K,ROW())&amp;IF(Changed!$K223&gt;Base!$K223,"↑",IF(Changed!$K223&lt;Base!$K223," ↓",""))</f>
        <v>40</v>
      </c>
      <c r="L223" s="7" t="str" cm="1">
        <f t="array" ref="L223">INDEX(Changed!$L:$L,ROW())&amp;IF(Changed!$L223&gt;Base!$L223,"↑",IF(Changed!$L223&lt;Base!$L223," ↓",""))</f>
        <v>55</v>
      </c>
      <c r="M223" s="7" t="str" cm="1">
        <f t="array" ref="M223">INDEX(Changed!$M:$M,ROW())&amp;IF(Changed!$M223&gt;Base!$M223,"↑",IF(Changed!$M223&lt;Base!$M223," ↓",""))</f>
        <v>85</v>
      </c>
      <c r="N223" s="19">
        <f>Changed!G223-Base!G223</f>
        <v>0</v>
      </c>
    </row>
    <row r="224" spans="1:14" ht="15.75" customHeight="1" x14ac:dyDescent="0.2">
      <c r="A224" s="4">
        <v>223</v>
      </c>
      <c r="B224" s="5" t="s">
        <v>459</v>
      </c>
      <c r="C224" s="6" t="str">
        <f>IF(Changed!C224&lt;&gt;"", Changed!C224, "")</f>
        <v>Normal</v>
      </c>
      <c r="D224" s="6" t="str">
        <f>IF(Changed!D224&lt;&gt;"", Changed!D224, "")</f>
        <v/>
      </c>
      <c r="E224" s="6" t="str">
        <f>IF(Changed!E224&lt;&gt;"", Changed!E224, "")</f>
        <v>Technician</v>
      </c>
      <c r="F224" s="6" t="str">
        <f>IF(Changed!F224&lt;&gt;"", Changed!F224, "")</f>
        <v>Skill Link</v>
      </c>
      <c r="G224" s="7" t="str" cm="1">
        <f t="array" ref="G224">INDEX(Changed!$G:$G,ROW())&amp;IF(Changed!$G224&gt;Base!$G224,"↑",IF(Changed!$G224&lt;Base!$G224," ↓",""))</f>
        <v>482</v>
      </c>
      <c r="H224" s="7" t="str" cm="1">
        <f t="array" ref="H224">INDEX(Changed!$H:$H,ROW())&amp;IF(Changed!$H224&gt;Base!$H224,"↑",IF(Changed!$H224&lt;Base!$H224," ↓",""))</f>
        <v>75</v>
      </c>
      <c r="I224" s="7" t="str" cm="1">
        <f t="array" ref="I224">INDEX(Changed!$I:$I,ROW())&amp;IF(Changed!$I224&gt;Base!$I224,"↑",IF(Changed!$I224&lt;Base!$I224," ↓",""))</f>
        <v>100</v>
      </c>
      <c r="J224" s="7" t="str" cm="1">
        <f t="array" ref="J224">INDEX(Changed!$J:$J,ROW())&amp;IF(Changed!$J224&gt;Base!$J224,"↑",IF(Changed!$J224&lt;Base!$J224," ↓",""))</f>
        <v>66</v>
      </c>
      <c r="K224" s="7" t="str" cm="1">
        <f t="array" ref="K224">INDEX(Changed!$K:$K,ROW())&amp;IF(Changed!$K224&gt;Base!$K224,"↑",IF(Changed!$K224&lt;Base!$K224," ↓",""))</f>
        <v>60</v>
      </c>
      <c r="L224" s="7" t="str" cm="1">
        <f t="array" ref="L224">INDEX(Changed!$L:$L,ROW())&amp;IF(Changed!$L224&gt;Base!$L224,"↑",IF(Changed!$L224&lt;Base!$L224," ↓",""))</f>
        <v>66</v>
      </c>
      <c r="M224" s="7" t="str" cm="1">
        <f t="array" ref="M224">INDEX(Changed!$M:$M,ROW())&amp;IF(Changed!$M224&gt;Base!$M224,"↑",IF(Changed!$M224&lt;Base!$M224," ↓",""))</f>
        <v>115</v>
      </c>
      <c r="N224" s="19">
        <f>Changed!G224-Base!G224</f>
        <v>0</v>
      </c>
    </row>
    <row r="225" spans="1:14" ht="15.75" customHeight="1" x14ac:dyDescent="0.2">
      <c r="A225" s="4">
        <v>224</v>
      </c>
      <c r="B225" s="5" t="s">
        <v>225</v>
      </c>
      <c r="C225" s="6" t="str">
        <f>IF(Changed!C225&lt;&gt;"", Changed!C225, "")</f>
        <v>Grass</v>
      </c>
      <c r="D225" s="6" t="str">
        <f>IF(Changed!D225&lt;&gt;"", Changed!D225, "")</f>
        <v>Normal</v>
      </c>
      <c r="E225" s="6" t="str">
        <f>IF(Changed!E225&lt;&gt;"", Changed!E225, "")</f>
        <v>Chlorophyll</v>
      </c>
      <c r="F225" s="6" t="str">
        <f>IF(Changed!F225&lt;&gt;"", Changed!F225, "")</f>
        <v>Solar Power</v>
      </c>
      <c r="G225" s="7" t="str" cm="1">
        <f t="array" ref="G225">INDEX(Changed!$G:$G,ROW())&amp;IF(Changed!$G225&gt;Base!$G225,"↑",IF(Changed!$G225&lt;Base!$G225," ↓",""))</f>
        <v>180</v>
      </c>
      <c r="H225" s="7" t="str" cm="1">
        <f t="array" ref="H225">INDEX(Changed!$H:$H,ROW())&amp;IF(Changed!$H225&gt;Base!$H225,"↑",IF(Changed!$H225&lt;Base!$H225," ↓",""))</f>
        <v>30</v>
      </c>
      <c r="I225" s="7" t="str" cm="1">
        <f t="array" ref="I225">INDEX(Changed!$I:$I,ROW())&amp;IF(Changed!$I225&gt;Base!$I225,"↑",IF(Changed!$I225&lt;Base!$I225," ↓",""))</f>
        <v>30</v>
      </c>
      <c r="J225" s="7" t="str" cm="1">
        <f t="array" ref="J225">INDEX(Changed!$J:$J,ROW())&amp;IF(Changed!$J225&gt;Base!$J225,"↑",IF(Changed!$J225&lt;Base!$J225," ↓",""))</f>
        <v>30</v>
      </c>
      <c r="K225" s="7" t="str" cm="1">
        <f t="array" ref="K225">INDEX(Changed!$K:$K,ROW())&amp;IF(Changed!$K225&gt;Base!$K225,"↑",IF(Changed!$K225&lt;Base!$K225," ↓",""))</f>
        <v>30</v>
      </c>
      <c r="L225" s="7" t="str" cm="1">
        <f t="array" ref="L225">INDEX(Changed!$L:$L,ROW())&amp;IF(Changed!$L225&gt;Base!$L225,"↑",IF(Changed!$L225&lt;Base!$L225," ↓",""))</f>
        <v>30</v>
      </c>
      <c r="M225" s="7" t="str" cm="1">
        <f t="array" ref="M225">INDEX(Changed!$M:$M,ROW())&amp;IF(Changed!$M225&gt;Base!$M225,"↑",IF(Changed!$M225&lt;Base!$M225," ↓",""))</f>
        <v>30</v>
      </c>
      <c r="N225" s="19">
        <f>Changed!G225-Base!G225</f>
        <v>0</v>
      </c>
    </row>
    <row r="226" spans="1:14" ht="15.75" customHeight="1" x14ac:dyDescent="0.2">
      <c r="A226" s="4">
        <v>225</v>
      </c>
      <c r="B226" s="5" t="s">
        <v>226</v>
      </c>
      <c r="C226" s="6" t="str">
        <f>IF(Changed!C226&lt;&gt;"", Changed!C226, "")</f>
        <v>Grass</v>
      </c>
      <c r="D226" s="6" t="str">
        <f>IF(Changed!D226&lt;&gt;"", Changed!D226, "")</f>
        <v>Normal</v>
      </c>
      <c r="E226" s="6" t="str">
        <f>IF(Changed!E226&lt;&gt;"", Changed!E226, "")</f>
        <v>Chlorophyll</v>
      </c>
      <c r="F226" s="6" t="str">
        <f>IF(Changed!F226&lt;&gt;"", Changed!F226, "")</f>
        <v>Solar Power</v>
      </c>
      <c r="G226" s="7" t="str" cm="1">
        <f t="array" ref="G226">INDEX(Changed!$G:$G,ROW())&amp;IF(Changed!$G226&gt;Base!$G226,"↑",IF(Changed!$G226&lt;Base!$G226," ↓",""))</f>
        <v>425</v>
      </c>
      <c r="H226" s="7" t="str" cm="1">
        <f t="array" ref="H226">INDEX(Changed!$H:$H,ROW())&amp;IF(Changed!$H226&gt;Base!$H226,"↑",IF(Changed!$H226&lt;Base!$H226," ↓",""))</f>
        <v>75</v>
      </c>
      <c r="I226" s="7" t="str" cm="1">
        <f t="array" ref="I226">INDEX(Changed!$I:$I,ROW())&amp;IF(Changed!$I226&gt;Base!$I226,"↑",IF(Changed!$I226&lt;Base!$I226," ↓",""))</f>
        <v>75</v>
      </c>
      <c r="J226" s="7" t="str" cm="1">
        <f t="array" ref="J226">INDEX(Changed!$J:$J,ROW())&amp;IF(Changed!$J226&gt;Base!$J226,"↑",IF(Changed!$J226&lt;Base!$J226," ↓",""))</f>
        <v>55</v>
      </c>
      <c r="K226" s="7" t="str" cm="1">
        <f t="array" ref="K226">INDEX(Changed!$K:$K,ROW())&amp;IF(Changed!$K226&gt;Base!$K226,"↑",IF(Changed!$K226&lt;Base!$K226," ↓",""))</f>
        <v>105</v>
      </c>
      <c r="L226" s="7" t="str" cm="1">
        <f t="array" ref="L226">INDEX(Changed!$L:$L,ROW())&amp;IF(Changed!$L226&gt;Base!$L226,"↑",IF(Changed!$L226&lt;Base!$L226," ↓",""))</f>
        <v>85</v>
      </c>
      <c r="M226" s="7" t="str" cm="1">
        <f t="array" ref="M226">INDEX(Changed!$M:$M,ROW())&amp;IF(Changed!$M226&gt;Base!$M226,"↑",IF(Changed!$M226&lt;Base!$M226," ↓",""))</f>
        <v>30</v>
      </c>
      <c r="N226" s="19">
        <f>Changed!G226-Base!G226</f>
        <v>0</v>
      </c>
    </row>
    <row r="227" spans="1:14" ht="15.75" customHeight="1" x14ac:dyDescent="0.2">
      <c r="A227" s="4">
        <v>226</v>
      </c>
      <c r="B227" s="5" t="s">
        <v>227</v>
      </c>
      <c r="C227" s="6" t="str">
        <f>IF(Changed!C227&lt;&gt;"", Changed!C227, "")</f>
        <v>Bug</v>
      </c>
      <c r="D227" s="6" t="str">
        <f>IF(Changed!D227&lt;&gt;"", Changed!D227, "")</f>
        <v>Flying</v>
      </c>
      <c r="E227" s="6" t="str">
        <f>IF(Changed!E227&lt;&gt;"", Changed!E227, "")</f>
        <v>Speed Boost</v>
      </c>
      <c r="F227" s="6" t="str">
        <f>IF(Changed!F227&lt;&gt;"", Changed!F227, "")</f>
        <v>Compound Eyes</v>
      </c>
      <c r="G227" s="7" t="str" cm="1">
        <f t="array" ref="G227">INDEX(Changed!$G:$G,ROW())&amp;IF(Changed!$G227&gt;Base!$G227,"↑",IF(Changed!$G227&lt;Base!$G227," ↓",""))</f>
        <v>390</v>
      </c>
      <c r="H227" s="7" t="str" cm="1">
        <f t="array" ref="H227">INDEX(Changed!$H:$H,ROW())&amp;IF(Changed!$H227&gt;Base!$H227,"↑",IF(Changed!$H227&lt;Base!$H227," ↓",""))</f>
        <v>65</v>
      </c>
      <c r="I227" s="7" t="str" cm="1">
        <f t="array" ref="I227">INDEX(Changed!$I:$I,ROW())&amp;IF(Changed!$I227&gt;Base!$I227,"↑",IF(Changed!$I227&lt;Base!$I227," ↓",""))</f>
        <v>65</v>
      </c>
      <c r="J227" s="7" t="str" cm="1">
        <f t="array" ref="J227">INDEX(Changed!$J:$J,ROW())&amp;IF(Changed!$J227&gt;Base!$J227,"↑",IF(Changed!$J227&lt;Base!$J227," ↓",""))</f>
        <v>45</v>
      </c>
      <c r="K227" s="7" t="str" cm="1">
        <f t="array" ref="K227">INDEX(Changed!$K:$K,ROW())&amp;IF(Changed!$K227&gt;Base!$K227,"↑",IF(Changed!$K227&lt;Base!$K227," ↓",""))</f>
        <v>75</v>
      </c>
      <c r="L227" s="7" t="str" cm="1">
        <f t="array" ref="L227">INDEX(Changed!$L:$L,ROW())&amp;IF(Changed!$L227&gt;Base!$L227,"↑",IF(Changed!$L227&lt;Base!$L227," ↓",""))</f>
        <v>45</v>
      </c>
      <c r="M227" s="7" t="str" cm="1">
        <f t="array" ref="M227">INDEX(Changed!$M:$M,ROW())&amp;IF(Changed!$M227&gt;Base!$M227,"↑",IF(Changed!$M227&lt;Base!$M227," ↓",""))</f>
        <v>95</v>
      </c>
      <c r="N227" s="19">
        <f>Changed!G227-Base!G227</f>
        <v>0</v>
      </c>
    </row>
    <row r="228" spans="1:14" ht="15.75" customHeight="1" x14ac:dyDescent="0.2">
      <c r="A228" s="4">
        <v>227</v>
      </c>
      <c r="B228" s="5" t="s">
        <v>504</v>
      </c>
      <c r="C228" s="6" t="str">
        <f>IF(Changed!C228&lt;&gt;"", Changed!C228, "")</f>
        <v>Bug</v>
      </c>
      <c r="D228" s="6" t="str">
        <f>IF(Changed!D228&lt;&gt;"", Changed!D228, "")</f>
        <v>Dragon</v>
      </c>
      <c r="E228" s="6" t="str">
        <f>IF(Changed!E228&lt;&gt;"", Changed!E228, "")</f>
        <v>Speed Boost</v>
      </c>
      <c r="F228" s="6" t="str">
        <f>IF(Changed!F228&lt;&gt;"", Changed!F228, "")</f>
        <v>Tinted Lens</v>
      </c>
      <c r="G228" s="7" t="str" cm="1">
        <f t="array" ref="G228">INDEX(Changed!$G:$G,ROW())&amp;IF(Changed!$G228&gt;Base!$G228,"↑",IF(Changed!$G228&lt;Base!$G228," ↓",""))</f>
        <v>515</v>
      </c>
      <c r="H228" s="7" t="str" cm="1">
        <f t="array" ref="H228">INDEX(Changed!$H:$H,ROW())&amp;IF(Changed!$H228&gt;Base!$H228,"↑",IF(Changed!$H228&lt;Base!$H228," ↓",""))</f>
        <v>86</v>
      </c>
      <c r="I228" s="7" t="str" cm="1">
        <f t="array" ref="I228">INDEX(Changed!$I:$I,ROW())&amp;IF(Changed!$I228&gt;Base!$I228,"↑",IF(Changed!$I228&lt;Base!$I228," ↓",""))</f>
        <v>76</v>
      </c>
      <c r="J228" s="7" t="str" cm="1">
        <f t="array" ref="J228">INDEX(Changed!$J:$J,ROW())&amp;IF(Changed!$J228&gt;Base!$J228,"↑",IF(Changed!$J228&lt;Base!$J228," ↓",""))</f>
        <v>86</v>
      </c>
      <c r="K228" s="7" t="str" cm="1">
        <f t="array" ref="K228">INDEX(Changed!$K:$K,ROW())&amp;IF(Changed!$K228&gt;Base!$K228,"↑",IF(Changed!$K228&lt;Base!$K228," ↓",""))</f>
        <v>116</v>
      </c>
      <c r="L228" s="7" t="str" cm="1">
        <f t="array" ref="L228">INDEX(Changed!$L:$L,ROW())&amp;IF(Changed!$L228&gt;Base!$L228,"↑",IF(Changed!$L228&lt;Base!$L228," ↓",""))</f>
        <v>56</v>
      </c>
      <c r="M228" s="7" t="str" cm="1">
        <f t="array" ref="M228">INDEX(Changed!$M:$M,ROW())&amp;IF(Changed!$M228&gt;Base!$M228,"↑",IF(Changed!$M228&lt;Base!$M228," ↓",""))</f>
        <v>95</v>
      </c>
      <c r="N228" s="19">
        <f>Changed!G228-Base!G228</f>
        <v>0</v>
      </c>
    </row>
    <row r="229" spans="1:14" ht="15.75" customHeight="1" x14ac:dyDescent="0.2">
      <c r="A229" s="4">
        <v>228</v>
      </c>
      <c r="B229" s="5" t="s">
        <v>228</v>
      </c>
      <c r="C229" s="6" t="str">
        <f>IF(Changed!C229&lt;&gt;"", Changed!C229, "")</f>
        <v>Water</v>
      </c>
      <c r="D229" s="6" t="str">
        <f>IF(Changed!D229&lt;&gt;"", Changed!D229, "")</f>
        <v>Ground</v>
      </c>
      <c r="E229" s="6" t="str">
        <f>IF(Changed!E229&lt;&gt;"", Changed!E229, "")</f>
        <v>Damp</v>
      </c>
      <c r="F229" s="6" t="str">
        <f>IF(Changed!F229&lt;&gt;"", Changed!F229, "")</f>
        <v>Sap Sipper</v>
      </c>
      <c r="G229" s="7" t="str" cm="1">
        <f t="array" ref="G229">INDEX(Changed!$G:$G,ROW())&amp;IF(Changed!$G229&gt;Base!$G229,"↑",IF(Changed!$G229&lt;Base!$G229," ↓",""))</f>
        <v>210</v>
      </c>
      <c r="H229" s="7" t="str" cm="1">
        <f t="array" ref="H229">INDEX(Changed!$H:$H,ROW())&amp;IF(Changed!$H229&gt;Base!$H229,"↑",IF(Changed!$H229&lt;Base!$H229," ↓",""))</f>
        <v>55</v>
      </c>
      <c r="I229" s="7" t="str" cm="1">
        <f t="array" ref="I229">INDEX(Changed!$I:$I,ROW())&amp;IF(Changed!$I229&gt;Base!$I229,"↑",IF(Changed!$I229&lt;Base!$I229," ↓",""))</f>
        <v>45</v>
      </c>
      <c r="J229" s="7" t="str" cm="1">
        <f t="array" ref="J229">INDEX(Changed!$J:$J,ROW())&amp;IF(Changed!$J229&gt;Base!$J229,"↑",IF(Changed!$J229&lt;Base!$J229," ↓",""))</f>
        <v>45</v>
      </c>
      <c r="K229" s="7" t="str" cm="1">
        <f t="array" ref="K229">INDEX(Changed!$K:$K,ROW())&amp;IF(Changed!$K229&gt;Base!$K229,"↑",IF(Changed!$K229&lt;Base!$K229," ↓",""))</f>
        <v>25</v>
      </c>
      <c r="L229" s="7" t="str" cm="1">
        <f t="array" ref="L229">INDEX(Changed!$L:$L,ROW())&amp;IF(Changed!$L229&gt;Base!$L229,"↑",IF(Changed!$L229&lt;Base!$L229," ↓",""))</f>
        <v>25</v>
      </c>
      <c r="M229" s="7" t="str" cm="1">
        <f t="array" ref="M229">INDEX(Changed!$M:$M,ROW())&amp;IF(Changed!$M229&gt;Base!$M229,"↑",IF(Changed!$M229&lt;Base!$M229," ↓",""))</f>
        <v>15</v>
      </c>
      <c r="N229" s="19">
        <f>Changed!G229-Base!G229</f>
        <v>0</v>
      </c>
    </row>
    <row r="230" spans="1:14" ht="15.75" customHeight="1" x14ac:dyDescent="0.2">
      <c r="A230" s="4">
        <v>229</v>
      </c>
      <c r="B230" s="5" t="s">
        <v>229</v>
      </c>
      <c r="C230" s="6" t="str">
        <f>IF(Changed!C230&lt;&gt;"", Changed!C230, "")</f>
        <v>Water</v>
      </c>
      <c r="D230" s="6" t="str">
        <f>IF(Changed!D230&lt;&gt;"", Changed!D230, "")</f>
        <v>Ground</v>
      </c>
      <c r="E230" s="6" t="str">
        <f>IF(Changed!E230&lt;&gt;"", Changed!E230, "")</f>
        <v>Damp</v>
      </c>
      <c r="F230" s="6" t="str">
        <f>IF(Changed!F230&lt;&gt;"", Changed!F230, "")</f>
        <v>Sap Sipper</v>
      </c>
      <c r="G230" s="7" t="str" cm="1">
        <f t="array" ref="G230">INDEX(Changed!$G:$G,ROW())&amp;IF(Changed!$G230&gt;Base!$G230,"↑",IF(Changed!$G230&lt;Base!$G230," ↓",""))</f>
        <v>430</v>
      </c>
      <c r="H230" s="7" t="str" cm="1">
        <f t="array" ref="H230">INDEX(Changed!$H:$H,ROW())&amp;IF(Changed!$H230&gt;Base!$H230,"↑",IF(Changed!$H230&lt;Base!$H230," ↓",""))</f>
        <v>95</v>
      </c>
      <c r="I230" s="7" t="str" cm="1">
        <f t="array" ref="I230">INDEX(Changed!$I:$I,ROW())&amp;IF(Changed!$I230&gt;Base!$I230,"↑",IF(Changed!$I230&lt;Base!$I230," ↓",""))</f>
        <v>85</v>
      </c>
      <c r="J230" s="7" t="str" cm="1">
        <f t="array" ref="J230">INDEX(Changed!$J:$J,ROW())&amp;IF(Changed!$J230&gt;Base!$J230,"↑",IF(Changed!$J230&lt;Base!$J230," ↓",""))</f>
        <v>85</v>
      </c>
      <c r="K230" s="7" t="str" cm="1">
        <f t="array" ref="K230">INDEX(Changed!$K:$K,ROW())&amp;IF(Changed!$K230&gt;Base!$K230,"↑",IF(Changed!$K230&lt;Base!$K230," ↓",""))</f>
        <v>65</v>
      </c>
      <c r="L230" s="7" t="str" cm="1">
        <f t="array" ref="L230">INDEX(Changed!$L:$L,ROW())&amp;IF(Changed!$L230&gt;Base!$L230,"↑",IF(Changed!$L230&lt;Base!$L230," ↓",""))</f>
        <v>65</v>
      </c>
      <c r="M230" s="7" t="str" cm="1">
        <f t="array" ref="M230">INDEX(Changed!$M:$M,ROW())&amp;IF(Changed!$M230&gt;Base!$M230,"↑",IF(Changed!$M230&lt;Base!$M230," ↓",""))</f>
        <v>35</v>
      </c>
      <c r="N230" s="19">
        <f>Changed!G230-Base!G230</f>
        <v>0</v>
      </c>
    </row>
    <row r="231" spans="1:14" ht="15.75" customHeight="1" x14ac:dyDescent="0.2">
      <c r="A231" s="4">
        <v>230</v>
      </c>
      <c r="B231" s="5" t="s">
        <v>233</v>
      </c>
      <c r="C231" s="6" t="str">
        <f>IF(Changed!C231&lt;&gt;"", Changed!C231, "")</f>
        <v>Dark</v>
      </c>
      <c r="D231" s="6" t="str">
        <f>IF(Changed!D231&lt;&gt;"", Changed!D231, "")</f>
        <v>Flying</v>
      </c>
      <c r="E231" s="6" t="str">
        <f>IF(Changed!E231&lt;&gt;"", Changed!E231, "")</f>
        <v>Prankster</v>
      </c>
      <c r="F231" s="6" t="str">
        <f>IF(Changed!F231&lt;&gt;"", Changed!F231, "")</f>
        <v>Super Luck</v>
      </c>
      <c r="G231" s="7" t="str" cm="1">
        <f t="array" ref="G231">INDEX(Changed!$G:$G,ROW())&amp;IF(Changed!$G231&gt;Base!$G231,"↑",IF(Changed!$G231&lt;Base!$G231," ↓",""))</f>
        <v>405</v>
      </c>
      <c r="H231" s="7" t="str" cm="1">
        <f t="array" ref="H231">INDEX(Changed!$H:$H,ROW())&amp;IF(Changed!$H231&gt;Base!$H231,"↑",IF(Changed!$H231&lt;Base!$H231," ↓",""))</f>
        <v>60</v>
      </c>
      <c r="I231" s="7" t="str" cm="1">
        <f t="array" ref="I231">INDEX(Changed!$I:$I,ROW())&amp;IF(Changed!$I231&gt;Base!$I231,"↑",IF(Changed!$I231&lt;Base!$I231," ↓",""))</f>
        <v>85</v>
      </c>
      <c r="J231" s="7" t="str" cm="1">
        <f t="array" ref="J231">INDEX(Changed!$J:$J,ROW())&amp;IF(Changed!$J231&gt;Base!$J231,"↑",IF(Changed!$J231&lt;Base!$J231," ↓",""))</f>
        <v>42</v>
      </c>
      <c r="K231" s="7" t="str" cm="1">
        <f t="array" ref="K231">INDEX(Changed!$K:$K,ROW())&amp;IF(Changed!$K231&gt;Base!$K231,"↑",IF(Changed!$K231&lt;Base!$K231," ↓",""))</f>
        <v>85</v>
      </c>
      <c r="L231" s="7" t="str" cm="1">
        <f t="array" ref="L231">INDEX(Changed!$L:$L,ROW())&amp;IF(Changed!$L231&gt;Base!$L231,"↑",IF(Changed!$L231&lt;Base!$L231," ↓",""))</f>
        <v>42</v>
      </c>
      <c r="M231" s="7" t="str" cm="1">
        <f t="array" ref="M231">INDEX(Changed!$M:$M,ROW())&amp;IF(Changed!$M231&gt;Base!$M231,"↑",IF(Changed!$M231&lt;Base!$M231," ↓",""))</f>
        <v>91</v>
      </c>
      <c r="N231" s="19">
        <f>Changed!G231-Base!G231</f>
        <v>0</v>
      </c>
    </row>
    <row r="232" spans="1:14" ht="15.75" customHeight="1" x14ac:dyDescent="0.2">
      <c r="A232" s="4">
        <v>231</v>
      </c>
      <c r="B232" s="5" t="s">
        <v>465</v>
      </c>
      <c r="C232" s="6" t="str">
        <f>IF(Changed!C232&lt;&gt;"", Changed!C232, "")</f>
        <v>Dark</v>
      </c>
      <c r="D232" s="6" t="str">
        <f>IF(Changed!D232&lt;&gt;"", Changed!D232, "")</f>
        <v>Flying</v>
      </c>
      <c r="E232" s="6" t="str">
        <f>IF(Changed!E232&lt;&gt;"", Changed!E232, "")</f>
        <v>Prankster</v>
      </c>
      <c r="F232" s="6" t="str">
        <f>IF(Changed!F232&lt;&gt;"", Changed!F232, "")</f>
        <v>Super Luck</v>
      </c>
      <c r="G232" s="7" t="str" cm="1">
        <f t="array" ref="G232">INDEX(Changed!$G:$G,ROW())&amp;IF(Changed!$G232&gt;Base!$G232,"↑",IF(Changed!$G232&lt;Base!$G232," ↓",""))</f>
        <v>505</v>
      </c>
      <c r="H232" s="7" t="str" cm="1">
        <f t="array" ref="H232">INDEX(Changed!$H:$H,ROW())&amp;IF(Changed!$H232&gt;Base!$H232,"↑",IF(Changed!$H232&lt;Base!$H232," ↓",""))</f>
        <v>100</v>
      </c>
      <c r="I232" s="7" t="str" cm="1">
        <f t="array" ref="I232">INDEX(Changed!$I:$I,ROW())&amp;IF(Changed!$I232&gt;Base!$I232,"↑",IF(Changed!$I232&lt;Base!$I232," ↓",""))</f>
        <v>125</v>
      </c>
      <c r="J232" s="7" t="str" cm="1">
        <f t="array" ref="J232">INDEX(Changed!$J:$J,ROW())&amp;IF(Changed!$J232&gt;Base!$J232,"↑",IF(Changed!$J232&lt;Base!$J232," ↓",""))</f>
        <v>52</v>
      </c>
      <c r="K232" s="7" t="str" cm="1">
        <f t="array" ref="K232">INDEX(Changed!$K:$K,ROW())&amp;IF(Changed!$K232&gt;Base!$K232,"↑",IF(Changed!$K232&lt;Base!$K232," ↓",""))</f>
        <v>105</v>
      </c>
      <c r="L232" s="7" t="str" cm="1">
        <f t="array" ref="L232">INDEX(Changed!$L:$L,ROW())&amp;IF(Changed!$L232&gt;Base!$L232,"↑",IF(Changed!$L232&lt;Base!$L232," ↓",""))</f>
        <v>52</v>
      </c>
      <c r="M232" s="7" t="str" cm="1">
        <f t="array" ref="M232">INDEX(Changed!$M:$M,ROW())&amp;IF(Changed!$M232&gt;Base!$M232,"↑",IF(Changed!$M232&lt;Base!$M232," ↓",""))</f>
        <v>71</v>
      </c>
      <c r="N232" s="19">
        <f>Changed!G232-Base!G232</f>
        <v>0</v>
      </c>
    </row>
    <row r="233" spans="1:14" ht="15.75" customHeight="1" x14ac:dyDescent="0.2">
      <c r="A233" s="4">
        <v>232</v>
      </c>
      <c r="B233" s="5" t="s">
        <v>235</v>
      </c>
      <c r="C233" s="6" t="str">
        <f>IF(Changed!C233&lt;&gt;"", Changed!C233, "")</f>
        <v>Ghost</v>
      </c>
      <c r="D233" s="6" t="str">
        <f>IF(Changed!D233&lt;&gt;"", Changed!D233, "")</f>
        <v>Psychic</v>
      </c>
      <c r="E233" s="6" t="str">
        <f>IF(Changed!E233&lt;&gt;"", Changed!E233, "")</f>
        <v>Levitate</v>
      </c>
      <c r="F233" s="6" t="str">
        <f>IF(Changed!F233&lt;&gt;"", Changed!F233, "")</f>
        <v>Rattled</v>
      </c>
      <c r="G233" s="7" t="str" cm="1">
        <f t="array" ref="G233">INDEX(Changed!$G:$G,ROW())&amp;IF(Changed!$G233&gt;Base!$G233,"↑",IF(Changed!$G233&lt;Base!$G233," ↓",""))</f>
        <v>435</v>
      </c>
      <c r="H233" s="7" t="str" cm="1">
        <f t="array" ref="H233">INDEX(Changed!$H:$H,ROW())&amp;IF(Changed!$H233&gt;Base!$H233,"↑",IF(Changed!$H233&lt;Base!$H233," ↓",""))</f>
        <v>60</v>
      </c>
      <c r="I233" s="7" t="str" cm="1">
        <f t="array" ref="I233">INDEX(Changed!$I:$I,ROW())&amp;IF(Changed!$I233&gt;Base!$I233,"↑",IF(Changed!$I233&lt;Base!$I233," ↓",""))</f>
        <v>60</v>
      </c>
      <c r="J233" s="7" t="str" cm="1">
        <f t="array" ref="J233">INDEX(Changed!$J:$J,ROW())&amp;IF(Changed!$J233&gt;Base!$J233,"↑",IF(Changed!$J233&lt;Base!$J233," ↓",""))</f>
        <v>60</v>
      </c>
      <c r="K233" s="7" t="str" cm="1">
        <f t="array" ref="K233">INDEX(Changed!$K:$K,ROW())&amp;IF(Changed!$K233&gt;Base!$K233,"↑",IF(Changed!$K233&lt;Base!$K233," ↓",""))</f>
        <v>85</v>
      </c>
      <c r="L233" s="7" t="str" cm="1">
        <f t="array" ref="L233">INDEX(Changed!$L:$L,ROW())&amp;IF(Changed!$L233&gt;Base!$L233,"↑",IF(Changed!$L233&lt;Base!$L233," ↓",""))</f>
        <v>85</v>
      </c>
      <c r="M233" s="7" t="str" cm="1">
        <f t="array" ref="M233">INDEX(Changed!$M:$M,ROW())&amp;IF(Changed!$M233&gt;Base!$M233,"↑",IF(Changed!$M233&lt;Base!$M233," ↓",""))</f>
        <v>85</v>
      </c>
      <c r="N233" s="19">
        <f>Changed!G233-Base!G233</f>
        <v>0</v>
      </c>
    </row>
    <row r="234" spans="1:14" ht="15.75" customHeight="1" x14ac:dyDescent="0.2">
      <c r="A234" s="4">
        <v>233</v>
      </c>
      <c r="B234" s="5" t="s">
        <v>464</v>
      </c>
      <c r="C234" s="6" t="str">
        <f>IF(Changed!C234&lt;&gt;"", Changed!C234, "")</f>
        <v>Ghost</v>
      </c>
      <c r="D234" s="6" t="str">
        <f>IF(Changed!D234&lt;&gt;"", Changed!D234, "")</f>
        <v>Psychic</v>
      </c>
      <c r="E234" s="6" t="str">
        <f>IF(Changed!E234&lt;&gt;"", Changed!E234, "")</f>
        <v>Levitate</v>
      </c>
      <c r="F234" s="6" t="str">
        <f>IF(Changed!F234&lt;&gt;"", Changed!F234, "")</f>
        <v>Rattled</v>
      </c>
      <c r="G234" s="7" t="str" cm="1">
        <f t="array" ref="G234">INDEX(Changed!$G:$G,ROW())&amp;IF(Changed!$G234&gt;Base!$G234,"↑",IF(Changed!$G234&lt;Base!$G234," ↓",""))</f>
        <v>525</v>
      </c>
      <c r="H234" s="7" t="str" cm="1">
        <f t="array" ref="H234">INDEX(Changed!$H:$H,ROW())&amp;IF(Changed!$H234&gt;Base!$H234,"↑",IF(Changed!$H234&lt;Base!$H234," ↓",""))</f>
        <v>60</v>
      </c>
      <c r="I234" s="7" t="str" cm="1">
        <f t="array" ref="I234">INDEX(Changed!$I:$I,ROW())&amp;IF(Changed!$I234&gt;Base!$I234,"↑",IF(Changed!$I234&lt;Base!$I234," ↓",""))</f>
        <v>60</v>
      </c>
      <c r="J234" s="7" t="str" cm="1">
        <f t="array" ref="J234">INDEX(Changed!$J:$J,ROW())&amp;IF(Changed!$J234&gt;Base!$J234,"↑",IF(Changed!$J234&lt;Base!$J234," ↓",""))</f>
        <v>60</v>
      </c>
      <c r="K234" s="7" t="str" cm="1">
        <f t="array" ref="K234">INDEX(Changed!$K:$K,ROW())&amp;IF(Changed!$K234&gt;Base!$K234,"↑",IF(Changed!$K234&lt;Base!$K234," ↓",""))</f>
        <v>115</v>
      </c>
      <c r="L234" s="7" t="str" cm="1">
        <f t="array" ref="L234">INDEX(Changed!$L:$L,ROW())&amp;IF(Changed!$L234&gt;Base!$L234,"↑",IF(Changed!$L234&lt;Base!$L234," ↓",""))</f>
        <v>115</v>
      </c>
      <c r="M234" s="7" t="str" cm="1">
        <f t="array" ref="M234">INDEX(Changed!$M:$M,ROW())&amp;IF(Changed!$M234&gt;Base!$M234,"↑",IF(Changed!$M234&lt;Base!$M234," ↓",""))</f>
        <v>115</v>
      </c>
      <c r="N234" s="19">
        <f>Changed!G234-Base!G234</f>
        <v>0</v>
      </c>
    </row>
    <row r="235" spans="1:14" ht="15.75" customHeight="1" x14ac:dyDescent="0.2">
      <c r="A235" s="4">
        <v>234</v>
      </c>
      <c r="B235" s="5" t="s">
        <v>236</v>
      </c>
      <c r="C235" s="6" t="str">
        <f>IF(Changed!C235&lt;&gt;"", Changed!C235, "")</f>
        <v>Psychic</v>
      </c>
      <c r="D235" s="6" t="str">
        <f>IF(Changed!D235&lt;&gt;"", Changed!D235, "")</f>
        <v/>
      </c>
      <c r="E235" s="6" t="str">
        <f>IF(Changed!E235&lt;&gt;"", Changed!E235, "")</f>
        <v>Levitate</v>
      </c>
      <c r="F235" s="6" t="str">
        <f>IF(Changed!F235&lt;&gt;"", Changed!F235, "")</f>
        <v/>
      </c>
      <c r="G235" s="7" t="str" cm="1">
        <f t="array" ref="G235">INDEX(Changed!$G:$G,ROW())&amp;IF(Changed!$G235&gt;Base!$G235,"↑",IF(Changed!$G235&lt;Base!$G235," ↓",""))</f>
        <v>336</v>
      </c>
      <c r="H235" s="7" t="str" cm="1">
        <f t="array" ref="H235">INDEX(Changed!$H:$H,ROW())&amp;IF(Changed!$H235&gt;Base!$H235,"↑",IF(Changed!$H235&lt;Base!$H235," ↓",""))</f>
        <v>48</v>
      </c>
      <c r="I235" s="7" t="str" cm="1">
        <f t="array" ref="I235">INDEX(Changed!$I:$I,ROW())&amp;IF(Changed!$I235&gt;Base!$I235,"↑",IF(Changed!$I235&lt;Base!$I235," ↓",""))</f>
        <v>72</v>
      </c>
      <c r="J235" s="7" t="str" cm="1">
        <f t="array" ref="J235">INDEX(Changed!$J:$J,ROW())&amp;IF(Changed!$J235&gt;Base!$J235,"↑",IF(Changed!$J235&lt;Base!$J235," ↓",""))</f>
        <v>48</v>
      </c>
      <c r="K235" s="7" t="str" cm="1">
        <f t="array" ref="K235">INDEX(Changed!$K:$K,ROW())&amp;IF(Changed!$K235&gt;Base!$K235,"↑",IF(Changed!$K235&lt;Base!$K235," ↓",""))</f>
        <v>72</v>
      </c>
      <c r="L235" s="7" t="str" cm="1">
        <f t="array" ref="L235">INDEX(Changed!$L:$L,ROW())&amp;IF(Changed!$L235&gt;Base!$L235,"↑",IF(Changed!$L235&lt;Base!$L235," ↓",""))</f>
        <v>48</v>
      </c>
      <c r="M235" s="7" t="str" cm="1">
        <f t="array" ref="M235">INDEX(Changed!$M:$M,ROW())&amp;IF(Changed!$M235&gt;Base!$M235,"↑",IF(Changed!$M235&lt;Base!$M235," ↓",""))</f>
        <v>48</v>
      </c>
      <c r="N235" s="19">
        <f>Changed!G235-Base!G235</f>
        <v>0</v>
      </c>
    </row>
    <row r="236" spans="1:14" ht="15.75" customHeight="1" x14ac:dyDescent="0.2">
      <c r="A236" s="4">
        <v>235</v>
      </c>
      <c r="B236" s="5" t="s">
        <v>395</v>
      </c>
      <c r="C236" s="6" t="str">
        <f>IF(Changed!C236&lt;&gt;"", Changed!C236, "")</f>
        <v>Psychic</v>
      </c>
      <c r="D236" s="6" t="str">
        <f>IF(Changed!D236&lt;&gt;"", Changed!D236, "")</f>
        <v/>
      </c>
      <c r="E236" s="6" t="str">
        <f>IF(Changed!E236&lt;&gt;"", Changed!E236, "")</f>
        <v>Shadow Tag</v>
      </c>
      <c r="F236" s="6" t="str">
        <f>IF(Changed!F236&lt;&gt;"", Changed!F236, "")</f>
        <v/>
      </c>
      <c r="G236" s="7" t="str" cm="1">
        <f t="array" ref="G236">INDEX(Changed!$G:$G,ROW())&amp;IF(Changed!$G236&gt;Base!$G236,"↑",IF(Changed!$G236&lt;Base!$G236," ↓",""))</f>
        <v>260</v>
      </c>
      <c r="H236" s="7" t="str" cm="1">
        <f t="array" ref="H236">INDEX(Changed!$H:$H,ROW())&amp;IF(Changed!$H236&gt;Base!$H236,"↑",IF(Changed!$H236&lt;Base!$H236," ↓",""))</f>
        <v>95</v>
      </c>
      <c r="I236" s="7" t="str" cm="1">
        <f t="array" ref="I236">INDEX(Changed!$I:$I,ROW())&amp;IF(Changed!$I236&gt;Base!$I236,"↑",IF(Changed!$I236&lt;Base!$I236," ↓",""))</f>
        <v>23</v>
      </c>
      <c r="J236" s="7" t="str" cm="1">
        <f t="array" ref="J236">INDEX(Changed!$J:$J,ROW())&amp;IF(Changed!$J236&gt;Base!$J236,"↑",IF(Changed!$J236&lt;Base!$J236," ↓",""))</f>
        <v>48</v>
      </c>
      <c r="K236" s="7" t="str" cm="1">
        <f t="array" ref="K236">INDEX(Changed!$K:$K,ROW())&amp;IF(Changed!$K236&gt;Base!$K236,"↑",IF(Changed!$K236&lt;Base!$K236," ↓",""))</f>
        <v>23</v>
      </c>
      <c r="L236" s="7" t="str" cm="1">
        <f t="array" ref="L236">INDEX(Changed!$L:$L,ROW())&amp;IF(Changed!$L236&gt;Base!$L236,"↑",IF(Changed!$L236&lt;Base!$L236," ↓",""))</f>
        <v>48</v>
      </c>
      <c r="M236" s="7" t="str" cm="1">
        <f t="array" ref="M236">INDEX(Changed!$M:$M,ROW())&amp;IF(Changed!$M236&gt;Base!$M236,"↑",IF(Changed!$M236&lt;Base!$M236," ↓",""))</f>
        <v>23</v>
      </c>
      <c r="N236" s="19">
        <f>Changed!G236-Base!G236</f>
        <v>0</v>
      </c>
    </row>
    <row r="237" spans="1:14" ht="15.75" customHeight="1" x14ac:dyDescent="0.2">
      <c r="A237" s="4">
        <v>236</v>
      </c>
      <c r="B237" s="5" t="s">
        <v>237</v>
      </c>
      <c r="C237" s="6" t="str">
        <f>IF(Changed!C237&lt;&gt;"", Changed!C237, "")</f>
        <v>Psychic</v>
      </c>
      <c r="D237" s="6" t="str">
        <f>IF(Changed!D237&lt;&gt;"", Changed!D237, "")</f>
        <v/>
      </c>
      <c r="E237" s="6" t="str">
        <f>IF(Changed!E237&lt;&gt;"", Changed!E237, "")</f>
        <v>Shadow Tag</v>
      </c>
      <c r="F237" s="6" t="str">
        <f>IF(Changed!F237&lt;&gt;"", Changed!F237, "")</f>
        <v/>
      </c>
      <c r="G237" s="7" t="str" cm="1">
        <f t="array" ref="G237">INDEX(Changed!$G:$G,ROW())&amp;IF(Changed!$G237&gt;Base!$G237,"↑",IF(Changed!$G237&lt;Base!$G237," ↓",""))</f>
        <v>405</v>
      </c>
      <c r="H237" s="7" t="str" cm="1">
        <f t="array" ref="H237">INDEX(Changed!$H:$H,ROW())&amp;IF(Changed!$H237&gt;Base!$H237,"↑",IF(Changed!$H237&lt;Base!$H237," ↓",""))</f>
        <v>190</v>
      </c>
      <c r="I237" s="7" t="str" cm="1">
        <f t="array" ref="I237">INDEX(Changed!$I:$I,ROW())&amp;IF(Changed!$I237&gt;Base!$I237,"↑",IF(Changed!$I237&lt;Base!$I237," ↓",""))</f>
        <v>33</v>
      </c>
      <c r="J237" s="7" t="str" cm="1">
        <f t="array" ref="J237">INDEX(Changed!$J:$J,ROW())&amp;IF(Changed!$J237&gt;Base!$J237,"↑",IF(Changed!$J237&lt;Base!$J237," ↓",""))</f>
        <v>58</v>
      </c>
      <c r="K237" s="7" t="str" cm="1">
        <f t="array" ref="K237">INDEX(Changed!$K:$K,ROW())&amp;IF(Changed!$K237&gt;Base!$K237,"↑",IF(Changed!$K237&lt;Base!$K237," ↓",""))</f>
        <v>33</v>
      </c>
      <c r="L237" s="7" t="str" cm="1">
        <f t="array" ref="L237">INDEX(Changed!$L:$L,ROW())&amp;IF(Changed!$L237&gt;Base!$L237,"↑",IF(Changed!$L237&lt;Base!$L237," ↓",""))</f>
        <v>58</v>
      </c>
      <c r="M237" s="7" t="str" cm="1">
        <f t="array" ref="M237">INDEX(Changed!$M:$M,ROW())&amp;IF(Changed!$M237&gt;Base!$M237,"↑",IF(Changed!$M237&lt;Base!$M237," ↓",""))</f>
        <v>33</v>
      </c>
      <c r="N237" s="19">
        <f>Changed!G237-Base!G237</f>
        <v>0</v>
      </c>
    </row>
    <row r="238" spans="1:14" ht="15.75" customHeight="1" x14ac:dyDescent="0.2">
      <c r="A238" s="4">
        <v>237</v>
      </c>
      <c r="B238" s="5" t="s">
        <v>238</v>
      </c>
      <c r="C238" s="6" t="str">
        <f>IF(Changed!C238&lt;&gt;"", Changed!C238, "")</f>
        <v>Normal</v>
      </c>
      <c r="D238" s="6" t="str">
        <f>IF(Changed!D238&lt;&gt;"", Changed!D238, "")</f>
        <v>Psychic</v>
      </c>
      <c r="E238" s="6" t="str">
        <f>IF(Changed!E238&lt;&gt;"", Changed!E238, "")</f>
        <v>Inner Focus</v>
      </c>
      <c r="F238" s="6" t="str">
        <f>IF(Changed!F238&lt;&gt;"", Changed!F238, "")</f>
        <v>Early Bird</v>
      </c>
      <c r="G238" s="7" t="str" cm="1">
        <f t="array" ref="G238">INDEX(Changed!$G:$G,ROW())&amp;IF(Changed!$G238&gt;Base!$G238,"↑",IF(Changed!$G238&lt;Base!$G238," ↓",""))</f>
        <v>455</v>
      </c>
      <c r="H238" s="7" t="str" cm="1">
        <f t="array" ref="H238">INDEX(Changed!$H:$H,ROW())&amp;IF(Changed!$H238&gt;Base!$H238,"↑",IF(Changed!$H238&lt;Base!$H238," ↓",""))</f>
        <v>70</v>
      </c>
      <c r="I238" s="7" t="str" cm="1">
        <f t="array" ref="I238">INDEX(Changed!$I:$I,ROW())&amp;IF(Changed!$I238&gt;Base!$I238,"↑",IF(Changed!$I238&lt;Base!$I238," ↓",""))</f>
        <v>80</v>
      </c>
      <c r="J238" s="7" t="str" cm="1">
        <f t="array" ref="J238">INDEX(Changed!$J:$J,ROW())&amp;IF(Changed!$J238&gt;Base!$J238,"↑",IF(Changed!$J238&lt;Base!$J238," ↓",""))</f>
        <v>65</v>
      </c>
      <c r="K238" s="7" t="str" cm="1">
        <f t="array" ref="K238">INDEX(Changed!$K:$K,ROW())&amp;IF(Changed!$K238&gt;Base!$K238,"↑",IF(Changed!$K238&lt;Base!$K238," ↓",""))</f>
        <v>90</v>
      </c>
      <c r="L238" s="7" t="str" cm="1">
        <f t="array" ref="L238">INDEX(Changed!$L:$L,ROW())&amp;IF(Changed!$L238&gt;Base!$L238,"↑",IF(Changed!$L238&lt;Base!$L238," ↓",""))</f>
        <v>65</v>
      </c>
      <c r="M238" s="7" t="str" cm="1">
        <f t="array" ref="M238">INDEX(Changed!$M:$M,ROW())&amp;IF(Changed!$M238&gt;Base!$M238,"↑",IF(Changed!$M238&lt;Base!$M238," ↓",""))</f>
        <v>85</v>
      </c>
      <c r="N238" s="19">
        <f>Changed!G238-Base!G238</f>
        <v>0</v>
      </c>
    </row>
    <row r="239" spans="1:14" ht="15.75" customHeight="1" x14ac:dyDescent="0.2">
      <c r="A239" s="4">
        <v>238</v>
      </c>
      <c r="B239" s="5" t="s">
        <v>1165</v>
      </c>
      <c r="C239" s="6" t="str">
        <f>IF(Changed!C239&lt;&gt;"", Changed!C239, "")</f>
        <v>Normal</v>
      </c>
      <c r="D239" s="6" t="str">
        <f>IF(Changed!D239&lt;&gt;"", Changed!D239, "")</f>
        <v>Psychic</v>
      </c>
      <c r="E239" s="6" t="str">
        <f>IF(Changed!E239&lt;&gt;"", Changed!E239, "")</f>
        <v>Inner Focus</v>
      </c>
      <c r="F239" s="6" t="str">
        <f>IF(Changed!F239&lt;&gt;"", Changed!F239, "")</f>
        <v>Early Bird</v>
      </c>
      <c r="G239" s="7" t="str" cm="1">
        <f t="array" ref="G239">INDEX(Changed!$G:$G,ROW())&amp;IF(Changed!$G239&gt;Base!$G239,"↑",IF(Changed!$G239&lt;Base!$G239," ↓",""))</f>
        <v>520</v>
      </c>
      <c r="H239" s="7" t="str" cm="1">
        <f t="array" ref="H239">INDEX(Changed!$H:$H,ROW())&amp;IF(Changed!$H239&gt;Base!$H239,"↑",IF(Changed!$H239&lt;Base!$H239," ↓",""))</f>
        <v>120</v>
      </c>
      <c r="I239" s="7" t="str" cm="1">
        <f t="array" ref="I239">INDEX(Changed!$I:$I,ROW())&amp;IF(Changed!$I239&gt;Base!$I239,"↑",IF(Changed!$I239&lt;Base!$I239," ↓",""))</f>
        <v>90</v>
      </c>
      <c r="J239" s="7" t="str" cm="1">
        <f t="array" ref="J239">INDEX(Changed!$J:$J,ROW())&amp;IF(Changed!$J239&gt;Base!$J239,"↑",IF(Changed!$J239&lt;Base!$J239," ↓",""))</f>
        <v>70</v>
      </c>
      <c r="K239" s="7" t="str" cm="1">
        <f t="array" ref="K239">INDEX(Changed!$K:$K,ROW())&amp;IF(Changed!$K239&gt;Base!$K239,"↑",IF(Changed!$K239&lt;Base!$K239," ↓",""))</f>
        <v>110</v>
      </c>
      <c r="L239" s="7" t="str" cm="1">
        <f t="array" ref="L239">INDEX(Changed!$L:$L,ROW())&amp;IF(Changed!$L239&gt;Base!$L239,"↑",IF(Changed!$L239&lt;Base!$L239," ↓",""))</f>
        <v>70</v>
      </c>
      <c r="M239" s="7" t="str" cm="1">
        <f t="array" ref="M239">INDEX(Changed!$M:$M,ROW())&amp;IF(Changed!$M239&gt;Base!$M239,"↑",IF(Changed!$M239&lt;Base!$M239," ↓",""))</f>
        <v>60</v>
      </c>
      <c r="N239" s="19">
        <f>Changed!G239-Base!G239</f>
        <v>0</v>
      </c>
    </row>
    <row r="240" spans="1:14" ht="15.75" customHeight="1" x14ac:dyDescent="0.2">
      <c r="A240" s="4">
        <v>239</v>
      </c>
      <c r="B240" s="5" t="s">
        <v>239</v>
      </c>
      <c r="C240" s="6" t="str">
        <f>IF(Changed!C240&lt;&gt;"", Changed!C240, "")</f>
        <v>Bug</v>
      </c>
      <c r="D240" s="6" t="str">
        <f>IF(Changed!D240&lt;&gt;"", Changed!D240, "")</f>
        <v/>
      </c>
      <c r="E240" s="6" t="str">
        <f>IF(Changed!E240&lt;&gt;"", Changed!E240, "")</f>
        <v>Sturdy</v>
      </c>
      <c r="F240" s="6" t="str">
        <f>IF(Changed!F240&lt;&gt;"", Changed!F240, "")</f>
        <v>Overcoat</v>
      </c>
      <c r="G240" s="7" t="str" cm="1">
        <f t="array" ref="G240">INDEX(Changed!$G:$G,ROW())&amp;IF(Changed!$G240&gt;Base!$G240,"↑",IF(Changed!$G240&lt;Base!$G240," ↓",""))</f>
        <v>290</v>
      </c>
      <c r="H240" s="7" t="str" cm="1">
        <f t="array" ref="H240">INDEX(Changed!$H:$H,ROW())&amp;IF(Changed!$H240&gt;Base!$H240,"↑",IF(Changed!$H240&lt;Base!$H240," ↓",""))</f>
        <v>50</v>
      </c>
      <c r="I240" s="7" t="str" cm="1">
        <f t="array" ref="I240">INDEX(Changed!$I:$I,ROW())&amp;IF(Changed!$I240&gt;Base!$I240,"↑",IF(Changed!$I240&lt;Base!$I240," ↓",""))</f>
        <v>65</v>
      </c>
      <c r="J240" s="7" t="str" cm="1">
        <f t="array" ref="J240">INDEX(Changed!$J:$J,ROW())&amp;IF(Changed!$J240&gt;Base!$J240,"↑",IF(Changed!$J240&lt;Base!$J240," ↓",""))</f>
        <v>90</v>
      </c>
      <c r="K240" s="7" t="str" cm="1">
        <f t="array" ref="K240">INDEX(Changed!$K:$K,ROW())&amp;IF(Changed!$K240&gt;Base!$K240,"↑",IF(Changed!$K240&lt;Base!$K240," ↓",""))</f>
        <v>35</v>
      </c>
      <c r="L240" s="7" t="str" cm="1">
        <f t="array" ref="L240">INDEX(Changed!$L:$L,ROW())&amp;IF(Changed!$L240&gt;Base!$L240,"↑",IF(Changed!$L240&lt;Base!$L240," ↓",""))</f>
        <v>35</v>
      </c>
      <c r="M240" s="7" t="str" cm="1">
        <f t="array" ref="M240">INDEX(Changed!$M:$M,ROW())&amp;IF(Changed!$M240&gt;Base!$M240,"↑",IF(Changed!$M240&lt;Base!$M240," ↓",""))</f>
        <v>15</v>
      </c>
      <c r="N240" s="19">
        <f>Changed!G240-Base!G240</f>
        <v>0</v>
      </c>
    </row>
    <row r="241" spans="1:14" ht="15.75" customHeight="1" x14ac:dyDescent="0.2">
      <c r="A241" s="4">
        <v>240</v>
      </c>
      <c r="B241" s="5" t="s">
        <v>240</v>
      </c>
      <c r="C241" s="6" t="str">
        <f>IF(Changed!C241&lt;&gt;"", Changed!C241, "")</f>
        <v>Bug</v>
      </c>
      <c r="D241" s="6" t="str">
        <f>IF(Changed!D241&lt;&gt;"", Changed!D241, "")</f>
        <v>Steel</v>
      </c>
      <c r="E241" s="6" t="str">
        <f>IF(Changed!E241&lt;&gt;"", Changed!E241, "")</f>
        <v>Sturdy</v>
      </c>
      <c r="F241" s="6" t="str">
        <f>IF(Changed!F241&lt;&gt;"", Changed!F241, "")</f>
        <v>Heatproof</v>
      </c>
      <c r="G241" s="7" t="str" cm="1">
        <f t="array" ref="G241">INDEX(Changed!$G:$G,ROW())&amp;IF(Changed!$G241&gt;Base!$G241,"↑",IF(Changed!$G241&lt;Base!$G241," ↓",""))</f>
        <v>465</v>
      </c>
      <c r="H241" s="7" t="str" cm="1">
        <f t="array" ref="H241">INDEX(Changed!$H:$H,ROW())&amp;IF(Changed!$H241&gt;Base!$H241,"↑",IF(Changed!$H241&lt;Base!$H241," ↓",""))</f>
        <v>75</v>
      </c>
      <c r="I241" s="7" t="str" cm="1">
        <f t="array" ref="I241">INDEX(Changed!$I:$I,ROW())&amp;IF(Changed!$I241&gt;Base!$I241,"↑",IF(Changed!$I241&lt;Base!$I241," ↓",""))</f>
        <v>90</v>
      </c>
      <c r="J241" s="7" t="str" cm="1">
        <f t="array" ref="J241">INDEX(Changed!$J:$J,ROW())&amp;IF(Changed!$J241&gt;Base!$J241,"↑",IF(Changed!$J241&lt;Base!$J241," ↓",""))</f>
        <v>140</v>
      </c>
      <c r="K241" s="7" t="str" cm="1">
        <f t="array" ref="K241">INDEX(Changed!$K:$K,ROW())&amp;IF(Changed!$K241&gt;Base!$K241,"↑",IF(Changed!$K241&lt;Base!$K241," ↓",""))</f>
        <v>60</v>
      </c>
      <c r="L241" s="7" t="str" cm="1">
        <f t="array" ref="L241">INDEX(Changed!$L:$L,ROW())&amp;IF(Changed!$L241&gt;Base!$L241,"↑",IF(Changed!$L241&lt;Base!$L241," ↓",""))</f>
        <v>60</v>
      </c>
      <c r="M241" s="7" t="str" cm="1">
        <f t="array" ref="M241">INDEX(Changed!$M:$M,ROW())&amp;IF(Changed!$M241&gt;Base!$M241,"↑",IF(Changed!$M241&lt;Base!$M241," ↓",""))</f>
        <v>40</v>
      </c>
      <c r="N241" s="19">
        <f>Changed!G241-Base!G241</f>
        <v>0</v>
      </c>
    </row>
    <row r="242" spans="1:14" ht="15.75" customHeight="1" x14ac:dyDescent="0.2">
      <c r="A242" s="4">
        <v>241</v>
      </c>
      <c r="B242" s="5" t="s">
        <v>241</v>
      </c>
      <c r="C242" s="6" t="str">
        <f>IF(Changed!C242&lt;&gt;"", Changed!C242, "")</f>
        <v>Normal</v>
      </c>
      <c r="D242" s="6" t="str">
        <f>IF(Changed!D242&lt;&gt;"", Changed!D242, "")</f>
        <v/>
      </c>
      <c r="E242" s="6" t="str">
        <f>IF(Changed!E242&lt;&gt;"", Changed!E242, "")</f>
        <v>Serene Grace</v>
      </c>
      <c r="F242" s="6" t="str">
        <f>IF(Changed!F242&lt;&gt;"", Changed!F242, "")</f>
        <v>Run Away</v>
      </c>
      <c r="G242" s="7" t="str" cm="1">
        <f t="array" ref="G242">INDEX(Changed!$G:$G,ROW())&amp;IF(Changed!$G242&gt;Base!$G242,"↑",IF(Changed!$G242&lt;Base!$G242," ↓",""))</f>
        <v>415</v>
      </c>
      <c r="H242" s="7" t="str" cm="1">
        <f t="array" ref="H242">INDEX(Changed!$H:$H,ROW())&amp;IF(Changed!$H242&gt;Base!$H242,"↑",IF(Changed!$H242&lt;Base!$H242," ↓",""))</f>
        <v>100</v>
      </c>
      <c r="I242" s="7" t="str" cm="1">
        <f t="array" ref="I242">INDEX(Changed!$I:$I,ROW())&amp;IF(Changed!$I242&gt;Base!$I242,"↑",IF(Changed!$I242&lt;Base!$I242," ↓",""))</f>
        <v>70</v>
      </c>
      <c r="J242" s="7" t="str" cm="1">
        <f t="array" ref="J242">INDEX(Changed!$J:$J,ROW())&amp;IF(Changed!$J242&gt;Base!$J242,"↑",IF(Changed!$J242&lt;Base!$J242," ↓",""))</f>
        <v>70</v>
      </c>
      <c r="K242" s="7" t="str" cm="1">
        <f t="array" ref="K242">INDEX(Changed!$K:$K,ROW())&amp;IF(Changed!$K242&gt;Base!$K242,"↑",IF(Changed!$K242&lt;Base!$K242," ↓",""))</f>
        <v>65</v>
      </c>
      <c r="L242" s="7" t="str" cm="1">
        <f t="array" ref="L242">INDEX(Changed!$L:$L,ROW())&amp;IF(Changed!$L242&gt;Base!$L242,"↑",IF(Changed!$L242&lt;Base!$L242," ↓",""))</f>
        <v>65</v>
      </c>
      <c r="M242" s="7" t="str" cm="1">
        <f t="array" ref="M242">INDEX(Changed!$M:$M,ROW())&amp;IF(Changed!$M242&gt;Base!$M242,"↑",IF(Changed!$M242&lt;Base!$M242," ↓",""))</f>
        <v>45</v>
      </c>
      <c r="N242" s="19">
        <f>Changed!G242-Base!G242</f>
        <v>0</v>
      </c>
    </row>
    <row r="243" spans="1:14" ht="15.75" customHeight="1" x14ac:dyDescent="0.2">
      <c r="A243" s="4">
        <v>242</v>
      </c>
      <c r="B243" s="5" t="s">
        <v>874</v>
      </c>
      <c r="C243" s="6" t="str">
        <f>IF(Changed!C243&lt;&gt;"", Changed!C243, "")</f>
        <v>Normal</v>
      </c>
      <c r="D243" s="6" t="str">
        <f>IF(Changed!D243&lt;&gt;"", Changed!D243, "")</f>
        <v/>
      </c>
      <c r="E243" s="6" t="str">
        <f>IF(Changed!E243&lt;&gt;"", Changed!E243, "")</f>
        <v>Serene Grace</v>
      </c>
      <c r="F243" s="6" t="str">
        <f>IF(Changed!F243&lt;&gt;"", Changed!F243, "")</f>
        <v>Run Away</v>
      </c>
      <c r="G243" s="7" t="str" cm="1">
        <f t="array" ref="G243">INDEX(Changed!$G:$G,ROW())&amp;IF(Changed!$G243&gt;Base!$G243,"↑",IF(Changed!$G243&lt;Base!$G243," ↓",""))</f>
        <v>520</v>
      </c>
      <c r="H243" s="7" t="str" cm="1">
        <f t="array" ref="H243">INDEX(Changed!$H:$H,ROW())&amp;IF(Changed!$H243&gt;Base!$H243,"↑",IF(Changed!$H243&lt;Base!$H243," ↓",""))</f>
        <v>125</v>
      </c>
      <c r="I243" s="7" t="str" cm="1">
        <f t="array" ref="I243">INDEX(Changed!$I:$I,ROW())&amp;IF(Changed!$I243&gt;Base!$I243,"↑",IF(Changed!$I243&lt;Base!$I243," ↓",""))</f>
        <v>100</v>
      </c>
      <c r="J243" s="7" t="str" cm="1">
        <f t="array" ref="J243">INDEX(Changed!$J:$J,ROW())&amp;IF(Changed!$J243&gt;Base!$J243,"↑",IF(Changed!$J243&lt;Base!$J243," ↓",""))</f>
        <v>80</v>
      </c>
      <c r="K243" s="7" t="str" cm="1">
        <f t="array" ref="K243">INDEX(Changed!$K:$K,ROW())&amp;IF(Changed!$K243&gt;Base!$K243,"↑",IF(Changed!$K243&lt;Base!$K243," ↓",""))</f>
        <v>85</v>
      </c>
      <c r="L243" s="7" t="str" cm="1">
        <f t="array" ref="L243">INDEX(Changed!$L:$L,ROW())&amp;IF(Changed!$L243&gt;Base!$L243,"↑",IF(Changed!$L243&lt;Base!$L243," ↓",""))</f>
        <v>75</v>
      </c>
      <c r="M243" s="7" t="str" cm="1">
        <f t="array" ref="M243">INDEX(Changed!$M:$M,ROW())&amp;IF(Changed!$M243&gt;Base!$M243,"↑",IF(Changed!$M243&lt;Base!$M243," ↓",""))</f>
        <v>55</v>
      </c>
      <c r="N243" s="19">
        <f>Changed!G243-Base!G243</f>
        <v>0</v>
      </c>
    </row>
    <row r="244" spans="1:14" ht="15.75" customHeight="1" x14ac:dyDescent="0.2">
      <c r="A244" s="4">
        <v>243</v>
      </c>
      <c r="B244" s="5" t="s">
        <v>507</v>
      </c>
      <c r="C244" s="6" t="str">
        <f>IF(Changed!C244&lt;&gt;"", Changed!C244, "")</f>
        <v>Ground</v>
      </c>
      <c r="D244" s="6" t="str">
        <f>IF(Changed!D244&lt;&gt;"", Changed!D244, "")</f>
        <v>Flying</v>
      </c>
      <c r="E244" s="6" t="str">
        <f>IF(Changed!E244&lt;&gt;"", Changed!E244, "")</f>
        <v>Hyper Cutter</v>
      </c>
      <c r="F244" s="6" t="str">
        <f>IF(Changed!F244&lt;&gt;"", Changed!F244, "")</f>
        <v>Immunity</v>
      </c>
      <c r="G244" s="7" t="str" cm="1">
        <f t="array" ref="G244">INDEX(Changed!$G:$G,ROW())&amp;IF(Changed!$G244&gt;Base!$G244,"↑",IF(Changed!$G244&lt;Base!$G244," ↓",""))</f>
        <v>430</v>
      </c>
      <c r="H244" s="7" t="str" cm="1">
        <f t="array" ref="H244">INDEX(Changed!$H:$H,ROW())&amp;IF(Changed!$H244&gt;Base!$H244,"↑",IF(Changed!$H244&lt;Base!$H244," ↓",""))</f>
        <v>65</v>
      </c>
      <c r="I244" s="7" t="str" cm="1">
        <f t="array" ref="I244">INDEX(Changed!$I:$I,ROW())&amp;IF(Changed!$I244&gt;Base!$I244,"↑",IF(Changed!$I244&lt;Base!$I244," ↓",""))</f>
        <v>75</v>
      </c>
      <c r="J244" s="7" t="str" cm="1">
        <f t="array" ref="J244">INDEX(Changed!$J:$J,ROW())&amp;IF(Changed!$J244&gt;Base!$J244,"↑",IF(Changed!$J244&lt;Base!$J244," ↓",""))</f>
        <v>105</v>
      </c>
      <c r="K244" s="7" t="str" cm="1">
        <f t="array" ref="K244">INDEX(Changed!$K:$K,ROW())&amp;IF(Changed!$K244&gt;Base!$K244,"↑",IF(Changed!$K244&lt;Base!$K244," ↓",""))</f>
        <v>35</v>
      </c>
      <c r="L244" s="7" t="str" cm="1">
        <f t="array" ref="L244">INDEX(Changed!$L:$L,ROW())&amp;IF(Changed!$L244&gt;Base!$L244,"↑",IF(Changed!$L244&lt;Base!$L244," ↓",""))</f>
        <v>65</v>
      </c>
      <c r="M244" s="7" t="str" cm="1">
        <f t="array" ref="M244">INDEX(Changed!$M:$M,ROW())&amp;IF(Changed!$M244&gt;Base!$M244,"↑",IF(Changed!$M244&lt;Base!$M244," ↓",""))</f>
        <v>85</v>
      </c>
      <c r="N244" s="19">
        <f>Changed!G244-Base!G244</f>
        <v>0</v>
      </c>
    </row>
    <row r="245" spans="1:14" ht="15.75" customHeight="1" x14ac:dyDescent="0.2">
      <c r="A245" s="4">
        <v>244</v>
      </c>
      <c r="B245" s="5" t="s">
        <v>242</v>
      </c>
      <c r="C245" s="6" t="str">
        <f>IF(Changed!C245&lt;&gt;"", Changed!C245, "")</f>
        <v>Ground</v>
      </c>
      <c r="D245" s="6" t="str">
        <f>IF(Changed!D245&lt;&gt;"", Changed!D245, "")</f>
        <v>Flying</v>
      </c>
      <c r="E245" s="6" t="str">
        <f>IF(Changed!E245&lt;&gt;"", Changed!E245, "")</f>
        <v>Hyper Cutter</v>
      </c>
      <c r="F245" s="6" t="str">
        <f>IF(Changed!F245&lt;&gt;"", Changed!F245, "")</f>
        <v>Poison Heal</v>
      </c>
      <c r="G245" s="7" t="str" cm="1">
        <f t="array" ref="G245">INDEX(Changed!$G:$G,ROW())&amp;IF(Changed!$G245&gt;Base!$G245,"↑",IF(Changed!$G245&lt;Base!$G245," ↓",""))</f>
        <v>510</v>
      </c>
      <c r="H245" s="7" t="str" cm="1">
        <f t="array" ref="H245">INDEX(Changed!$H:$H,ROW())&amp;IF(Changed!$H245&gt;Base!$H245,"↑",IF(Changed!$H245&lt;Base!$H245," ↓",""))</f>
        <v>75</v>
      </c>
      <c r="I245" s="7" t="str" cm="1">
        <f t="array" ref="I245">INDEX(Changed!$I:$I,ROW())&amp;IF(Changed!$I245&gt;Base!$I245,"↑",IF(Changed!$I245&lt;Base!$I245," ↓",""))</f>
        <v>95</v>
      </c>
      <c r="J245" s="7" t="str" cm="1">
        <f t="array" ref="J245">INDEX(Changed!$J:$J,ROW())&amp;IF(Changed!$J245&gt;Base!$J245,"↑",IF(Changed!$J245&lt;Base!$J245," ↓",""))</f>
        <v>125</v>
      </c>
      <c r="K245" s="7" t="str" cm="1">
        <f t="array" ref="K245">INDEX(Changed!$K:$K,ROW())&amp;IF(Changed!$K245&gt;Base!$K245,"↑",IF(Changed!$K245&lt;Base!$K245," ↓",""))</f>
        <v>45</v>
      </c>
      <c r="L245" s="7" t="str" cm="1">
        <f t="array" ref="L245">INDEX(Changed!$L:$L,ROW())&amp;IF(Changed!$L245&gt;Base!$L245,"↑",IF(Changed!$L245&lt;Base!$L245," ↓",""))</f>
        <v>75</v>
      </c>
      <c r="M245" s="7" t="str" cm="1">
        <f t="array" ref="M245">INDEX(Changed!$M:$M,ROW())&amp;IF(Changed!$M245&gt;Base!$M245,"↑",IF(Changed!$M245&lt;Base!$M245," ↓",""))</f>
        <v>95</v>
      </c>
      <c r="N245" s="19">
        <f>Changed!G245-Base!G245</f>
        <v>0</v>
      </c>
    </row>
    <row r="246" spans="1:14" ht="15.75" customHeight="1" x14ac:dyDescent="0.2">
      <c r="A246" s="4">
        <v>245</v>
      </c>
      <c r="B246" s="5" t="s">
        <v>244</v>
      </c>
      <c r="C246" s="6" t="str">
        <f>IF(Changed!C246&lt;&gt;"", Changed!C246, "")</f>
        <v>Normal</v>
      </c>
      <c r="D246" s="6" t="str">
        <f>IF(Changed!D246&lt;&gt;"", Changed!D246, "")</f>
        <v>Fighting</v>
      </c>
      <c r="E246" s="6" t="str">
        <f>IF(Changed!E246&lt;&gt;"", Changed!E246, "")</f>
        <v xml:space="preserve">Intimidate </v>
      </c>
      <c r="F246" s="6" t="str">
        <f>IF(Changed!F246&lt;&gt;"", Changed!F246, "")</f>
        <v>Run Away</v>
      </c>
      <c r="G246" s="7" t="str" cm="1">
        <f t="array" ref="G246">INDEX(Changed!$G:$G,ROW())&amp;IF(Changed!$G246&gt;Base!$G246,"↑",IF(Changed!$G246&lt;Base!$G246," ↓",""))</f>
        <v>300</v>
      </c>
      <c r="H246" s="7" t="str" cm="1">
        <f t="array" ref="H246">INDEX(Changed!$H:$H,ROW())&amp;IF(Changed!$H246&gt;Base!$H246,"↑",IF(Changed!$H246&lt;Base!$H246," ↓",""))</f>
        <v>60</v>
      </c>
      <c r="I246" s="7" t="str" cm="1">
        <f t="array" ref="I246">INDEX(Changed!$I:$I,ROW())&amp;IF(Changed!$I246&gt;Base!$I246,"↑",IF(Changed!$I246&lt;Base!$I246," ↓",""))</f>
        <v>80</v>
      </c>
      <c r="J246" s="7" t="str" cm="1">
        <f t="array" ref="J246">INDEX(Changed!$J:$J,ROW())&amp;IF(Changed!$J246&gt;Base!$J246,"↑",IF(Changed!$J246&lt;Base!$J246," ↓",""))</f>
        <v>50</v>
      </c>
      <c r="K246" s="7" t="str" cm="1">
        <f t="array" ref="K246">INDEX(Changed!$K:$K,ROW())&amp;IF(Changed!$K246&gt;Base!$K246,"↑",IF(Changed!$K246&lt;Base!$K246," ↓",""))</f>
        <v>40</v>
      </c>
      <c r="L246" s="7" t="str" cm="1">
        <f t="array" ref="L246">INDEX(Changed!$L:$L,ROW())&amp;IF(Changed!$L246&gt;Base!$L246,"↑",IF(Changed!$L246&lt;Base!$L246," ↓",""))</f>
        <v>40</v>
      </c>
      <c r="M246" s="7" t="str" cm="1">
        <f t="array" ref="M246">INDEX(Changed!$M:$M,ROW())&amp;IF(Changed!$M246&gt;Base!$M246,"↑",IF(Changed!$M246&lt;Base!$M246," ↓",""))</f>
        <v>30</v>
      </c>
      <c r="N246" s="19">
        <f>Changed!G246-Base!G246</f>
        <v>0</v>
      </c>
    </row>
    <row r="247" spans="1:14" ht="15.75" customHeight="1" x14ac:dyDescent="0.2">
      <c r="A247" s="4">
        <v>246</v>
      </c>
      <c r="B247" s="5" t="s">
        <v>245</v>
      </c>
      <c r="C247" s="6" t="str">
        <f>IF(Changed!C247&lt;&gt;"", Changed!C247, "")</f>
        <v>Normal</v>
      </c>
      <c r="D247" s="6" t="str">
        <f>IF(Changed!D247&lt;&gt;"", Changed!D247, "")</f>
        <v>Fighting</v>
      </c>
      <c r="E247" s="6" t="str">
        <f>IF(Changed!E247&lt;&gt;"", Changed!E247, "")</f>
        <v xml:space="preserve">Intimidate </v>
      </c>
      <c r="F247" s="6" t="str">
        <f>IF(Changed!F247&lt;&gt;"", Changed!F247, "")</f>
        <v>Quick Feet</v>
      </c>
      <c r="G247" s="7" t="str" cm="1">
        <f t="array" ref="G247">INDEX(Changed!$G:$G,ROW())&amp;IF(Changed!$G247&gt;Base!$G247,"↑",IF(Changed!$G247&lt;Base!$G247," ↓",""))</f>
        <v>450</v>
      </c>
      <c r="H247" s="7" t="str" cm="1">
        <f t="array" ref="H247">INDEX(Changed!$H:$H,ROW())&amp;IF(Changed!$H247&gt;Base!$H247,"↑",IF(Changed!$H247&lt;Base!$H247," ↓",""))</f>
        <v>90</v>
      </c>
      <c r="I247" s="7" t="str" cm="1">
        <f t="array" ref="I247">INDEX(Changed!$I:$I,ROW())&amp;IF(Changed!$I247&gt;Base!$I247,"↑",IF(Changed!$I247&lt;Base!$I247," ↓",""))</f>
        <v>120</v>
      </c>
      <c r="J247" s="7" t="str" cm="1">
        <f t="array" ref="J247">INDEX(Changed!$J:$J,ROW())&amp;IF(Changed!$J247&gt;Base!$J247,"↑",IF(Changed!$J247&lt;Base!$J247," ↓",""))</f>
        <v>75</v>
      </c>
      <c r="K247" s="7" t="str" cm="1">
        <f t="array" ref="K247">INDEX(Changed!$K:$K,ROW())&amp;IF(Changed!$K247&gt;Base!$K247,"↑",IF(Changed!$K247&lt;Base!$K247," ↓",""))</f>
        <v>60</v>
      </c>
      <c r="L247" s="7" t="str" cm="1">
        <f t="array" ref="L247">INDEX(Changed!$L:$L,ROW())&amp;IF(Changed!$L247&gt;Base!$L247,"↑",IF(Changed!$L247&lt;Base!$L247," ↓",""))</f>
        <v>60</v>
      </c>
      <c r="M247" s="7" t="str" cm="1">
        <f t="array" ref="M247">INDEX(Changed!$M:$M,ROW())&amp;IF(Changed!$M247&gt;Base!$M247,"↑",IF(Changed!$M247&lt;Base!$M247," ↓",""))</f>
        <v>45</v>
      </c>
      <c r="N247" s="19">
        <f>Changed!G247-Base!G247</f>
        <v>0</v>
      </c>
    </row>
    <row r="248" spans="1:14" ht="15.75" customHeight="1" x14ac:dyDescent="0.2">
      <c r="A248" s="4">
        <v>247</v>
      </c>
      <c r="B248" s="5" t="s">
        <v>246</v>
      </c>
      <c r="C248" s="6" t="str">
        <f>IF(Changed!C248&lt;&gt;"", Changed!C248, "")</f>
        <v>Water</v>
      </c>
      <c r="D248" s="6" t="str">
        <f>IF(Changed!D248&lt;&gt;"", Changed!D248, "")</f>
        <v>Poison</v>
      </c>
      <c r="E248" s="6" t="str">
        <f>IF(Changed!E248&lt;&gt;"", Changed!E248, "")</f>
        <v>Poison Point</v>
      </c>
      <c r="F248" s="6" t="str">
        <f>IF(Changed!F248&lt;&gt;"", Changed!F248, "")</f>
        <v>Swift Swim</v>
      </c>
      <c r="G248" s="7" t="str" cm="1">
        <f t="array" ref="G248">INDEX(Changed!$G:$G,ROW())&amp;IF(Changed!$G248&gt;Base!$G248,"↑",IF(Changed!$G248&lt;Base!$G248," ↓",""))</f>
        <v>440</v>
      </c>
      <c r="H248" s="7" t="str" cm="1">
        <f t="array" ref="H248">INDEX(Changed!$H:$H,ROW())&amp;IF(Changed!$H248&gt;Base!$H248,"↑",IF(Changed!$H248&lt;Base!$H248," ↓",""))</f>
        <v>65</v>
      </c>
      <c r="I248" s="7" t="str" cm="1">
        <f t="array" ref="I248">INDEX(Changed!$I:$I,ROW())&amp;IF(Changed!$I248&gt;Base!$I248,"↑",IF(Changed!$I248&lt;Base!$I248," ↓",""))</f>
        <v>95</v>
      </c>
      <c r="J248" s="7" t="str" cm="1">
        <f t="array" ref="J248">INDEX(Changed!$J:$J,ROW())&amp;IF(Changed!$J248&gt;Base!$J248,"↑",IF(Changed!$J248&lt;Base!$J248," ↓",""))</f>
        <v>85</v>
      </c>
      <c r="K248" s="7" t="str" cm="1">
        <f t="array" ref="K248">INDEX(Changed!$K:$K,ROW())&amp;IF(Changed!$K248&gt;Base!$K248,"↑",IF(Changed!$K248&lt;Base!$K248," ↓",""))</f>
        <v>55</v>
      </c>
      <c r="L248" s="7" t="str" cm="1">
        <f t="array" ref="L248">INDEX(Changed!$L:$L,ROW())&amp;IF(Changed!$L248&gt;Base!$L248,"↑",IF(Changed!$L248&lt;Base!$L248," ↓",""))</f>
        <v>55</v>
      </c>
      <c r="M248" s="7" t="str" cm="1">
        <f t="array" ref="M248">INDEX(Changed!$M:$M,ROW())&amp;IF(Changed!$M248&gt;Base!$M248,"↑",IF(Changed!$M248&lt;Base!$M248," ↓",""))</f>
        <v>85</v>
      </c>
      <c r="N248" s="19">
        <f>Changed!G248-Base!G248</f>
        <v>0</v>
      </c>
    </row>
    <row r="249" spans="1:14" ht="15.75" customHeight="1" x14ac:dyDescent="0.2">
      <c r="A249" s="4">
        <v>248</v>
      </c>
      <c r="B249" s="5" t="s">
        <v>1181</v>
      </c>
      <c r="C249" s="6" t="str">
        <f>IF(Changed!C249&lt;&gt;"", Changed!C249, "")</f>
        <v>Water</v>
      </c>
      <c r="D249" s="6" t="str">
        <f>IF(Changed!D249&lt;&gt;"", Changed!D249, "")</f>
        <v>Poison</v>
      </c>
      <c r="E249" s="6" t="str">
        <f>IF(Changed!E249&lt;&gt;"", Changed!E249, "")</f>
        <v>Poison Point</v>
      </c>
      <c r="F249" s="6" t="str">
        <f>IF(Changed!F249&lt;&gt;"", Changed!F249, "")</f>
        <v>Swift Swim</v>
      </c>
      <c r="G249" s="7" t="str" cm="1">
        <f t="array" ref="G249">INDEX(Changed!$G:$G,ROW())&amp;IF(Changed!$G249&gt;Base!$G249,"↑",IF(Changed!$G249&lt;Base!$G249," ↓",""))</f>
        <v>510</v>
      </c>
      <c r="H249" s="7" t="str" cm="1">
        <f t="array" ref="H249">INDEX(Changed!$H:$H,ROW())&amp;IF(Changed!$H249&gt;Base!$H249,"↑",IF(Changed!$H249&lt;Base!$H249," ↓",""))</f>
        <v>85</v>
      </c>
      <c r="I249" s="7" t="str" cm="1">
        <f t="array" ref="I249">INDEX(Changed!$I:$I,ROW())&amp;IF(Changed!$I249&gt;Base!$I249,"↑",IF(Changed!$I249&lt;Base!$I249," ↓",""))</f>
        <v>115</v>
      </c>
      <c r="J249" s="7" t="str" cm="1">
        <f t="array" ref="J249">INDEX(Changed!$J:$J,ROW())&amp;IF(Changed!$J249&gt;Base!$J249,"↑",IF(Changed!$J249&lt;Base!$J249," ↓",""))</f>
        <v>95</v>
      </c>
      <c r="K249" s="7" t="str" cm="1">
        <f t="array" ref="K249">INDEX(Changed!$K:$K,ROW())&amp;IF(Changed!$K249&gt;Base!$K249,"↑",IF(Changed!$K249&lt;Base!$K249," ↓",""))</f>
        <v>65</v>
      </c>
      <c r="L249" s="7" t="str" cm="1">
        <f t="array" ref="L249">INDEX(Changed!$L:$L,ROW())&amp;IF(Changed!$L249&gt;Base!$L249,"↑",IF(Changed!$L249&lt;Base!$L249," ↓",""))</f>
        <v>65</v>
      </c>
      <c r="M249" s="7" t="str" cm="1">
        <f t="array" ref="M249">INDEX(Changed!$M:$M,ROW())&amp;IF(Changed!$M249&gt;Base!$M249,"↑",IF(Changed!$M249&lt;Base!$M249," ↓",""))</f>
        <v>85</v>
      </c>
      <c r="N249" s="19">
        <f>Changed!G249-Base!G249</f>
        <v>0</v>
      </c>
    </row>
    <row r="250" spans="1:14" ht="15.75" customHeight="1" x14ac:dyDescent="0.2">
      <c r="A250" s="4">
        <v>249</v>
      </c>
      <c r="B250" s="5" t="s">
        <v>248</v>
      </c>
      <c r="C250" s="6" t="str">
        <f>IF(Changed!C250&lt;&gt;"", Changed!C250, "")</f>
        <v>Bug</v>
      </c>
      <c r="D250" s="6" t="str">
        <f>IF(Changed!D250&lt;&gt;"", Changed!D250, "")</f>
        <v>Rock</v>
      </c>
      <c r="E250" s="6" t="str">
        <f>IF(Changed!E250&lt;&gt;"", Changed!E250, "")</f>
        <v>Sturdy</v>
      </c>
      <c r="F250" s="6" t="str">
        <f>IF(Changed!F250&lt;&gt;"", Changed!F250, "")</f>
        <v>Gluttony</v>
      </c>
      <c r="G250" s="7" t="str" cm="1">
        <f t="array" ref="G250">INDEX(Changed!$G:$G,ROW())&amp;IF(Changed!$G250&gt;Base!$G250,"↑",IF(Changed!$G250&lt;Base!$G250," ↓",""))</f>
        <v>505</v>
      </c>
      <c r="H250" s="7" t="str" cm="1">
        <f t="array" ref="H250">INDEX(Changed!$H:$H,ROW())&amp;IF(Changed!$H250&gt;Base!$H250,"↑",IF(Changed!$H250&lt;Base!$H250," ↓",""))</f>
        <v>20</v>
      </c>
      <c r="I250" s="7" t="str" cm="1">
        <f t="array" ref="I250">INDEX(Changed!$I:$I,ROW())&amp;IF(Changed!$I250&gt;Base!$I250,"↑",IF(Changed!$I250&lt;Base!$I250," ↓",""))</f>
        <v>10</v>
      </c>
      <c r="J250" s="7" t="str" cm="1">
        <f t="array" ref="J250">INDEX(Changed!$J:$J,ROW())&amp;IF(Changed!$J250&gt;Base!$J250,"↑",IF(Changed!$J250&lt;Base!$J250," ↓",""))</f>
        <v>230</v>
      </c>
      <c r="K250" s="7" t="str" cm="1">
        <f t="array" ref="K250">INDEX(Changed!$K:$K,ROW())&amp;IF(Changed!$K250&gt;Base!$K250,"↑",IF(Changed!$K250&lt;Base!$K250," ↓",""))</f>
        <v>10</v>
      </c>
      <c r="L250" s="7" t="str" cm="1">
        <f t="array" ref="L250">INDEX(Changed!$L:$L,ROW())&amp;IF(Changed!$L250&gt;Base!$L250,"↑",IF(Changed!$L250&lt;Base!$L250," ↓",""))</f>
        <v>230</v>
      </c>
      <c r="M250" s="7" t="str" cm="1">
        <f t="array" ref="M250">INDEX(Changed!$M:$M,ROW())&amp;IF(Changed!$M250&gt;Base!$M250,"↑",IF(Changed!$M250&lt;Base!$M250," ↓",""))</f>
        <v>5</v>
      </c>
      <c r="N250" s="19">
        <f>Changed!G250-Base!G250</f>
        <v>0</v>
      </c>
    </row>
    <row r="251" spans="1:14" ht="15.75" customHeight="1" x14ac:dyDescent="0.2">
      <c r="A251" s="4">
        <v>250</v>
      </c>
      <c r="B251" s="5" t="s">
        <v>249</v>
      </c>
      <c r="C251" s="6" t="str">
        <f>IF(Changed!C251&lt;&gt;"", Changed!C251, "")</f>
        <v>Bug</v>
      </c>
      <c r="D251" s="6" t="str">
        <f>IF(Changed!D251&lt;&gt;"", Changed!D251, "")</f>
        <v>Fighting</v>
      </c>
      <c r="E251" s="6" t="str">
        <f>IF(Changed!E251&lt;&gt;"", Changed!E251, "")</f>
        <v>Swarm</v>
      </c>
      <c r="F251" s="6" t="str">
        <f>IF(Changed!F251&lt;&gt;"", Changed!F251, "")</f>
        <v>Guts</v>
      </c>
      <c r="G251" s="7" t="str" cm="1">
        <f t="array" ref="G251">INDEX(Changed!$G:$G,ROW())&amp;IF(Changed!$G251&gt;Base!$G251,"↑",IF(Changed!$G251&lt;Base!$G251," ↓",""))</f>
        <v>500</v>
      </c>
      <c r="H251" s="7" t="str" cm="1">
        <f t="array" ref="H251">INDEX(Changed!$H:$H,ROW())&amp;IF(Changed!$H251&gt;Base!$H251,"↑",IF(Changed!$H251&lt;Base!$H251," ↓",""))</f>
        <v>80</v>
      </c>
      <c r="I251" s="7" t="str" cm="1">
        <f t="array" ref="I251">INDEX(Changed!$I:$I,ROW())&amp;IF(Changed!$I251&gt;Base!$I251,"↑",IF(Changed!$I251&lt;Base!$I251," ↓",""))</f>
        <v>125</v>
      </c>
      <c r="J251" s="7" t="str" cm="1">
        <f t="array" ref="J251">INDEX(Changed!$J:$J,ROW())&amp;IF(Changed!$J251&gt;Base!$J251,"↑",IF(Changed!$J251&lt;Base!$J251," ↓",""))</f>
        <v>75</v>
      </c>
      <c r="K251" s="7" t="str" cm="1">
        <f t="array" ref="K251">INDEX(Changed!$K:$K,ROW())&amp;IF(Changed!$K251&gt;Base!$K251,"↑",IF(Changed!$K251&lt;Base!$K251," ↓",""))</f>
        <v>40</v>
      </c>
      <c r="L251" s="7" t="str" cm="1">
        <f t="array" ref="L251">INDEX(Changed!$L:$L,ROW())&amp;IF(Changed!$L251&gt;Base!$L251,"↑",IF(Changed!$L251&lt;Base!$L251," ↓",""))</f>
        <v>95</v>
      </c>
      <c r="M251" s="7" t="str" cm="1">
        <f t="array" ref="M251">INDEX(Changed!$M:$M,ROW())&amp;IF(Changed!$M251&gt;Base!$M251,"↑",IF(Changed!$M251&lt;Base!$M251," ↓",""))</f>
        <v>85</v>
      </c>
      <c r="N251" s="19">
        <f>Changed!G251-Base!G251</f>
        <v>0</v>
      </c>
    </row>
    <row r="252" spans="1:14" ht="15.75" customHeight="1" x14ac:dyDescent="0.2">
      <c r="A252" s="4">
        <v>251</v>
      </c>
      <c r="B252" s="5" t="s">
        <v>250</v>
      </c>
      <c r="C252" s="6" t="str">
        <f>IF(Changed!C252&lt;&gt;"", Changed!C252, "")</f>
        <v>Dark</v>
      </c>
      <c r="D252" s="6" t="str">
        <f>IF(Changed!D252&lt;&gt;"", Changed!D252, "")</f>
        <v>Ice</v>
      </c>
      <c r="E252" s="6" t="str">
        <f>IF(Changed!E252&lt;&gt;"", Changed!E252, "")</f>
        <v>Inner Focus</v>
      </c>
      <c r="F252" s="6" t="str">
        <f>IF(Changed!F252&lt;&gt;"", Changed!F252, "")</f>
        <v>Keen Eye</v>
      </c>
      <c r="G252" s="7" t="str" cm="1">
        <f t="array" ref="G252">INDEX(Changed!$G:$G,ROW())&amp;IF(Changed!$G252&gt;Base!$G252,"↑",IF(Changed!$G252&lt;Base!$G252," ↓",""))</f>
        <v>430</v>
      </c>
      <c r="H252" s="7" t="str" cm="1">
        <f t="array" ref="H252">INDEX(Changed!$H:$H,ROW())&amp;IF(Changed!$H252&gt;Base!$H252,"↑",IF(Changed!$H252&lt;Base!$H252," ↓",""))</f>
        <v>55</v>
      </c>
      <c r="I252" s="7" t="str" cm="1">
        <f t="array" ref="I252">INDEX(Changed!$I:$I,ROW())&amp;IF(Changed!$I252&gt;Base!$I252,"↑",IF(Changed!$I252&lt;Base!$I252," ↓",""))</f>
        <v>95</v>
      </c>
      <c r="J252" s="7" t="str" cm="1">
        <f t="array" ref="J252">INDEX(Changed!$J:$J,ROW())&amp;IF(Changed!$J252&gt;Base!$J252,"↑",IF(Changed!$J252&lt;Base!$J252," ↓",""))</f>
        <v>55</v>
      </c>
      <c r="K252" s="7" t="str" cm="1">
        <f t="array" ref="K252">INDEX(Changed!$K:$K,ROW())&amp;IF(Changed!$K252&gt;Base!$K252,"↑",IF(Changed!$K252&lt;Base!$K252," ↓",""))</f>
        <v>35</v>
      </c>
      <c r="L252" s="7" t="str" cm="1">
        <f t="array" ref="L252">INDEX(Changed!$L:$L,ROW())&amp;IF(Changed!$L252&gt;Base!$L252,"↑",IF(Changed!$L252&lt;Base!$L252," ↓",""))</f>
        <v>75</v>
      </c>
      <c r="M252" s="7" t="str" cm="1">
        <f t="array" ref="M252">INDEX(Changed!$M:$M,ROW())&amp;IF(Changed!$M252&gt;Base!$M252,"↑",IF(Changed!$M252&lt;Base!$M252," ↓",""))</f>
        <v>115</v>
      </c>
      <c r="N252" s="19">
        <f>Changed!G252-Base!G252</f>
        <v>0</v>
      </c>
    </row>
    <row r="253" spans="1:14" ht="15.75" customHeight="1" x14ac:dyDescent="0.2">
      <c r="A253" s="4">
        <v>252</v>
      </c>
      <c r="B253" s="5" t="s">
        <v>496</v>
      </c>
      <c r="C253" s="6" t="str">
        <f>IF(Changed!C253&lt;&gt;"", Changed!C253, "")</f>
        <v>Dark</v>
      </c>
      <c r="D253" s="6" t="str">
        <f>IF(Changed!D253&lt;&gt;"", Changed!D253, "")</f>
        <v>Ice</v>
      </c>
      <c r="E253" s="6" t="str">
        <f>IF(Changed!E253&lt;&gt;"", Changed!E253, "")</f>
        <v>Pressure</v>
      </c>
      <c r="F253" s="6" t="str">
        <f>IF(Changed!F253&lt;&gt;"", Changed!F253, "")</f>
        <v/>
      </c>
      <c r="G253" s="7" t="str" cm="1">
        <f t="array" ref="G253">INDEX(Changed!$G:$G,ROW())&amp;IF(Changed!$G253&gt;Base!$G253,"↑",IF(Changed!$G253&lt;Base!$G253," ↓",""))</f>
        <v>510</v>
      </c>
      <c r="H253" s="7" t="str" cm="1">
        <f t="array" ref="H253">INDEX(Changed!$H:$H,ROW())&amp;IF(Changed!$H253&gt;Base!$H253,"↑",IF(Changed!$H253&lt;Base!$H253," ↓",""))</f>
        <v>70</v>
      </c>
      <c r="I253" s="7" t="str" cm="1">
        <f t="array" ref="I253">INDEX(Changed!$I:$I,ROW())&amp;IF(Changed!$I253&gt;Base!$I253,"↑",IF(Changed!$I253&lt;Base!$I253," ↓",""))</f>
        <v>120</v>
      </c>
      <c r="J253" s="7" t="str" cm="1">
        <f t="array" ref="J253">INDEX(Changed!$J:$J,ROW())&amp;IF(Changed!$J253&gt;Base!$J253,"↑",IF(Changed!$J253&lt;Base!$J253," ↓",""))</f>
        <v>65</v>
      </c>
      <c r="K253" s="7" t="str" cm="1">
        <f t="array" ref="K253">INDEX(Changed!$K:$K,ROW())&amp;IF(Changed!$K253&gt;Base!$K253,"↑",IF(Changed!$K253&lt;Base!$K253," ↓",""))</f>
        <v>45</v>
      </c>
      <c r="L253" s="7" t="str" cm="1">
        <f t="array" ref="L253">INDEX(Changed!$L:$L,ROW())&amp;IF(Changed!$L253&gt;Base!$L253,"↑",IF(Changed!$L253&lt;Base!$L253," ↓",""))</f>
        <v>85</v>
      </c>
      <c r="M253" s="7" t="str" cm="1">
        <f t="array" ref="M253">INDEX(Changed!$M:$M,ROW())&amp;IF(Changed!$M253&gt;Base!$M253,"↑",IF(Changed!$M253&lt;Base!$M253," ↓",""))</f>
        <v>125</v>
      </c>
      <c r="N253" s="19">
        <f>Changed!G253-Base!G253</f>
        <v>0</v>
      </c>
    </row>
    <row r="254" spans="1:14" ht="15.75" customHeight="1" x14ac:dyDescent="0.2">
      <c r="A254" s="4">
        <v>253</v>
      </c>
      <c r="B254" s="5" t="s">
        <v>251</v>
      </c>
      <c r="C254" s="6" t="str">
        <f>IF(Changed!C254&lt;&gt;"", Changed!C254, "")</f>
        <v>Normal</v>
      </c>
      <c r="D254" s="6" t="str">
        <f>IF(Changed!D254&lt;&gt;"", Changed!D254, "")</f>
        <v/>
      </c>
      <c r="E254" s="6" t="str">
        <f>IF(Changed!E254&lt;&gt;"", Changed!E254, "")</f>
        <v>Pickup</v>
      </c>
      <c r="F254" s="6" t="str">
        <f>IF(Changed!F254&lt;&gt;"", Changed!F254, "")</f>
        <v>Quick Feet</v>
      </c>
      <c r="G254" s="7" t="str" cm="1">
        <f t="array" ref="G254">INDEX(Changed!$G:$G,ROW())&amp;IF(Changed!$G254&gt;Base!$G254,"↑",IF(Changed!$G254&lt;Base!$G254," ↓",""))</f>
        <v>330</v>
      </c>
      <c r="H254" s="7" t="str" cm="1">
        <f t="array" ref="H254">INDEX(Changed!$H:$H,ROW())&amp;IF(Changed!$H254&gt;Base!$H254,"↑",IF(Changed!$H254&lt;Base!$H254," ↓",""))</f>
        <v>60</v>
      </c>
      <c r="I254" s="7" t="str" cm="1">
        <f t="array" ref="I254">INDEX(Changed!$I:$I,ROW())&amp;IF(Changed!$I254&gt;Base!$I254,"↑",IF(Changed!$I254&lt;Base!$I254," ↓",""))</f>
        <v>80</v>
      </c>
      <c r="J254" s="7" t="str" cm="1">
        <f t="array" ref="J254">INDEX(Changed!$J:$J,ROW())&amp;IF(Changed!$J254&gt;Base!$J254,"↑",IF(Changed!$J254&lt;Base!$J254," ↓",""))</f>
        <v>50</v>
      </c>
      <c r="K254" s="7" t="str" cm="1">
        <f t="array" ref="K254">INDEX(Changed!$K:$K,ROW())&amp;IF(Changed!$K254&gt;Base!$K254,"↑",IF(Changed!$K254&lt;Base!$K254," ↓",""))</f>
        <v>50</v>
      </c>
      <c r="L254" s="7" t="str" cm="1">
        <f t="array" ref="L254">INDEX(Changed!$L:$L,ROW())&amp;IF(Changed!$L254&gt;Base!$L254,"↑",IF(Changed!$L254&lt;Base!$L254," ↓",""))</f>
        <v>50</v>
      </c>
      <c r="M254" s="7" t="str" cm="1">
        <f t="array" ref="M254">INDEX(Changed!$M:$M,ROW())&amp;IF(Changed!$M254&gt;Base!$M254,"↑",IF(Changed!$M254&lt;Base!$M254," ↓",""))</f>
        <v>40</v>
      </c>
      <c r="N254" s="19">
        <f>Changed!G254-Base!G254</f>
        <v>0</v>
      </c>
    </row>
    <row r="255" spans="1:14" ht="15.75" customHeight="1" x14ac:dyDescent="0.2">
      <c r="A255" s="4">
        <v>254</v>
      </c>
      <c r="B255" s="5" t="s">
        <v>252</v>
      </c>
      <c r="C255" s="6" t="str">
        <f>IF(Changed!C255&lt;&gt;"", Changed!C255, "")</f>
        <v>Normal</v>
      </c>
      <c r="D255" s="6" t="str">
        <f>IF(Changed!D255&lt;&gt;"", Changed!D255, "")</f>
        <v>Ground</v>
      </c>
      <c r="E255" s="6" t="str">
        <f>IF(Changed!E255&lt;&gt;"", Changed!E255, "")</f>
        <v>Guts</v>
      </c>
      <c r="F255" s="6" t="str">
        <f>IF(Changed!F255&lt;&gt;"", Changed!F255, "")</f>
        <v>Quick Feet</v>
      </c>
      <c r="G255" s="7" t="str" cm="1">
        <f t="array" ref="G255">INDEX(Changed!$G:$G,ROW())&amp;IF(Changed!$G255&gt;Base!$G255,"↑",IF(Changed!$G255&lt;Base!$G255," ↓",""))</f>
        <v>500</v>
      </c>
      <c r="H255" s="7" t="str" cm="1">
        <f t="array" ref="H255">INDEX(Changed!$H:$H,ROW())&amp;IF(Changed!$H255&gt;Base!$H255,"↑",IF(Changed!$H255&lt;Base!$H255," ↓",""))</f>
        <v>90</v>
      </c>
      <c r="I255" s="7" t="str" cm="1">
        <f t="array" ref="I255">INDEX(Changed!$I:$I,ROW())&amp;IF(Changed!$I255&gt;Base!$I255,"↑",IF(Changed!$I255&lt;Base!$I255," ↓",""))</f>
        <v>130</v>
      </c>
      <c r="J255" s="7" t="str" cm="1">
        <f t="array" ref="J255">INDEX(Changed!$J:$J,ROW())&amp;IF(Changed!$J255&gt;Base!$J255,"↑",IF(Changed!$J255&lt;Base!$J255," ↓",""))</f>
        <v>75</v>
      </c>
      <c r="K255" s="7" t="str" cm="1">
        <f t="array" ref="K255">INDEX(Changed!$K:$K,ROW())&amp;IF(Changed!$K255&gt;Base!$K255,"↑",IF(Changed!$K255&lt;Base!$K255," ↓",""))</f>
        <v>75</v>
      </c>
      <c r="L255" s="7" t="str" cm="1">
        <f t="array" ref="L255">INDEX(Changed!$L:$L,ROW())&amp;IF(Changed!$L255&gt;Base!$L255,"↑",IF(Changed!$L255&lt;Base!$L255," ↓",""))</f>
        <v>75</v>
      </c>
      <c r="M255" s="7" t="str" cm="1">
        <f t="array" ref="M255">INDEX(Changed!$M:$M,ROW())&amp;IF(Changed!$M255&gt;Base!$M255,"↑",IF(Changed!$M255&lt;Base!$M255," ↓",""))</f>
        <v>55</v>
      </c>
      <c r="N255" s="19">
        <f>Changed!G255-Base!G255</f>
        <v>0</v>
      </c>
    </row>
    <row r="256" spans="1:14" ht="15.75" customHeight="1" x14ac:dyDescent="0.2">
      <c r="A256" s="4">
        <v>255</v>
      </c>
      <c r="B256" s="5" t="s">
        <v>1167</v>
      </c>
      <c r="C256" s="6" t="str">
        <f>IF(Changed!C256&lt;&gt;"", Changed!C256, "")</f>
        <v>Normal</v>
      </c>
      <c r="D256" s="6" t="str">
        <f>IF(Changed!D256&lt;&gt;"", Changed!D256, "")</f>
        <v>Ground</v>
      </c>
      <c r="E256" s="6" t="str">
        <f>IF(Changed!E256&lt;&gt;"", Changed!E256, "")</f>
        <v>Unevere</v>
      </c>
      <c r="F256" s="6" t="str">
        <f>IF(Changed!F256&lt;&gt;"", Changed!F256, "")</f>
        <v>Bulletproof</v>
      </c>
      <c r="G256" s="7" t="str" cm="1">
        <f t="array" ref="G256">INDEX(Changed!$G:$G,ROW())&amp;IF(Changed!$G256&gt;Base!$G256,"↑",IF(Changed!$G256&lt;Base!$G256," ↓",""))</f>
        <v>550</v>
      </c>
      <c r="H256" s="7" t="str" cm="1">
        <f t="array" ref="H256">INDEX(Changed!$H:$H,ROW())&amp;IF(Changed!$H256&gt;Base!$H256,"↑",IF(Changed!$H256&lt;Base!$H256," ↓",""))</f>
        <v>130</v>
      </c>
      <c r="I256" s="7" t="str" cm="1">
        <f t="array" ref="I256">INDEX(Changed!$I:$I,ROW())&amp;IF(Changed!$I256&gt;Base!$I256,"↑",IF(Changed!$I256&lt;Base!$I256," ↓",""))</f>
        <v>140</v>
      </c>
      <c r="J256" s="7" t="str" cm="1">
        <f t="array" ref="J256">INDEX(Changed!$J:$J,ROW())&amp;IF(Changed!$J256&gt;Base!$J256,"↑",IF(Changed!$J256&lt;Base!$J256," ↓",""))</f>
        <v>105</v>
      </c>
      <c r="K256" s="7" t="str" cm="1">
        <f t="array" ref="K256">INDEX(Changed!$K:$K,ROW())&amp;IF(Changed!$K256&gt;Base!$K256,"↑",IF(Changed!$K256&lt;Base!$K256," ↓",""))</f>
        <v>45</v>
      </c>
      <c r="L256" s="7" t="str" cm="1">
        <f t="array" ref="L256">INDEX(Changed!$L:$L,ROW())&amp;IF(Changed!$L256&gt;Base!$L256,"↑",IF(Changed!$L256&lt;Base!$L256," ↓",""))</f>
        <v>80</v>
      </c>
      <c r="M256" s="7" t="str" cm="1">
        <f t="array" ref="M256">INDEX(Changed!$M:$M,ROW())&amp;IF(Changed!$M256&gt;Base!$M256,"↑",IF(Changed!$M256&lt;Base!$M256," ↓",""))</f>
        <v>50</v>
      </c>
      <c r="N256" s="19">
        <f>Changed!G256-Base!G256</f>
        <v>0</v>
      </c>
    </row>
    <row r="257" spans="1:14" ht="15.75" customHeight="1" x14ac:dyDescent="0.2">
      <c r="A257" s="4">
        <v>256</v>
      </c>
      <c r="B257" s="5" t="s">
        <v>253</v>
      </c>
      <c r="C257" s="6" t="str">
        <f>IF(Changed!C257&lt;&gt;"", Changed!C257, "")</f>
        <v>Fire</v>
      </c>
      <c r="D257" s="6" t="str">
        <f>IF(Changed!D257&lt;&gt;"", Changed!D257, "")</f>
        <v>Water</v>
      </c>
      <c r="E257" s="6" t="str">
        <f>IF(Changed!E257&lt;&gt;"", Changed!E257, "")</f>
        <v>Water Absorb</v>
      </c>
      <c r="F257" s="6" t="str">
        <f>IF(Changed!F257&lt;&gt;"", Changed!F257, "")</f>
        <v>Flame Body</v>
      </c>
      <c r="G257" s="7" t="str" cm="1">
        <f t="array" ref="G257">INDEX(Changed!$G:$G,ROW())&amp;IF(Changed!$G257&gt;Base!$G257,"↑",IF(Changed!$G257&lt;Base!$G257," ↓",""))</f>
        <v>250</v>
      </c>
      <c r="H257" s="7" t="str" cm="1">
        <f t="array" ref="H257">INDEX(Changed!$H:$H,ROW())&amp;IF(Changed!$H257&gt;Base!$H257,"↑",IF(Changed!$H257&lt;Base!$H257," ↓",""))</f>
        <v>40</v>
      </c>
      <c r="I257" s="7" t="str" cm="1">
        <f t="array" ref="I257">INDEX(Changed!$I:$I,ROW())&amp;IF(Changed!$I257&gt;Base!$I257,"↑",IF(Changed!$I257&lt;Base!$I257," ↓",""))</f>
        <v>40</v>
      </c>
      <c r="J257" s="7" t="str" cm="1">
        <f t="array" ref="J257">INDEX(Changed!$J:$J,ROW())&amp;IF(Changed!$J257&gt;Base!$J257,"↑",IF(Changed!$J257&lt;Base!$J257," ↓",""))</f>
        <v>40</v>
      </c>
      <c r="K257" s="7" t="str" cm="1">
        <f t="array" ref="K257">INDEX(Changed!$K:$K,ROW())&amp;IF(Changed!$K257&gt;Base!$K257,"↑",IF(Changed!$K257&lt;Base!$K257," ↓",""))</f>
        <v>70</v>
      </c>
      <c r="L257" s="7" t="str" cm="1">
        <f t="array" ref="L257">INDEX(Changed!$L:$L,ROW())&amp;IF(Changed!$L257&gt;Base!$L257,"↑",IF(Changed!$L257&lt;Base!$L257," ↓",""))</f>
        <v>40</v>
      </c>
      <c r="M257" s="7" t="str" cm="1">
        <f t="array" ref="M257">INDEX(Changed!$M:$M,ROW())&amp;IF(Changed!$M257&gt;Base!$M257,"↑",IF(Changed!$M257&lt;Base!$M257," ↓",""))</f>
        <v>20</v>
      </c>
      <c r="N257" s="19">
        <f>Changed!G257-Base!G257</f>
        <v>0</v>
      </c>
    </row>
    <row r="258" spans="1:14" ht="15.75" customHeight="1" x14ac:dyDescent="0.2">
      <c r="A258" s="4">
        <v>257</v>
      </c>
      <c r="B258" s="5" t="s">
        <v>254</v>
      </c>
      <c r="C258" s="6" t="str">
        <f>IF(Changed!C258&lt;&gt;"", Changed!C258, "")</f>
        <v>Fire</v>
      </c>
      <c r="D258" s="6" t="str">
        <f>IF(Changed!D258&lt;&gt;"", Changed!D258, "")</f>
        <v>Rock</v>
      </c>
      <c r="E258" s="6" t="str">
        <f>IF(Changed!E258&lt;&gt;"", Changed!E258, "")</f>
        <v>Water Absorb</v>
      </c>
      <c r="F258" s="6" t="str">
        <f>IF(Changed!F258&lt;&gt;"", Changed!F258, "")</f>
        <v>Flame Body</v>
      </c>
      <c r="G258" s="7" t="str" cm="1">
        <f t="array" ref="G258">INDEX(Changed!$G:$G,ROW())&amp;IF(Changed!$G258&gt;Base!$G258,"↑",IF(Changed!$G258&lt;Base!$G258," ↓",""))</f>
        <v>450↑</v>
      </c>
      <c r="H258" s="7" t="str" cm="1">
        <f t="array" ref="H258">INDEX(Changed!$H:$H,ROW())&amp;IF(Changed!$H258&gt;Base!$H258,"↑",IF(Changed!$H258&lt;Base!$H258," ↓",""))</f>
        <v>60</v>
      </c>
      <c r="I258" s="7" t="str" cm="1">
        <f t="array" ref="I258">INDEX(Changed!$I:$I,ROW())&amp;IF(Changed!$I258&gt;Base!$I258,"↑",IF(Changed!$I258&lt;Base!$I258," ↓",""))</f>
        <v>40 ↓</v>
      </c>
      <c r="J258" s="7" t="str" cm="1">
        <f t="array" ref="J258">INDEX(Changed!$J:$J,ROW())&amp;IF(Changed!$J258&gt;Base!$J258,"↑",IF(Changed!$J258&lt;Base!$J258," ↓",""))</f>
        <v>120</v>
      </c>
      <c r="K258" s="7" t="str" cm="1">
        <f t="array" ref="K258">INDEX(Changed!$K:$K,ROW())&amp;IF(Changed!$K258&gt;Base!$K258,"↑",IF(Changed!$K258&lt;Base!$K258," ↓",""))</f>
        <v>105↑</v>
      </c>
      <c r="L258" s="7" t="str" cm="1">
        <f t="array" ref="L258">INDEX(Changed!$L:$L,ROW())&amp;IF(Changed!$L258&gt;Base!$L258,"↑",IF(Changed!$L258&lt;Base!$L258," ↓",""))</f>
        <v>95↑</v>
      </c>
      <c r="M258" s="7" t="str" cm="1">
        <f t="array" ref="M258">INDEX(Changed!$M:$M,ROW())&amp;IF(Changed!$M258&gt;Base!$M258,"↑",IF(Changed!$M258&lt;Base!$M258," ↓",""))</f>
        <v>30</v>
      </c>
      <c r="N258" s="19">
        <f>Changed!G258-Base!G258</f>
        <v>20</v>
      </c>
    </row>
    <row r="259" spans="1:14" ht="15.75" customHeight="1" x14ac:dyDescent="0.2">
      <c r="A259" s="4">
        <v>258</v>
      </c>
      <c r="B259" s="5" t="s">
        <v>255</v>
      </c>
      <c r="C259" s="6" t="str">
        <f>IF(Changed!C259&lt;&gt;"", Changed!C259, "")</f>
        <v>Ice</v>
      </c>
      <c r="D259" s="6" t="str">
        <f>IF(Changed!D259&lt;&gt;"", Changed!D259, "")</f>
        <v>Ground</v>
      </c>
      <c r="E259" s="6" t="str">
        <f>IF(Changed!E259&lt;&gt;"", Changed!E259, "")</f>
        <v>Oblivious</v>
      </c>
      <c r="F259" s="6" t="str">
        <f>IF(Changed!F259&lt;&gt;"", Changed!F259, "")</f>
        <v>Slush Rush</v>
      </c>
      <c r="G259" s="7" t="str" cm="1">
        <f t="array" ref="G259">INDEX(Changed!$G:$G,ROW())&amp;IF(Changed!$G259&gt;Base!$G259,"↑",IF(Changed!$G259&lt;Base!$G259," ↓",""))</f>
        <v>250</v>
      </c>
      <c r="H259" s="7" t="str" cm="1">
        <f t="array" ref="H259">INDEX(Changed!$H:$H,ROW())&amp;IF(Changed!$H259&gt;Base!$H259,"↑",IF(Changed!$H259&lt;Base!$H259," ↓",""))</f>
        <v>50</v>
      </c>
      <c r="I259" s="7" t="str" cm="1">
        <f t="array" ref="I259">INDEX(Changed!$I:$I,ROW())&amp;IF(Changed!$I259&gt;Base!$I259,"↑",IF(Changed!$I259&lt;Base!$I259," ↓",""))</f>
        <v>50</v>
      </c>
      <c r="J259" s="7" t="str" cm="1">
        <f t="array" ref="J259">INDEX(Changed!$J:$J,ROW())&amp;IF(Changed!$J259&gt;Base!$J259,"↑",IF(Changed!$J259&lt;Base!$J259," ↓",""))</f>
        <v>40</v>
      </c>
      <c r="K259" s="7" t="str" cm="1">
        <f t="array" ref="K259">INDEX(Changed!$K:$K,ROW())&amp;IF(Changed!$K259&gt;Base!$K259,"↑",IF(Changed!$K259&lt;Base!$K259," ↓",""))</f>
        <v>30</v>
      </c>
      <c r="L259" s="7" t="str" cm="1">
        <f t="array" ref="L259">INDEX(Changed!$L:$L,ROW())&amp;IF(Changed!$L259&gt;Base!$L259,"↑",IF(Changed!$L259&lt;Base!$L259," ↓",""))</f>
        <v>30</v>
      </c>
      <c r="M259" s="7" t="str" cm="1">
        <f t="array" ref="M259">INDEX(Changed!$M:$M,ROW())&amp;IF(Changed!$M259&gt;Base!$M259,"↑",IF(Changed!$M259&lt;Base!$M259," ↓",""))</f>
        <v>50</v>
      </c>
      <c r="N259" s="19">
        <f>Changed!G259-Base!G259</f>
        <v>0</v>
      </c>
    </row>
    <row r="260" spans="1:14" ht="15.75" customHeight="1" x14ac:dyDescent="0.2">
      <c r="A260" s="4">
        <v>259</v>
      </c>
      <c r="B260" s="5" t="s">
        <v>256</v>
      </c>
      <c r="C260" s="6" t="str">
        <f>IF(Changed!C260&lt;&gt;"", Changed!C260, "")</f>
        <v>Ice</v>
      </c>
      <c r="D260" s="6" t="str">
        <f>IF(Changed!D260&lt;&gt;"", Changed!D260, "")</f>
        <v>Ground</v>
      </c>
      <c r="E260" s="6" t="str">
        <f>IF(Changed!E260&lt;&gt;"", Changed!E260, "")</f>
        <v>Oblivious</v>
      </c>
      <c r="F260" s="6" t="str">
        <f>IF(Changed!F260&lt;&gt;"", Changed!F260, "")</f>
        <v>Slush Rush</v>
      </c>
      <c r="G260" s="7" t="str" cm="1">
        <f t="array" ref="G260">INDEX(Changed!$G:$G,ROW())&amp;IF(Changed!$G260&gt;Base!$G260,"↑",IF(Changed!$G260&lt;Base!$G260," ↓",""))</f>
        <v>450</v>
      </c>
      <c r="H260" s="7" t="str" cm="1">
        <f t="array" ref="H260">INDEX(Changed!$H:$H,ROW())&amp;IF(Changed!$H260&gt;Base!$H260,"↑",IF(Changed!$H260&lt;Base!$H260," ↓",""))</f>
        <v>100</v>
      </c>
      <c r="I260" s="7" t="str" cm="1">
        <f t="array" ref="I260">INDEX(Changed!$I:$I,ROW())&amp;IF(Changed!$I260&gt;Base!$I260,"↑",IF(Changed!$I260&lt;Base!$I260," ↓",""))</f>
        <v>100</v>
      </c>
      <c r="J260" s="7" t="str" cm="1">
        <f t="array" ref="J260">INDEX(Changed!$J:$J,ROW())&amp;IF(Changed!$J260&gt;Base!$J260,"↑",IF(Changed!$J260&lt;Base!$J260," ↓",""))</f>
        <v>80</v>
      </c>
      <c r="K260" s="7" t="str" cm="1">
        <f t="array" ref="K260">INDEX(Changed!$K:$K,ROW())&amp;IF(Changed!$K260&gt;Base!$K260,"↑",IF(Changed!$K260&lt;Base!$K260," ↓",""))</f>
        <v>60</v>
      </c>
      <c r="L260" s="7" t="str" cm="1">
        <f t="array" ref="L260">INDEX(Changed!$L:$L,ROW())&amp;IF(Changed!$L260&gt;Base!$L260,"↑",IF(Changed!$L260&lt;Base!$L260," ↓",""))</f>
        <v>60</v>
      </c>
      <c r="M260" s="7" t="str" cm="1">
        <f t="array" ref="M260">INDEX(Changed!$M:$M,ROW())&amp;IF(Changed!$M260&gt;Base!$M260,"↑",IF(Changed!$M260&lt;Base!$M260," ↓",""))</f>
        <v>50</v>
      </c>
      <c r="N260" s="19">
        <f>Changed!G260-Base!G260</f>
        <v>0</v>
      </c>
    </row>
    <row r="261" spans="1:14" ht="15.75" customHeight="1" x14ac:dyDescent="0.2">
      <c r="A261" s="4">
        <v>260</v>
      </c>
      <c r="B261" s="5" t="s">
        <v>508</v>
      </c>
      <c r="C261" s="6" t="str">
        <f>IF(Changed!C261&lt;&gt;"", Changed!C261, "")</f>
        <v>Ice</v>
      </c>
      <c r="D261" s="6" t="str">
        <f>IF(Changed!D261&lt;&gt;"", Changed!D261, "")</f>
        <v>Ground</v>
      </c>
      <c r="E261" s="6" t="str">
        <f>IF(Changed!E261&lt;&gt;"", Changed!E261, "")</f>
        <v>Oblivious</v>
      </c>
      <c r="F261" s="6" t="str">
        <f>IF(Changed!F261&lt;&gt;"", Changed!F261, "")</f>
        <v>Slush Rush</v>
      </c>
      <c r="G261" s="7" t="str" cm="1">
        <f t="array" ref="G261">INDEX(Changed!$G:$G,ROW())&amp;IF(Changed!$G261&gt;Base!$G261,"↑",IF(Changed!$G261&lt;Base!$G261," ↓",""))</f>
        <v>530</v>
      </c>
      <c r="H261" s="7" t="str" cm="1">
        <f t="array" ref="H261">INDEX(Changed!$H:$H,ROW())&amp;IF(Changed!$H261&gt;Base!$H261,"↑",IF(Changed!$H261&lt;Base!$H261," ↓",""))</f>
        <v>110</v>
      </c>
      <c r="I261" s="7" t="str" cm="1">
        <f t="array" ref="I261">INDEX(Changed!$I:$I,ROW())&amp;IF(Changed!$I261&gt;Base!$I261,"↑",IF(Changed!$I261&lt;Base!$I261," ↓",""))</f>
        <v>130</v>
      </c>
      <c r="J261" s="7" t="str" cm="1">
        <f t="array" ref="J261">INDEX(Changed!$J:$J,ROW())&amp;IF(Changed!$J261&gt;Base!$J261,"↑",IF(Changed!$J261&lt;Base!$J261," ↓",""))</f>
        <v>80</v>
      </c>
      <c r="K261" s="7" t="str" cm="1">
        <f t="array" ref="K261">INDEX(Changed!$K:$K,ROW())&amp;IF(Changed!$K261&gt;Base!$K261,"↑",IF(Changed!$K261&lt;Base!$K261," ↓",""))</f>
        <v>70</v>
      </c>
      <c r="L261" s="7" t="str" cm="1">
        <f t="array" ref="L261">INDEX(Changed!$L:$L,ROW())&amp;IF(Changed!$L261&gt;Base!$L261,"↑",IF(Changed!$L261&lt;Base!$L261," ↓",""))</f>
        <v>60</v>
      </c>
      <c r="M261" s="7" t="str" cm="1">
        <f t="array" ref="M261">INDEX(Changed!$M:$M,ROW())&amp;IF(Changed!$M261&gt;Base!$M261,"↑",IF(Changed!$M261&lt;Base!$M261," ↓",""))</f>
        <v>80</v>
      </c>
      <c r="N261" s="19">
        <f>Changed!G261-Base!G261</f>
        <v>0</v>
      </c>
    </row>
    <row r="262" spans="1:14" ht="15.75" customHeight="1" x14ac:dyDescent="0.2">
      <c r="A262" s="4">
        <v>261</v>
      </c>
      <c r="B262" s="5" t="s">
        <v>257</v>
      </c>
      <c r="C262" s="6" t="str">
        <f>IF(Changed!C262&lt;&gt;"", Changed!C262, "")</f>
        <v>Rock</v>
      </c>
      <c r="D262" s="6" t="str">
        <f>IF(Changed!D262&lt;&gt;"", Changed!D262, "")</f>
        <v>Ghost</v>
      </c>
      <c r="E262" s="6" t="str">
        <f>IF(Changed!E262&lt;&gt;"", Changed!E262, "")</f>
        <v>Weak Armor</v>
      </c>
      <c r="F262" s="6" t="str">
        <f>IF(Changed!F262&lt;&gt;"", Changed!F262, "")</f>
        <v>Purifying Salt</v>
      </c>
      <c r="G262" s="7" t="str" cm="1">
        <f t="array" ref="G262">INDEX(Changed!$G:$G,ROW())&amp;IF(Changed!$G262&gt;Base!$G262,"↑",IF(Changed!$G262&lt;Base!$G262," ↓",""))</f>
        <v>410</v>
      </c>
      <c r="H262" s="7" t="str" cm="1">
        <f t="array" ref="H262">INDEX(Changed!$H:$H,ROW())&amp;IF(Changed!$H262&gt;Base!$H262,"↑",IF(Changed!$H262&lt;Base!$H262," ↓",""))</f>
        <v>65</v>
      </c>
      <c r="I262" s="7" t="str" cm="1">
        <f t="array" ref="I262">INDEX(Changed!$I:$I,ROW())&amp;IF(Changed!$I262&gt;Base!$I262,"↑",IF(Changed!$I262&lt;Base!$I262," ↓",""))</f>
        <v>55</v>
      </c>
      <c r="J262" s="7" t="str" cm="1">
        <f t="array" ref="J262">INDEX(Changed!$J:$J,ROW())&amp;IF(Changed!$J262&gt;Base!$J262,"↑",IF(Changed!$J262&lt;Base!$J262," ↓",""))</f>
        <v>95</v>
      </c>
      <c r="K262" s="7" t="str" cm="1">
        <f t="array" ref="K262">INDEX(Changed!$K:$K,ROW())&amp;IF(Changed!$K262&gt;Base!$K262,"↑",IF(Changed!$K262&lt;Base!$K262," ↓",""))</f>
        <v>65</v>
      </c>
      <c r="L262" s="7" t="str" cm="1">
        <f t="array" ref="L262">INDEX(Changed!$L:$L,ROW())&amp;IF(Changed!$L262&gt;Base!$L262,"↑",IF(Changed!$L262&lt;Base!$L262," ↓",""))</f>
        <v>95</v>
      </c>
      <c r="M262" s="7" t="str" cm="1">
        <f t="array" ref="M262">INDEX(Changed!$M:$M,ROW())&amp;IF(Changed!$M262&gt;Base!$M262,"↑",IF(Changed!$M262&lt;Base!$M262," ↓",""))</f>
        <v>35</v>
      </c>
      <c r="N262" s="19">
        <f>Changed!G262-Base!G262</f>
        <v>0</v>
      </c>
    </row>
    <row r="263" spans="1:14" ht="15.75" customHeight="1" x14ac:dyDescent="0.2">
      <c r="A263" s="4">
        <v>262</v>
      </c>
      <c r="B263" s="5" t="s">
        <v>1182</v>
      </c>
      <c r="C263" s="6" t="str">
        <f>IF(Changed!C263&lt;&gt;"", Changed!C263, "")</f>
        <v>Rock</v>
      </c>
      <c r="D263" s="6" t="str">
        <f>IF(Changed!D263&lt;&gt;"", Changed!D263, "")</f>
        <v>Ghost</v>
      </c>
      <c r="E263" s="6" t="str">
        <f>IF(Changed!E263&lt;&gt;"", Changed!E263, "")</f>
        <v>Weak Armor</v>
      </c>
      <c r="F263" s="6" t="str">
        <f>IF(Changed!F263&lt;&gt;"", Changed!F263, "")</f>
        <v>Purifying Salt</v>
      </c>
      <c r="G263" s="7" t="str" cm="1">
        <f t="array" ref="G263">INDEX(Changed!$G:$G,ROW())&amp;IF(Changed!$G263&gt;Base!$G263,"↑",IF(Changed!$G263&lt;Base!$G263," ↓",""))</f>
        <v>510</v>
      </c>
      <c r="H263" s="7" t="str" cm="1">
        <f t="array" ref="H263">INDEX(Changed!$H:$H,ROW())&amp;IF(Changed!$H263&gt;Base!$H263,"↑",IF(Changed!$H263&lt;Base!$H263," ↓",""))</f>
        <v>60</v>
      </c>
      <c r="I263" s="7" t="str" cm="1">
        <f t="array" ref="I263">INDEX(Changed!$I:$I,ROW())&amp;IF(Changed!$I263&gt;Base!$I263,"↑",IF(Changed!$I263&lt;Base!$I263," ↓",""))</f>
        <v>95</v>
      </c>
      <c r="J263" s="7" t="str" cm="1">
        <f t="array" ref="J263">INDEX(Changed!$J:$J,ROW())&amp;IF(Changed!$J263&gt;Base!$J263,"↑",IF(Changed!$J263&lt;Base!$J263," ↓",""))</f>
        <v>50</v>
      </c>
      <c r="K263" s="7" t="str" cm="1">
        <f t="array" ref="K263">INDEX(Changed!$K:$K,ROW())&amp;IF(Changed!$K263&gt;Base!$K263,"↑",IF(Changed!$K263&lt;Base!$K263," ↓",""))</f>
        <v>145</v>
      </c>
      <c r="L263" s="7" t="str" cm="1">
        <f t="array" ref="L263">INDEX(Changed!$L:$L,ROW())&amp;IF(Changed!$L263&gt;Base!$L263,"↑",IF(Changed!$L263&lt;Base!$L263," ↓",""))</f>
        <v>130</v>
      </c>
      <c r="M263" s="7" t="str" cm="1">
        <f t="array" ref="M263">INDEX(Changed!$M:$M,ROW())&amp;IF(Changed!$M263&gt;Base!$M263,"↑",IF(Changed!$M263&lt;Base!$M263," ↓",""))</f>
        <v>30</v>
      </c>
      <c r="N263" s="19">
        <f>Changed!G263-Base!G263</f>
        <v>0</v>
      </c>
    </row>
    <row r="264" spans="1:14" ht="15.75" customHeight="1" x14ac:dyDescent="0.2">
      <c r="A264" s="4">
        <v>263</v>
      </c>
      <c r="B264" s="5" t="s">
        <v>258</v>
      </c>
      <c r="C264" s="6" t="str">
        <f>IF(Changed!C264&lt;&gt;"", Changed!C264, "")</f>
        <v>Water</v>
      </c>
      <c r="D264" s="6" t="str">
        <f>IF(Changed!D264&lt;&gt;"", Changed!D264, "")</f>
        <v/>
      </c>
      <c r="E264" s="6" t="str">
        <f>IF(Changed!E264&lt;&gt;"", Changed!E264, "")</f>
        <v>Hustle</v>
      </c>
      <c r="F264" s="6" t="str">
        <f>IF(Changed!F264&lt;&gt;"", Changed!F264, "")</f>
        <v>Sniper</v>
      </c>
      <c r="G264" s="7" t="str" cm="1">
        <f t="array" ref="G264">INDEX(Changed!$G:$G,ROW())&amp;IF(Changed!$G264&gt;Base!$G264,"↑",IF(Changed!$G264&lt;Base!$G264," ↓",""))</f>
        <v>300</v>
      </c>
      <c r="H264" s="7" t="str" cm="1">
        <f t="array" ref="H264">INDEX(Changed!$H:$H,ROW())&amp;IF(Changed!$H264&gt;Base!$H264,"↑",IF(Changed!$H264&lt;Base!$H264," ↓",""))</f>
        <v>35</v>
      </c>
      <c r="I264" s="7" t="str" cm="1">
        <f t="array" ref="I264">INDEX(Changed!$I:$I,ROW())&amp;IF(Changed!$I264&gt;Base!$I264,"↑",IF(Changed!$I264&lt;Base!$I264," ↓",""))</f>
        <v>60 ↓</v>
      </c>
      <c r="J264" s="7" t="str" cm="1">
        <f t="array" ref="J264">INDEX(Changed!$J:$J,ROW())&amp;IF(Changed!$J264&gt;Base!$J264,"↑",IF(Changed!$J264&lt;Base!$J264," ↓",""))</f>
        <v>35</v>
      </c>
      <c r="K264" s="7" t="str" cm="1">
        <f t="array" ref="K264">INDEX(Changed!$K:$K,ROW())&amp;IF(Changed!$K264&gt;Base!$K264,"↑",IF(Changed!$K264&lt;Base!$K264," ↓",""))</f>
        <v>65</v>
      </c>
      <c r="L264" s="7" t="str" cm="1">
        <f t="array" ref="L264">INDEX(Changed!$L:$L,ROW())&amp;IF(Changed!$L264&gt;Base!$L264,"↑",IF(Changed!$L264&lt;Base!$L264," ↓",""))</f>
        <v>35</v>
      </c>
      <c r="M264" s="7" t="str" cm="1">
        <f t="array" ref="M264">INDEX(Changed!$M:$M,ROW())&amp;IF(Changed!$M264&gt;Base!$M264,"↑",IF(Changed!$M264&lt;Base!$M264," ↓",""))</f>
        <v>70↑</v>
      </c>
      <c r="N264" s="19">
        <f>Changed!G264-Base!G264</f>
        <v>0</v>
      </c>
    </row>
    <row r="265" spans="1:14" ht="15.75" customHeight="1" x14ac:dyDescent="0.2">
      <c r="A265" s="4">
        <v>264</v>
      </c>
      <c r="B265" s="5" t="s">
        <v>259</v>
      </c>
      <c r="C265" s="6" t="str">
        <f>IF(Changed!C265&lt;&gt;"", Changed!C265, "")</f>
        <v>Water</v>
      </c>
      <c r="D265" s="6" t="str">
        <f>IF(Changed!D265&lt;&gt;"", Changed!D265, "")</f>
        <v/>
      </c>
      <c r="E265" s="6" t="str">
        <f>IF(Changed!E265&lt;&gt;"", Changed!E265, "")</f>
        <v>Suction Cups</v>
      </c>
      <c r="F265" s="6" t="str">
        <f>IF(Changed!F265&lt;&gt;"", Changed!F265, "")</f>
        <v>Sniper</v>
      </c>
      <c r="G265" s="7" t="str" cm="1">
        <f t="array" ref="G265">INDEX(Changed!$G:$G,ROW())&amp;IF(Changed!$G265&gt;Base!$G265,"↑",IF(Changed!$G265&lt;Base!$G265," ↓",""))</f>
        <v>480</v>
      </c>
      <c r="H265" s="7" t="str" cm="1">
        <f t="array" ref="H265">INDEX(Changed!$H:$H,ROW())&amp;IF(Changed!$H265&gt;Base!$H265,"↑",IF(Changed!$H265&lt;Base!$H265," ↓",""))</f>
        <v>80↑</v>
      </c>
      <c r="I265" s="7" t="str" cm="1">
        <f t="array" ref="I265">INDEX(Changed!$I:$I,ROW())&amp;IF(Changed!$I265&gt;Base!$I265,"↑",IF(Changed!$I265&lt;Base!$I265," ↓",""))</f>
        <v>60 ↓</v>
      </c>
      <c r="J265" s="7" t="str" cm="1">
        <f t="array" ref="J265">INDEX(Changed!$J:$J,ROW())&amp;IF(Changed!$J265&gt;Base!$J265,"↑",IF(Changed!$J265&lt;Base!$J265," ↓",""))</f>
        <v>85↑</v>
      </c>
      <c r="K265" s="7" t="str" cm="1">
        <f t="array" ref="K265">INDEX(Changed!$K:$K,ROW())&amp;IF(Changed!$K265&gt;Base!$K265,"↑",IF(Changed!$K265&lt;Base!$K265," ↓",""))</f>
        <v>105</v>
      </c>
      <c r="L265" s="7" t="str" cm="1">
        <f t="array" ref="L265">INDEX(Changed!$L:$L,ROW())&amp;IF(Changed!$L265&gt;Base!$L265,"↑",IF(Changed!$L265&lt;Base!$L265," ↓",""))</f>
        <v>85↑</v>
      </c>
      <c r="M265" s="7" t="str" cm="1">
        <f t="array" ref="M265">INDEX(Changed!$M:$M,ROW())&amp;IF(Changed!$M265&gt;Base!$M265,"↑",IF(Changed!$M265&lt;Base!$M265," ↓",""))</f>
        <v>65↑</v>
      </c>
      <c r="N265" s="19">
        <f>Changed!G265-Base!G265</f>
        <v>0</v>
      </c>
    </row>
    <row r="266" spans="1:14" ht="15.75" customHeight="1" x14ac:dyDescent="0.2">
      <c r="A266" s="4">
        <v>265</v>
      </c>
      <c r="B266" s="5" t="s">
        <v>260</v>
      </c>
      <c r="C266" s="6" t="str">
        <f>IF(Changed!C266&lt;&gt;"", Changed!C266, "")</f>
        <v>Ice</v>
      </c>
      <c r="D266" s="6" t="str">
        <f>IF(Changed!D266&lt;&gt;"", Changed!D266, "")</f>
        <v>Flying</v>
      </c>
      <c r="E266" s="6" t="str">
        <f>IF(Changed!E266&lt;&gt;"", Changed!E266, "")</f>
        <v>Vital Spirit</v>
      </c>
      <c r="F266" s="6" t="str">
        <f>IF(Changed!F266&lt;&gt;"", Changed!F266, "")</f>
        <v>Hustle</v>
      </c>
      <c r="G266" s="7" t="str" cm="1">
        <f t="array" ref="G266">INDEX(Changed!$G:$G,ROW())&amp;IF(Changed!$G266&gt;Base!$G266,"↑",IF(Changed!$G266&lt;Base!$G266," ↓",""))</f>
        <v>390↑</v>
      </c>
      <c r="H266" s="7" t="str" cm="1">
        <f t="array" ref="H266">INDEX(Changed!$H:$H,ROW())&amp;IF(Changed!$H266&gt;Base!$H266,"↑",IF(Changed!$H266&lt;Base!$H266," ↓",""))</f>
        <v>45</v>
      </c>
      <c r="I266" s="7" t="str" cm="1">
        <f t="array" ref="I266">INDEX(Changed!$I:$I,ROW())&amp;IF(Changed!$I266&gt;Base!$I266,"↑",IF(Changed!$I266&lt;Base!$I266," ↓",""))</f>
        <v>90↑</v>
      </c>
      <c r="J266" s="7" t="str" cm="1">
        <f t="array" ref="J266">INDEX(Changed!$J:$J,ROW())&amp;IF(Changed!$J266&gt;Base!$J266,"↑",IF(Changed!$J266&lt;Base!$J266," ↓",""))</f>
        <v>45</v>
      </c>
      <c r="K266" s="7" t="str" cm="1">
        <f t="array" ref="K266">INDEX(Changed!$K:$K,ROW())&amp;IF(Changed!$K266&gt;Base!$K266,"↑",IF(Changed!$K266&lt;Base!$K266," ↓",""))</f>
        <v>90↑</v>
      </c>
      <c r="L266" s="7" t="str" cm="1">
        <f t="array" ref="L266">INDEX(Changed!$L:$L,ROW())&amp;IF(Changed!$L266&gt;Base!$L266,"↑",IF(Changed!$L266&lt;Base!$L266," ↓",""))</f>
        <v>45</v>
      </c>
      <c r="M266" s="7" t="str" cm="1">
        <f t="array" ref="M266">INDEX(Changed!$M:$M,ROW())&amp;IF(Changed!$M266&gt;Base!$M266,"↑",IF(Changed!$M266&lt;Base!$M266," ↓",""))</f>
        <v>75</v>
      </c>
      <c r="N266" s="19">
        <f>Changed!G266-Base!G266</f>
        <v>60</v>
      </c>
    </row>
    <row r="267" spans="1:14" ht="15.75" customHeight="1" x14ac:dyDescent="0.2">
      <c r="A267" s="4">
        <v>266</v>
      </c>
      <c r="B267" s="5" t="s">
        <v>493</v>
      </c>
      <c r="C267" s="6" t="str">
        <f>IF(Changed!C267&lt;&gt;"", Changed!C267, "")</f>
        <v>Water</v>
      </c>
      <c r="D267" s="6" t="str">
        <f>IF(Changed!D267&lt;&gt;"", Changed!D267, "")</f>
        <v>Flying</v>
      </c>
      <c r="E267" s="6" t="str">
        <f>IF(Changed!E267&lt;&gt;"", Changed!E267, "")</f>
        <v>Swift Swim</v>
      </c>
      <c r="F267" s="6" t="str">
        <f>IF(Changed!F267&lt;&gt;"", Changed!F267, "")</f>
        <v>Water Absorb</v>
      </c>
      <c r="G267" s="7" t="str" cm="1">
        <f t="array" ref="G267">INDEX(Changed!$G:$G,ROW())&amp;IF(Changed!$G267&gt;Base!$G267,"↑",IF(Changed!$G267&lt;Base!$G267," ↓",""))</f>
        <v>345</v>
      </c>
      <c r="H267" s="7" t="str" cm="1">
        <f t="array" ref="H267">INDEX(Changed!$H:$H,ROW())&amp;IF(Changed!$H267&gt;Base!$H267,"↑",IF(Changed!$H267&lt;Base!$H267," ↓",""))</f>
        <v>45</v>
      </c>
      <c r="I267" s="7" t="str" cm="1">
        <f t="array" ref="I267">INDEX(Changed!$I:$I,ROW())&amp;IF(Changed!$I267&gt;Base!$I267,"↑",IF(Changed!$I267&lt;Base!$I267," ↓",""))</f>
        <v>20</v>
      </c>
      <c r="J267" s="7" t="str" cm="1">
        <f t="array" ref="J267">INDEX(Changed!$J:$J,ROW())&amp;IF(Changed!$J267&gt;Base!$J267,"↑",IF(Changed!$J267&lt;Base!$J267," ↓",""))</f>
        <v>50</v>
      </c>
      <c r="K267" s="7" t="str" cm="1">
        <f t="array" ref="K267">INDEX(Changed!$K:$K,ROW())&amp;IF(Changed!$K267&gt;Base!$K267,"↑",IF(Changed!$K267&lt;Base!$K267," ↓",""))</f>
        <v>60</v>
      </c>
      <c r="L267" s="7" t="str" cm="1">
        <f t="array" ref="L267">INDEX(Changed!$L:$L,ROW())&amp;IF(Changed!$L267&gt;Base!$L267,"↑",IF(Changed!$L267&lt;Base!$L267," ↓",""))</f>
        <v>120</v>
      </c>
      <c r="M267" s="7" t="str" cm="1">
        <f t="array" ref="M267">INDEX(Changed!$M:$M,ROW())&amp;IF(Changed!$M267&gt;Base!$M267,"↑",IF(Changed!$M267&lt;Base!$M267," ↓",""))</f>
        <v>50</v>
      </c>
      <c r="N267" s="19">
        <f>Changed!G267-Base!G267</f>
        <v>0</v>
      </c>
    </row>
    <row r="268" spans="1:14" ht="15.75" customHeight="1" x14ac:dyDescent="0.2">
      <c r="A268" s="4">
        <v>267</v>
      </c>
      <c r="B268" s="5" t="s">
        <v>261</v>
      </c>
      <c r="C268" s="6" t="str">
        <f>IF(Changed!C268&lt;&gt;"", Changed!C268, "")</f>
        <v>Water</v>
      </c>
      <c r="D268" s="6" t="str">
        <f>IF(Changed!D268&lt;&gt;"", Changed!D268, "")</f>
        <v>Flying</v>
      </c>
      <c r="E268" s="6" t="str">
        <f>IF(Changed!E268&lt;&gt;"", Changed!E268, "")</f>
        <v>Swift Swim</v>
      </c>
      <c r="F268" s="6" t="str">
        <f>IF(Changed!F268&lt;&gt;"", Changed!F268, "")</f>
        <v>Delta Stream</v>
      </c>
      <c r="G268" s="7" t="str" cm="1">
        <f t="array" ref="G268">INDEX(Changed!$G:$G,ROW())&amp;IF(Changed!$G268&gt;Base!$G268,"↑",IF(Changed!$G268&lt;Base!$G268," ↓",""))</f>
        <v>485</v>
      </c>
      <c r="H268" s="7" t="str" cm="1">
        <f t="array" ref="H268">INDEX(Changed!$H:$H,ROW())&amp;IF(Changed!$H268&gt;Base!$H268,"↑",IF(Changed!$H268&lt;Base!$H268," ↓",""))</f>
        <v>85</v>
      </c>
      <c r="I268" s="7" t="str" cm="1">
        <f t="array" ref="I268">INDEX(Changed!$I:$I,ROW())&amp;IF(Changed!$I268&gt;Base!$I268,"↑",IF(Changed!$I268&lt;Base!$I268," ↓",""))</f>
        <v>40</v>
      </c>
      <c r="J268" s="7" t="str" cm="1">
        <f t="array" ref="J268">INDEX(Changed!$J:$J,ROW())&amp;IF(Changed!$J268&gt;Base!$J268,"↑",IF(Changed!$J268&lt;Base!$J268," ↓",""))</f>
        <v>70</v>
      </c>
      <c r="K268" s="7" t="str" cm="1">
        <f t="array" ref="K268">INDEX(Changed!$K:$K,ROW())&amp;IF(Changed!$K268&gt;Base!$K268,"↑",IF(Changed!$K268&lt;Base!$K268," ↓",""))</f>
        <v>80</v>
      </c>
      <c r="L268" s="7" t="str" cm="1">
        <f t="array" ref="L268">INDEX(Changed!$L:$L,ROW())&amp;IF(Changed!$L268&gt;Base!$L268,"↑",IF(Changed!$L268&lt;Base!$L268," ↓",""))</f>
        <v>140</v>
      </c>
      <c r="M268" s="7" t="str" cm="1">
        <f t="array" ref="M268">INDEX(Changed!$M:$M,ROW())&amp;IF(Changed!$M268&gt;Base!$M268,"↑",IF(Changed!$M268&lt;Base!$M268," ↓",""))</f>
        <v>70</v>
      </c>
      <c r="N268" s="19">
        <f>Changed!G268-Base!G268</f>
        <v>0</v>
      </c>
    </row>
    <row r="269" spans="1:14" ht="15.75" customHeight="1" x14ac:dyDescent="0.2">
      <c r="A269" s="4">
        <v>268</v>
      </c>
      <c r="B269" s="5" t="s">
        <v>263</v>
      </c>
      <c r="C269" s="6" t="str">
        <f>IF(Changed!C269&lt;&gt;"", Changed!C269, "")</f>
        <v>Dark</v>
      </c>
      <c r="D269" s="6" t="str">
        <f>IF(Changed!D269&lt;&gt;"", Changed!D269, "")</f>
        <v>Fire</v>
      </c>
      <c r="E269" s="6" t="str">
        <f>IF(Changed!E269&lt;&gt;"", Changed!E269, "")</f>
        <v>Early Bird</v>
      </c>
      <c r="F269" s="6" t="str">
        <f>IF(Changed!F269&lt;&gt;"", Changed!F269, "")</f>
        <v>Flash Fire</v>
      </c>
      <c r="G269" s="7" t="str" cm="1">
        <f t="array" ref="G269">INDEX(Changed!$G:$G,ROW())&amp;IF(Changed!$G269&gt;Base!$G269,"↑",IF(Changed!$G269&lt;Base!$G269," ↓",""))</f>
        <v>330</v>
      </c>
      <c r="H269" s="7" t="str" cm="1">
        <f t="array" ref="H269">INDEX(Changed!$H:$H,ROW())&amp;IF(Changed!$H269&gt;Base!$H269,"↑",IF(Changed!$H269&lt;Base!$H269," ↓",""))</f>
        <v>45</v>
      </c>
      <c r="I269" s="7" t="str" cm="1">
        <f t="array" ref="I269">INDEX(Changed!$I:$I,ROW())&amp;IF(Changed!$I269&gt;Base!$I269,"↑",IF(Changed!$I269&lt;Base!$I269," ↓",""))</f>
        <v>60</v>
      </c>
      <c r="J269" s="7" t="str" cm="1">
        <f t="array" ref="J269">INDEX(Changed!$J:$J,ROW())&amp;IF(Changed!$J269&gt;Base!$J269,"↑",IF(Changed!$J269&lt;Base!$J269," ↓",""))</f>
        <v>30</v>
      </c>
      <c r="K269" s="7" t="str" cm="1">
        <f t="array" ref="K269">INDEX(Changed!$K:$K,ROW())&amp;IF(Changed!$K269&gt;Base!$K269,"↑",IF(Changed!$K269&lt;Base!$K269," ↓",""))</f>
        <v>80</v>
      </c>
      <c r="L269" s="7" t="str" cm="1">
        <f t="array" ref="L269">INDEX(Changed!$L:$L,ROW())&amp;IF(Changed!$L269&gt;Base!$L269,"↑",IF(Changed!$L269&lt;Base!$L269," ↓",""))</f>
        <v>50</v>
      </c>
      <c r="M269" s="7" t="str" cm="1">
        <f t="array" ref="M269">INDEX(Changed!$M:$M,ROW())&amp;IF(Changed!$M269&gt;Base!$M269,"↑",IF(Changed!$M269&lt;Base!$M269," ↓",""))</f>
        <v>65</v>
      </c>
      <c r="N269" s="19">
        <f>Changed!G269-Base!G269</f>
        <v>0</v>
      </c>
    </row>
    <row r="270" spans="1:14" ht="15.75" customHeight="1" x14ac:dyDescent="0.2">
      <c r="A270" s="4">
        <v>269</v>
      </c>
      <c r="B270" s="5" t="s">
        <v>264</v>
      </c>
      <c r="C270" s="6" t="str">
        <f>IF(Changed!C270&lt;&gt;"", Changed!C270, "")</f>
        <v>Dark</v>
      </c>
      <c r="D270" s="6" t="str">
        <f>IF(Changed!D270&lt;&gt;"", Changed!D270, "")</f>
        <v>Fire</v>
      </c>
      <c r="E270" s="6" t="str">
        <f>IF(Changed!E270&lt;&gt;"", Changed!E270, "")</f>
        <v>Early Bird</v>
      </c>
      <c r="F270" s="6" t="str">
        <f>IF(Changed!F270&lt;&gt;"", Changed!F270, "")</f>
        <v>Flash Fire</v>
      </c>
      <c r="G270" s="7" t="str" cm="1">
        <f t="array" ref="G270">INDEX(Changed!$G:$G,ROW())&amp;IF(Changed!$G270&gt;Base!$G270,"↑",IF(Changed!$G270&lt;Base!$G270," ↓",""))</f>
        <v>500</v>
      </c>
      <c r="H270" s="7" t="str" cm="1">
        <f t="array" ref="H270">INDEX(Changed!$H:$H,ROW())&amp;IF(Changed!$H270&gt;Base!$H270,"↑",IF(Changed!$H270&lt;Base!$H270," ↓",""))</f>
        <v>75</v>
      </c>
      <c r="I270" s="7" t="str" cm="1">
        <f t="array" ref="I270">INDEX(Changed!$I:$I,ROW())&amp;IF(Changed!$I270&gt;Base!$I270,"↑",IF(Changed!$I270&lt;Base!$I270," ↓",""))</f>
        <v>90</v>
      </c>
      <c r="J270" s="7" t="str" cm="1">
        <f t="array" ref="J270">INDEX(Changed!$J:$J,ROW())&amp;IF(Changed!$J270&gt;Base!$J270,"↑",IF(Changed!$J270&lt;Base!$J270," ↓",""))</f>
        <v>50</v>
      </c>
      <c r="K270" s="7" t="str" cm="1">
        <f t="array" ref="K270">INDEX(Changed!$K:$K,ROW())&amp;IF(Changed!$K270&gt;Base!$K270,"↑",IF(Changed!$K270&lt;Base!$K270," ↓",""))</f>
        <v>110</v>
      </c>
      <c r="L270" s="7" t="str" cm="1">
        <f t="array" ref="L270">INDEX(Changed!$L:$L,ROW())&amp;IF(Changed!$L270&gt;Base!$L270,"↑",IF(Changed!$L270&lt;Base!$L270," ↓",""))</f>
        <v>80</v>
      </c>
      <c r="M270" s="7" t="str" cm="1">
        <f t="array" ref="M270">INDEX(Changed!$M:$M,ROW())&amp;IF(Changed!$M270&gt;Base!$M270,"↑",IF(Changed!$M270&lt;Base!$M270," ↓",""))</f>
        <v>95</v>
      </c>
      <c r="N270" s="19">
        <f>Changed!G270-Base!G270</f>
        <v>0</v>
      </c>
    </row>
    <row r="271" spans="1:14" ht="15.75" customHeight="1" x14ac:dyDescent="0.2">
      <c r="A271" s="4">
        <v>270</v>
      </c>
      <c r="B271" s="5" t="s">
        <v>266</v>
      </c>
      <c r="C271" s="6" t="str">
        <f>IF(Changed!C271&lt;&gt;"", Changed!C271, "")</f>
        <v>Ground</v>
      </c>
      <c r="D271" s="6" t="str">
        <f>IF(Changed!D271&lt;&gt;"", Changed!D271, "")</f>
        <v/>
      </c>
      <c r="E271" s="6" t="str">
        <f>IF(Changed!E271&lt;&gt;"", Changed!E271, "")</f>
        <v>Sand Veil</v>
      </c>
      <c r="F271" s="6" t="str">
        <f>IF(Changed!F271&lt;&gt;"", Changed!F271, "")</f>
        <v>Sand Rush</v>
      </c>
      <c r="G271" s="7" t="str" cm="1">
        <f t="array" ref="G271">INDEX(Changed!$G:$G,ROW())&amp;IF(Changed!$G271&gt;Base!$G271,"↑",IF(Changed!$G271&lt;Base!$G271," ↓",""))</f>
        <v>330</v>
      </c>
      <c r="H271" s="7" t="str" cm="1">
        <f t="array" ref="H271">INDEX(Changed!$H:$H,ROW())&amp;IF(Changed!$H271&gt;Base!$H271,"↑",IF(Changed!$H271&lt;Base!$H271," ↓",""))</f>
        <v>90</v>
      </c>
      <c r="I271" s="7" t="str" cm="1">
        <f t="array" ref="I271">INDEX(Changed!$I:$I,ROW())&amp;IF(Changed!$I271&gt;Base!$I271,"↑",IF(Changed!$I271&lt;Base!$I271," ↓",""))</f>
        <v>60</v>
      </c>
      <c r="J271" s="7" t="str" cm="1">
        <f t="array" ref="J271">INDEX(Changed!$J:$J,ROW())&amp;IF(Changed!$J271&gt;Base!$J271,"↑",IF(Changed!$J271&lt;Base!$J271," ↓",""))</f>
        <v>60</v>
      </c>
      <c r="K271" s="7" t="str" cm="1">
        <f t="array" ref="K271">INDEX(Changed!$K:$K,ROW())&amp;IF(Changed!$K271&gt;Base!$K271,"↑",IF(Changed!$K271&lt;Base!$K271," ↓",""))</f>
        <v>40</v>
      </c>
      <c r="L271" s="7" t="str" cm="1">
        <f t="array" ref="L271">INDEX(Changed!$L:$L,ROW())&amp;IF(Changed!$L271&gt;Base!$L271,"↑",IF(Changed!$L271&lt;Base!$L271," ↓",""))</f>
        <v>40</v>
      </c>
      <c r="M271" s="7" t="str" cm="1">
        <f t="array" ref="M271">INDEX(Changed!$M:$M,ROW())&amp;IF(Changed!$M271&gt;Base!$M271,"↑",IF(Changed!$M271&lt;Base!$M271," ↓",""))</f>
        <v>40</v>
      </c>
      <c r="N271" s="19">
        <f>Changed!G271-Base!G271</f>
        <v>0</v>
      </c>
    </row>
    <row r="272" spans="1:14" ht="15.75" customHeight="1" x14ac:dyDescent="0.2">
      <c r="A272" s="4">
        <v>271</v>
      </c>
      <c r="B272" s="5" t="s">
        <v>267</v>
      </c>
      <c r="C272" s="6" t="str">
        <f>IF(Changed!C272&lt;&gt;"", Changed!C272, "")</f>
        <v>Ground</v>
      </c>
      <c r="D272" s="6" t="str">
        <f>IF(Changed!D272&lt;&gt;"", Changed!D272, "")</f>
        <v/>
      </c>
      <c r="E272" s="6" t="str">
        <f>IF(Changed!E272&lt;&gt;"", Changed!E272, "")</f>
        <v>Stamina</v>
      </c>
      <c r="F272" s="6" t="str">
        <f>IF(Changed!F272&lt;&gt;"", Changed!F272, "")</f>
        <v>Speed Boost</v>
      </c>
      <c r="G272" s="7" t="str" cm="1">
        <f t="array" ref="G272">INDEX(Changed!$G:$G,ROW())&amp;IF(Changed!$G272&gt;Base!$G272,"↑",IF(Changed!$G272&lt;Base!$G272," ↓",""))</f>
        <v>500</v>
      </c>
      <c r="H272" s="7" t="str" cm="1">
        <f t="array" ref="H272">INDEX(Changed!$H:$H,ROW())&amp;IF(Changed!$H272&gt;Base!$H272,"↑",IF(Changed!$H272&lt;Base!$H272," ↓",""))</f>
        <v>90</v>
      </c>
      <c r="I272" s="7" t="str" cm="1">
        <f t="array" ref="I272">INDEX(Changed!$I:$I,ROW())&amp;IF(Changed!$I272&gt;Base!$I272,"↑",IF(Changed!$I272&lt;Base!$I272," ↓",""))</f>
        <v>120</v>
      </c>
      <c r="J272" s="7" t="str" cm="1">
        <f t="array" ref="J272">INDEX(Changed!$J:$J,ROW())&amp;IF(Changed!$J272&gt;Base!$J272,"↑",IF(Changed!$J272&lt;Base!$J272," ↓",""))</f>
        <v>120</v>
      </c>
      <c r="K272" s="7" t="str" cm="1">
        <f t="array" ref="K272">INDEX(Changed!$K:$K,ROW())&amp;IF(Changed!$K272&gt;Base!$K272,"↑",IF(Changed!$K272&lt;Base!$K272," ↓",""))</f>
        <v>60</v>
      </c>
      <c r="L272" s="7" t="str" cm="1">
        <f t="array" ref="L272">INDEX(Changed!$L:$L,ROW())&amp;IF(Changed!$L272&gt;Base!$L272,"↑",IF(Changed!$L272&lt;Base!$L272," ↓",""))</f>
        <v>60</v>
      </c>
      <c r="M272" s="7" t="str" cm="1">
        <f t="array" ref="M272">INDEX(Changed!$M:$M,ROW())&amp;IF(Changed!$M272&gt;Base!$M272,"↑",IF(Changed!$M272&lt;Base!$M272," ↓",""))</f>
        <v>50</v>
      </c>
      <c r="N272" s="19">
        <f>Changed!G272-Base!G272</f>
        <v>0</v>
      </c>
    </row>
    <row r="273" spans="1:14" ht="15.75" customHeight="1" x14ac:dyDescent="0.2">
      <c r="A273" s="4">
        <v>272</v>
      </c>
      <c r="B273" s="5" t="s">
        <v>269</v>
      </c>
      <c r="C273" s="6" t="str">
        <f>IF(Changed!C273&lt;&gt;"", Changed!C273, "")</f>
        <v>Normal</v>
      </c>
      <c r="D273" s="6" t="str">
        <f>IF(Changed!D273&lt;&gt;"", Changed!D273, "")</f>
        <v/>
      </c>
      <c r="E273" s="6" t="str">
        <f>IF(Changed!E273&lt;&gt;"", Changed!E273, "")</f>
        <v xml:space="preserve">Intimidate </v>
      </c>
      <c r="F273" s="6" t="str">
        <f>IF(Changed!F273&lt;&gt;"", Changed!F273, "")</f>
        <v>Frisk</v>
      </c>
      <c r="G273" s="7" t="str" cm="1">
        <f t="array" ref="G273">INDEX(Changed!$G:$G,ROW())&amp;IF(Changed!$G273&gt;Base!$G273,"↑",IF(Changed!$G273&lt;Base!$G273," ↓",""))</f>
        <v>465</v>
      </c>
      <c r="H273" s="7" t="str" cm="1">
        <f t="array" ref="H273">INDEX(Changed!$H:$H,ROW())&amp;IF(Changed!$H273&gt;Base!$H273,"↑",IF(Changed!$H273&lt;Base!$H273," ↓",""))</f>
        <v>73</v>
      </c>
      <c r="I273" s="7" t="str" cm="1">
        <f t="array" ref="I273">INDEX(Changed!$I:$I,ROW())&amp;IF(Changed!$I273&gt;Base!$I273,"↑",IF(Changed!$I273&lt;Base!$I273," ↓",""))</f>
        <v>95</v>
      </c>
      <c r="J273" s="7" t="str" cm="1">
        <f t="array" ref="J273">INDEX(Changed!$J:$J,ROW())&amp;IF(Changed!$J273&gt;Base!$J273,"↑",IF(Changed!$J273&lt;Base!$J273," ↓",""))</f>
        <v>62</v>
      </c>
      <c r="K273" s="7" t="str" cm="1">
        <f t="array" ref="K273">INDEX(Changed!$K:$K,ROW())&amp;IF(Changed!$K273&gt;Base!$K273,"↑",IF(Changed!$K273&lt;Base!$K273," ↓",""))</f>
        <v>85</v>
      </c>
      <c r="L273" s="7" t="str" cm="1">
        <f t="array" ref="L273">INDEX(Changed!$L:$L,ROW())&amp;IF(Changed!$L273&gt;Base!$L273,"↑",IF(Changed!$L273&lt;Base!$L273," ↓",""))</f>
        <v>65</v>
      </c>
      <c r="M273" s="7" t="str" cm="1">
        <f t="array" ref="M273">INDEX(Changed!$M:$M,ROW())&amp;IF(Changed!$M273&gt;Base!$M273,"↑",IF(Changed!$M273&lt;Base!$M273," ↓",""))</f>
        <v>85</v>
      </c>
      <c r="N273" s="19">
        <f>Changed!G273-Base!G273</f>
        <v>0</v>
      </c>
    </row>
    <row r="274" spans="1:14" ht="15.75" customHeight="1" x14ac:dyDescent="0.2">
      <c r="A274" s="4">
        <v>273</v>
      </c>
      <c r="B274" s="5" t="s">
        <v>1169</v>
      </c>
      <c r="C274" s="6" t="str">
        <f>IF(Changed!C274&lt;&gt;"", Changed!C274, "")</f>
        <v>Normal</v>
      </c>
      <c r="D274" s="6" t="str">
        <f>IF(Changed!D274&lt;&gt;"", Changed!D274, "")</f>
        <v>Psychic</v>
      </c>
      <c r="E274" s="6" t="str">
        <f>IF(Changed!E274&lt;&gt;"", Changed!E274, "")</f>
        <v xml:space="preserve">Intimidate </v>
      </c>
      <c r="F274" s="6" t="str">
        <f>IF(Changed!F274&lt;&gt;"", Changed!F274, "")</f>
        <v>Frisk</v>
      </c>
      <c r="G274" s="7" t="str" cm="1">
        <f t="array" ref="G274">INDEX(Changed!$G:$G,ROW())&amp;IF(Changed!$G274&gt;Base!$G274,"↑",IF(Changed!$G274&lt;Base!$G274," ↓",""))</f>
        <v>525</v>
      </c>
      <c r="H274" s="7" t="str" cm="1">
        <f t="array" ref="H274">INDEX(Changed!$H:$H,ROW())&amp;IF(Changed!$H274&gt;Base!$H274,"↑",IF(Changed!$H274&lt;Base!$H274," ↓",""))</f>
        <v>103</v>
      </c>
      <c r="I274" s="7" t="str" cm="1">
        <f t="array" ref="I274">INDEX(Changed!$I:$I,ROW())&amp;IF(Changed!$I274&gt;Base!$I274,"↑",IF(Changed!$I274&lt;Base!$I274," ↓",""))</f>
        <v>105</v>
      </c>
      <c r="J274" s="7" t="str" cm="1">
        <f t="array" ref="J274">INDEX(Changed!$J:$J,ROW())&amp;IF(Changed!$J274&gt;Base!$J274,"↑",IF(Changed!$J274&lt;Base!$J274," ↓",""))</f>
        <v>72</v>
      </c>
      <c r="K274" s="7" t="str" cm="1">
        <f t="array" ref="K274">INDEX(Changed!$K:$K,ROW())&amp;IF(Changed!$K274&gt;Base!$K274,"↑",IF(Changed!$K274&lt;Base!$K274," ↓",""))</f>
        <v>105</v>
      </c>
      <c r="L274" s="7" t="str" cm="1">
        <f t="array" ref="L274">INDEX(Changed!$L:$L,ROW())&amp;IF(Changed!$L274&gt;Base!$L274,"↑",IF(Changed!$L274&lt;Base!$L274," ↓",""))</f>
        <v>75</v>
      </c>
      <c r="M274" s="7" t="str" cm="1">
        <f t="array" ref="M274">INDEX(Changed!$M:$M,ROW())&amp;IF(Changed!$M274&gt;Base!$M274,"↑",IF(Changed!$M274&lt;Base!$M274," ↓",""))</f>
        <v>65</v>
      </c>
      <c r="N274" s="19">
        <f>Changed!G274-Base!G274</f>
        <v>0</v>
      </c>
    </row>
    <row r="275" spans="1:14" ht="15.75" customHeight="1" x14ac:dyDescent="0.2">
      <c r="A275" s="4">
        <v>274</v>
      </c>
      <c r="B275" s="5" t="s">
        <v>270</v>
      </c>
      <c r="C275" s="6" t="str">
        <f>IF(Changed!C275&lt;&gt;"", Changed!C275, "")</f>
        <v>Normal</v>
      </c>
      <c r="D275" s="6" t="str">
        <f>IF(Changed!D275&lt;&gt;"", Changed!D275, "")</f>
        <v/>
      </c>
      <c r="E275" s="6" t="str">
        <f>IF(Changed!E275&lt;&gt;"", Changed!E275, "")</f>
        <v>Own Tempo</v>
      </c>
      <c r="F275" s="6" t="str">
        <f>IF(Changed!F275&lt;&gt;"", Changed!F275, "")</f>
        <v>Technician</v>
      </c>
      <c r="G275" s="7" t="str" cm="1">
        <f t="array" ref="G275">INDEX(Changed!$G:$G,ROW())&amp;IF(Changed!$G275&gt;Base!$G275,"↑",IF(Changed!$G275&lt;Base!$G275," ↓",""))</f>
        <v>250</v>
      </c>
      <c r="H275" s="7" t="str" cm="1">
        <f t="array" ref="H275">INDEX(Changed!$H:$H,ROW())&amp;IF(Changed!$H275&gt;Base!$H275,"↑",IF(Changed!$H275&lt;Base!$H275," ↓",""))</f>
        <v>55</v>
      </c>
      <c r="I275" s="7" t="str" cm="1">
        <f t="array" ref="I275">INDEX(Changed!$I:$I,ROW())&amp;IF(Changed!$I275&gt;Base!$I275,"↑",IF(Changed!$I275&lt;Base!$I275," ↓",""))</f>
        <v>20</v>
      </c>
      <c r="J275" s="7" t="str" cm="1">
        <f t="array" ref="J275">INDEX(Changed!$J:$J,ROW())&amp;IF(Changed!$J275&gt;Base!$J275,"↑",IF(Changed!$J275&lt;Base!$J275," ↓",""))</f>
        <v>35</v>
      </c>
      <c r="K275" s="7" t="str" cm="1">
        <f t="array" ref="K275">INDEX(Changed!$K:$K,ROW())&amp;IF(Changed!$K275&gt;Base!$K275,"↑",IF(Changed!$K275&lt;Base!$K275," ↓",""))</f>
        <v>20</v>
      </c>
      <c r="L275" s="7" t="str" cm="1">
        <f t="array" ref="L275">INDEX(Changed!$L:$L,ROW())&amp;IF(Changed!$L275&gt;Base!$L275,"↑",IF(Changed!$L275&lt;Base!$L275," ↓",""))</f>
        <v>45</v>
      </c>
      <c r="M275" s="7" t="str" cm="1">
        <f t="array" ref="M275">INDEX(Changed!$M:$M,ROW())&amp;IF(Changed!$M275&gt;Base!$M275,"↑",IF(Changed!$M275&lt;Base!$M275," ↓",""))</f>
        <v>75</v>
      </c>
      <c r="N275" s="19">
        <f>Changed!G275-Base!G275</f>
        <v>0</v>
      </c>
    </row>
    <row r="276" spans="1:14" ht="15.75" customHeight="1" x14ac:dyDescent="0.2">
      <c r="A276" s="4">
        <v>275</v>
      </c>
      <c r="B276" s="5" t="s">
        <v>276</v>
      </c>
      <c r="C276" s="6" t="str">
        <f>IF(Changed!C276&lt;&gt;"", Changed!C276, "")</f>
        <v>Normal</v>
      </c>
      <c r="D276" s="6" t="str">
        <f>IF(Changed!D276&lt;&gt;"", Changed!D276, "")</f>
        <v/>
      </c>
      <c r="E276" s="6" t="str">
        <f>IF(Changed!E276&lt;&gt;"", Changed!E276, "")</f>
        <v>Regenerator</v>
      </c>
      <c r="F276" s="6" t="str">
        <f>IF(Changed!F276&lt;&gt;"", Changed!F276, "")</f>
        <v>Healer</v>
      </c>
      <c r="G276" s="7" t="str" cm="1">
        <f t="array" ref="G276">INDEX(Changed!$G:$G,ROW())&amp;IF(Changed!$G276&gt;Base!$G276,"↑",IF(Changed!$G276&lt;Base!$G276," ↓",""))</f>
        <v>490</v>
      </c>
      <c r="H276" s="7" t="str" cm="1">
        <f t="array" ref="H276">INDEX(Changed!$H:$H,ROW())&amp;IF(Changed!$H276&gt;Base!$H276,"↑",IF(Changed!$H276&lt;Base!$H276," ↓",""))</f>
        <v>95</v>
      </c>
      <c r="I276" s="7" t="str" cm="1">
        <f t="array" ref="I276">INDEX(Changed!$I:$I,ROW())&amp;IF(Changed!$I276&gt;Base!$I276,"↑",IF(Changed!$I276&lt;Base!$I276," ↓",""))</f>
        <v>80</v>
      </c>
      <c r="J276" s="7" t="str" cm="1">
        <f t="array" ref="J276">INDEX(Changed!$J:$J,ROW())&amp;IF(Changed!$J276&gt;Base!$J276,"↑",IF(Changed!$J276&lt;Base!$J276," ↓",""))</f>
        <v>105</v>
      </c>
      <c r="K276" s="7" t="str" cm="1">
        <f t="array" ref="K276">INDEX(Changed!$K:$K,ROW())&amp;IF(Changed!$K276&gt;Base!$K276,"↑",IF(Changed!$K276&lt;Base!$K276," ↓",""))</f>
        <v>40</v>
      </c>
      <c r="L276" s="7" t="str" cm="1">
        <f t="array" ref="L276">INDEX(Changed!$L:$L,ROW())&amp;IF(Changed!$L276&gt;Base!$L276,"↑",IF(Changed!$L276&lt;Base!$L276," ↓",""))</f>
        <v>70</v>
      </c>
      <c r="M276" s="7" t="str" cm="1">
        <f t="array" ref="M276">INDEX(Changed!$M:$M,ROW())&amp;IF(Changed!$M276&gt;Base!$M276,"↑",IF(Changed!$M276&lt;Base!$M276," ↓",""))</f>
        <v>100</v>
      </c>
      <c r="N276" s="19">
        <f>Changed!G276-Base!G276</f>
        <v>0</v>
      </c>
    </row>
    <row r="277" spans="1:14" ht="15.75" customHeight="1" x14ac:dyDescent="0.2">
      <c r="A277" s="4">
        <v>276</v>
      </c>
      <c r="B277" s="5" t="s">
        <v>278</v>
      </c>
      <c r="C277" s="6" t="str">
        <f>IF(Changed!C277&lt;&gt;"", Changed!C277, "")</f>
        <v>Electric</v>
      </c>
      <c r="D277" s="6" t="str">
        <f>IF(Changed!D277&lt;&gt;"", Changed!D277, "")</f>
        <v/>
      </c>
      <c r="E277" s="6" t="str">
        <f>IF(Changed!E277&lt;&gt;"", Changed!E277, "")</f>
        <v>Pressure</v>
      </c>
      <c r="F277" s="6" t="str">
        <f>IF(Changed!F277&lt;&gt;"", Changed!F277, "")</f>
        <v>Transistor</v>
      </c>
      <c r="G277" s="7" t="str" cm="1">
        <f t="array" ref="G277">INDEX(Changed!$G:$G,ROW())&amp;IF(Changed!$G277&gt;Base!$G277,"↑",IF(Changed!$G277&lt;Base!$G277," ↓",""))</f>
        <v>580</v>
      </c>
      <c r="H277" s="7" t="str" cm="1">
        <f t="array" ref="H277">INDEX(Changed!$H:$H,ROW())&amp;IF(Changed!$H277&gt;Base!$H277,"↑",IF(Changed!$H277&lt;Base!$H277," ↓",""))</f>
        <v>90</v>
      </c>
      <c r="I277" s="7" t="str" cm="1">
        <f t="array" ref="I277">INDEX(Changed!$I:$I,ROW())&amp;IF(Changed!$I277&gt;Base!$I277,"↑",IF(Changed!$I277&lt;Base!$I277," ↓",""))</f>
        <v>85</v>
      </c>
      <c r="J277" s="7" t="str" cm="1">
        <f t="array" ref="J277">INDEX(Changed!$J:$J,ROW())&amp;IF(Changed!$J277&gt;Base!$J277,"↑",IF(Changed!$J277&lt;Base!$J277," ↓",""))</f>
        <v>75</v>
      </c>
      <c r="K277" s="7" t="str" cm="1">
        <f t="array" ref="K277">INDEX(Changed!$K:$K,ROW())&amp;IF(Changed!$K277&gt;Base!$K277,"↑",IF(Changed!$K277&lt;Base!$K277," ↓",""))</f>
        <v>115</v>
      </c>
      <c r="L277" s="7" t="str" cm="1">
        <f t="array" ref="L277">INDEX(Changed!$L:$L,ROW())&amp;IF(Changed!$L277&gt;Base!$L277,"↑",IF(Changed!$L277&lt;Base!$L277," ↓",""))</f>
        <v>100</v>
      </c>
      <c r="M277" s="7" t="str" cm="1">
        <f t="array" ref="M277">INDEX(Changed!$M:$M,ROW())&amp;IF(Changed!$M277&gt;Base!$M277,"↑",IF(Changed!$M277&lt;Base!$M277," ↓",""))</f>
        <v>115</v>
      </c>
      <c r="N277" s="19">
        <f>Changed!G277-Base!G277</f>
        <v>0</v>
      </c>
    </row>
    <row r="278" spans="1:14" ht="15.75" customHeight="1" x14ac:dyDescent="0.2">
      <c r="A278" s="4">
        <v>277</v>
      </c>
      <c r="B278" s="5" t="s">
        <v>279</v>
      </c>
      <c r="C278" s="6" t="str">
        <f>IF(Changed!C278&lt;&gt;"", Changed!C278, "")</f>
        <v>Fire</v>
      </c>
      <c r="D278" s="6" t="str">
        <f>IF(Changed!D278&lt;&gt;"", Changed!D278, "")</f>
        <v/>
      </c>
      <c r="E278" s="6" t="str">
        <f>IF(Changed!E278&lt;&gt;"", Changed!E278, "")</f>
        <v>Pressure</v>
      </c>
      <c r="F278" s="6" t="str">
        <f>IF(Changed!F278&lt;&gt;"", Changed!F278, "")</f>
        <v>Eruptive Might</v>
      </c>
      <c r="G278" s="7" t="str" cm="1">
        <f t="array" ref="G278">INDEX(Changed!$G:$G,ROW())&amp;IF(Changed!$G278&gt;Base!$G278,"↑",IF(Changed!$G278&lt;Base!$G278," ↓",""))</f>
        <v>580</v>
      </c>
      <c r="H278" s="7" t="str" cm="1">
        <f t="array" ref="H278">INDEX(Changed!$H:$H,ROW())&amp;IF(Changed!$H278&gt;Base!$H278,"↑",IF(Changed!$H278&lt;Base!$H278," ↓",""))</f>
        <v>115</v>
      </c>
      <c r="I278" s="7" t="str" cm="1">
        <f t="array" ref="I278">INDEX(Changed!$I:$I,ROW())&amp;IF(Changed!$I278&gt;Base!$I278,"↑",IF(Changed!$I278&lt;Base!$I278," ↓",""))</f>
        <v>115</v>
      </c>
      <c r="J278" s="7" t="str" cm="1">
        <f t="array" ref="J278">INDEX(Changed!$J:$J,ROW())&amp;IF(Changed!$J278&gt;Base!$J278,"↑",IF(Changed!$J278&lt;Base!$J278," ↓",""))</f>
        <v>85</v>
      </c>
      <c r="K278" s="7" t="str" cm="1">
        <f t="array" ref="K278">INDEX(Changed!$K:$K,ROW())&amp;IF(Changed!$K278&gt;Base!$K278,"↑",IF(Changed!$K278&lt;Base!$K278," ↓",""))</f>
        <v>90</v>
      </c>
      <c r="L278" s="7" t="str" cm="1">
        <f t="array" ref="L278">INDEX(Changed!$L:$L,ROW())&amp;IF(Changed!$L278&gt;Base!$L278,"↑",IF(Changed!$L278&lt;Base!$L278," ↓",""))</f>
        <v>75</v>
      </c>
      <c r="M278" s="7" t="str" cm="1">
        <f t="array" ref="M278">INDEX(Changed!$M:$M,ROW())&amp;IF(Changed!$M278&gt;Base!$M278,"↑",IF(Changed!$M278&lt;Base!$M278," ↓",""))</f>
        <v>100</v>
      </c>
      <c r="N278" s="19">
        <f>Changed!G278-Base!G278</f>
        <v>0</v>
      </c>
    </row>
    <row r="279" spans="1:14" ht="15.75" customHeight="1" x14ac:dyDescent="0.2">
      <c r="A279" s="4">
        <v>278</v>
      </c>
      <c r="B279" s="5" t="s">
        <v>280</v>
      </c>
      <c r="C279" s="6" t="str">
        <f>IF(Changed!C279&lt;&gt;"", Changed!C279, "")</f>
        <v>Water</v>
      </c>
      <c r="D279" s="6" t="str">
        <f>IF(Changed!D279&lt;&gt;"", Changed!D279, "")</f>
        <v/>
      </c>
      <c r="E279" s="6" t="str">
        <f>IF(Changed!E279&lt;&gt;"", Changed!E279, "")</f>
        <v>Pressure</v>
      </c>
      <c r="F279" s="6" t="str">
        <f>IF(Changed!F279&lt;&gt;"", Changed!F279, "")</f>
        <v>Immunity</v>
      </c>
      <c r="G279" s="7" t="str" cm="1">
        <f t="array" ref="G279">INDEX(Changed!$G:$G,ROW())&amp;IF(Changed!$G279&gt;Base!$G279,"↑",IF(Changed!$G279&lt;Base!$G279," ↓",""))</f>
        <v>580</v>
      </c>
      <c r="H279" s="7" t="str" cm="1">
        <f t="array" ref="H279">INDEX(Changed!$H:$H,ROW())&amp;IF(Changed!$H279&gt;Base!$H279,"↑",IF(Changed!$H279&lt;Base!$H279," ↓",""))</f>
        <v>100</v>
      </c>
      <c r="I279" s="7" t="str" cm="1">
        <f t="array" ref="I279">INDEX(Changed!$I:$I,ROW())&amp;IF(Changed!$I279&gt;Base!$I279,"↑",IF(Changed!$I279&lt;Base!$I279," ↓",""))</f>
        <v>75</v>
      </c>
      <c r="J279" s="7" t="str" cm="1">
        <f t="array" ref="J279">INDEX(Changed!$J:$J,ROW())&amp;IF(Changed!$J279&gt;Base!$J279,"↑",IF(Changed!$J279&lt;Base!$J279," ↓",""))</f>
        <v>115</v>
      </c>
      <c r="K279" s="7" t="str" cm="1">
        <f t="array" ref="K279">INDEX(Changed!$K:$K,ROW())&amp;IF(Changed!$K279&gt;Base!$K279,"↑",IF(Changed!$K279&lt;Base!$K279," ↓",""))</f>
        <v>90</v>
      </c>
      <c r="L279" s="7" t="str" cm="1">
        <f t="array" ref="L279">INDEX(Changed!$L:$L,ROW())&amp;IF(Changed!$L279&gt;Base!$L279,"↑",IF(Changed!$L279&lt;Base!$L279," ↓",""))</f>
        <v>115</v>
      </c>
      <c r="M279" s="7" t="str" cm="1">
        <f t="array" ref="M279">INDEX(Changed!$M:$M,ROW())&amp;IF(Changed!$M279&gt;Base!$M279,"↑",IF(Changed!$M279&lt;Base!$M279," ↓",""))</f>
        <v>85</v>
      </c>
      <c r="N279" s="19">
        <f>Changed!G279-Base!G279</f>
        <v>0</v>
      </c>
    </row>
    <row r="280" spans="1:14" ht="15.75" customHeight="1" x14ac:dyDescent="0.2">
      <c r="A280" s="4">
        <v>279</v>
      </c>
      <c r="B280" s="5" t="s">
        <v>281</v>
      </c>
      <c r="C280" s="6" t="str">
        <f>IF(Changed!C280&lt;&gt;"", Changed!C280, "")</f>
        <v>Rock</v>
      </c>
      <c r="D280" s="6" t="str">
        <f>IF(Changed!D280&lt;&gt;"", Changed!D280, "")</f>
        <v>Ground</v>
      </c>
      <c r="E280" s="6" t="str">
        <f>IF(Changed!E280&lt;&gt;"", Changed!E280, "")</f>
        <v>Guts</v>
      </c>
      <c r="F280" s="6" t="str">
        <f>IF(Changed!F280&lt;&gt;"", Changed!F280, "")</f>
        <v/>
      </c>
      <c r="G280" s="7" t="str" cm="1">
        <f t="array" ref="G280">INDEX(Changed!$G:$G,ROW())&amp;IF(Changed!$G280&gt;Base!$G280,"↑",IF(Changed!$G280&lt;Base!$G280," ↓",""))</f>
        <v>300</v>
      </c>
      <c r="H280" s="7" t="str" cm="1">
        <f t="array" ref="H280">INDEX(Changed!$H:$H,ROW())&amp;IF(Changed!$H280&gt;Base!$H280,"↑",IF(Changed!$H280&lt;Base!$H280," ↓",""))</f>
        <v>50</v>
      </c>
      <c r="I280" s="7" t="str" cm="1">
        <f t="array" ref="I280">INDEX(Changed!$I:$I,ROW())&amp;IF(Changed!$I280&gt;Base!$I280,"↑",IF(Changed!$I280&lt;Base!$I280," ↓",""))</f>
        <v>64</v>
      </c>
      <c r="J280" s="7" t="str" cm="1">
        <f t="array" ref="J280">INDEX(Changed!$J:$J,ROW())&amp;IF(Changed!$J280&gt;Base!$J280,"↑",IF(Changed!$J280&lt;Base!$J280," ↓",""))</f>
        <v>50</v>
      </c>
      <c r="K280" s="7" t="str" cm="1">
        <f t="array" ref="K280">INDEX(Changed!$K:$K,ROW())&amp;IF(Changed!$K280&gt;Base!$K280,"↑",IF(Changed!$K280&lt;Base!$K280," ↓",""))</f>
        <v>45</v>
      </c>
      <c r="L280" s="7" t="str" cm="1">
        <f t="array" ref="L280">INDEX(Changed!$L:$L,ROW())&amp;IF(Changed!$L280&gt;Base!$L280,"↑",IF(Changed!$L280&lt;Base!$L280," ↓",""))</f>
        <v>50</v>
      </c>
      <c r="M280" s="7" t="str" cm="1">
        <f t="array" ref="M280">INDEX(Changed!$M:$M,ROW())&amp;IF(Changed!$M280&gt;Base!$M280,"↑",IF(Changed!$M280&lt;Base!$M280," ↓",""))</f>
        <v>41</v>
      </c>
      <c r="N280" s="19">
        <f>Changed!G280-Base!G280</f>
        <v>0</v>
      </c>
    </row>
    <row r="281" spans="1:14" ht="15.75" customHeight="1" x14ac:dyDescent="0.2">
      <c r="A281" s="4">
        <v>280</v>
      </c>
      <c r="B281" s="5" t="s">
        <v>282</v>
      </c>
      <c r="C281" s="6" t="str">
        <f>IF(Changed!C281&lt;&gt;"", Changed!C281, "")</f>
        <v>Rock</v>
      </c>
      <c r="D281" s="6" t="str">
        <f>IF(Changed!D281&lt;&gt;"", Changed!D281, "")</f>
        <v>Ground</v>
      </c>
      <c r="E281" s="6" t="str">
        <f>IF(Changed!E281&lt;&gt;"", Changed!E281, "")</f>
        <v>Shed Skin</v>
      </c>
      <c r="F281" s="6" t="str">
        <f>IF(Changed!F281&lt;&gt;"", Changed!F281, "")</f>
        <v/>
      </c>
      <c r="G281" s="7" t="str" cm="1">
        <f t="array" ref="G281">INDEX(Changed!$G:$G,ROW())&amp;IF(Changed!$G281&gt;Base!$G281,"↑",IF(Changed!$G281&lt;Base!$G281," ↓",""))</f>
        <v>410</v>
      </c>
      <c r="H281" s="7" t="str" cm="1">
        <f t="array" ref="H281">INDEX(Changed!$H:$H,ROW())&amp;IF(Changed!$H281&gt;Base!$H281,"↑",IF(Changed!$H281&lt;Base!$H281," ↓",""))</f>
        <v>70</v>
      </c>
      <c r="I281" s="7" t="str" cm="1">
        <f t="array" ref="I281">INDEX(Changed!$I:$I,ROW())&amp;IF(Changed!$I281&gt;Base!$I281,"↑",IF(Changed!$I281&lt;Base!$I281," ↓",""))</f>
        <v>84</v>
      </c>
      <c r="J281" s="7" t="str" cm="1">
        <f t="array" ref="J281">INDEX(Changed!$J:$J,ROW())&amp;IF(Changed!$J281&gt;Base!$J281,"↑",IF(Changed!$J281&lt;Base!$J281," ↓",""))</f>
        <v>70</v>
      </c>
      <c r="K281" s="7" t="str" cm="1">
        <f t="array" ref="K281">INDEX(Changed!$K:$K,ROW())&amp;IF(Changed!$K281&gt;Base!$K281,"↑",IF(Changed!$K281&lt;Base!$K281," ↓",""))</f>
        <v>65</v>
      </c>
      <c r="L281" s="7" t="str" cm="1">
        <f t="array" ref="L281">INDEX(Changed!$L:$L,ROW())&amp;IF(Changed!$L281&gt;Base!$L281,"↑",IF(Changed!$L281&lt;Base!$L281," ↓",""))</f>
        <v>70</v>
      </c>
      <c r="M281" s="7" t="str" cm="1">
        <f t="array" ref="M281">INDEX(Changed!$M:$M,ROW())&amp;IF(Changed!$M281&gt;Base!$M281,"↑",IF(Changed!$M281&lt;Base!$M281," ↓",""))</f>
        <v>51</v>
      </c>
      <c r="N281" s="19">
        <f>Changed!G281-Base!G281</f>
        <v>0</v>
      </c>
    </row>
    <row r="282" spans="1:14" ht="15.75" customHeight="1" x14ac:dyDescent="0.2">
      <c r="A282" s="4">
        <v>281</v>
      </c>
      <c r="B282" s="5" t="s">
        <v>283</v>
      </c>
      <c r="C282" s="6" t="str">
        <f>IF(Changed!C282&lt;&gt;"", Changed!C282, "")</f>
        <v>Rock</v>
      </c>
      <c r="D282" s="6" t="str">
        <f>IF(Changed!D282&lt;&gt;"", Changed!D282, "")</f>
        <v>Dark</v>
      </c>
      <c r="E282" s="6" t="str">
        <f>IF(Changed!E282&lt;&gt;"", Changed!E282, "")</f>
        <v>Sand Stream</v>
      </c>
      <c r="F282" s="6" t="str">
        <f>IF(Changed!F282&lt;&gt;"", Changed!F282, "")</f>
        <v/>
      </c>
      <c r="G282" s="7" t="str" cm="1">
        <f t="array" ref="G282">INDEX(Changed!$G:$G,ROW())&amp;IF(Changed!$G282&gt;Base!$G282,"↑",IF(Changed!$G282&lt;Base!$G282," ↓",""))</f>
        <v>600</v>
      </c>
      <c r="H282" s="7" t="str" cm="1">
        <f t="array" ref="H282">INDEX(Changed!$H:$H,ROW())&amp;IF(Changed!$H282&gt;Base!$H282,"↑",IF(Changed!$H282&lt;Base!$H282," ↓",""))</f>
        <v>100</v>
      </c>
      <c r="I282" s="7" t="str" cm="1">
        <f t="array" ref="I282">INDEX(Changed!$I:$I,ROW())&amp;IF(Changed!$I282&gt;Base!$I282,"↑",IF(Changed!$I282&lt;Base!$I282," ↓",""))</f>
        <v>134</v>
      </c>
      <c r="J282" s="7" t="str" cm="1">
        <f t="array" ref="J282">INDEX(Changed!$J:$J,ROW())&amp;IF(Changed!$J282&gt;Base!$J282,"↑",IF(Changed!$J282&lt;Base!$J282," ↓",""))</f>
        <v>110</v>
      </c>
      <c r="K282" s="7" t="str" cm="1">
        <f t="array" ref="K282">INDEX(Changed!$K:$K,ROW())&amp;IF(Changed!$K282&gt;Base!$K282,"↑",IF(Changed!$K282&lt;Base!$K282," ↓",""))</f>
        <v>105↑</v>
      </c>
      <c r="L282" s="7" t="str" cm="1">
        <f t="array" ref="L282">INDEX(Changed!$L:$L,ROW())&amp;IF(Changed!$L282&gt;Base!$L282,"↑",IF(Changed!$L282&lt;Base!$L282," ↓",""))</f>
        <v>90 ↓</v>
      </c>
      <c r="M282" s="7" t="str" cm="1">
        <f t="array" ref="M282">INDEX(Changed!$M:$M,ROW())&amp;IF(Changed!$M282&gt;Base!$M282,"↑",IF(Changed!$M282&lt;Base!$M282," ↓",""))</f>
        <v>61</v>
      </c>
      <c r="N282" s="19">
        <f>Changed!G282-Base!G282</f>
        <v>0</v>
      </c>
    </row>
    <row r="283" spans="1:14" ht="15.75" customHeight="1" x14ac:dyDescent="0.2">
      <c r="A283" s="4">
        <v>282</v>
      </c>
      <c r="B283" s="5" t="s">
        <v>284</v>
      </c>
      <c r="C283" s="6" t="str">
        <f>IF(Changed!C283&lt;&gt;"", Changed!C283, "")</f>
        <v>Psychic</v>
      </c>
      <c r="D283" s="6" t="str">
        <f>IF(Changed!D283&lt;&gt;"", Changed!D283, "")</f>
        <v>Flying</v>
      </c>
      <c r="E283" s="6" t="str">
        <f>IF(Changed!E283&lt;&gt;"", Changed!E283, "")</f>
        <v>Pressure</v>
      </c>
      <c r="F283" s="6" t="str">
        <f>IF(Changed!F283&lt;&gt;"", Changed!F283, "")</f>
        <v/>
      </c>
      <c r="G283" s="7" t="str" cm="1">
        <f t="array" ref="G283">INDEX(Changed!$G:$G,ROW())&amp;IF(Changed!$G283&gt;Base!$G283,"↑",IF(Changed!$G283&lt;Base!$G283," ↓",""))</f>
        <v>680</v>
      </c>
      <c r="H283" s="7" t="str" cm="1">
        <f t="array" ref="H283">INDEX(Changed!$H:$H,ROW())&amp;IF(Changed!$H283&gt;Base!$H283,"↑",IF(Changed!$H283&lt;Base!$H283," ↓",""))</f>
        <v>106</v>
      </c>
      <c r="I283" s="7" t="str" cm="1">
        <f t="array" ref="I283">INDEX(Changed!$I:$I,ROW())&amp;IF(Changed!$I283&gt;Base!$I283,"↑",IF(Changed!$I283&lt;Base!$I283," ↓",""))</f>
        <v>90</v>
      </c>
      <c r="J283" s="7" t="str" cm="1">
        <f t="array" ref="J283">INDEX(Changed!$J:$J,ROW())&amp;IF(Changed!$J283&gt;Base!$J283,"↑",IF(Changed!$J283&lt;Base!$J283," ↓",""))</f>
        <v>130</v>
      </c>
      <c r="K283" s="7" t="str" cm="1">
        <f t="array" ref="K283">INDEX(Changed!$K:$K,ROW())&amp;IF(Changed!$K283&gt;Base!$K283,"↑",IF(Changed!$K283&lt;Base!$K283," ↓",""))</f>
        <v>90</v>
      </c>
      <c r="L283" s="7" t="str" cm="1">
        <f t="array" ref="L283">INDEX(Changed!$L:$L,ROW())&amp;IF(Changed!$L283&gt;Base!$L283,"↑",IF(Changed!$L283&lt;Base!$L283," ↓",""))</f>
        <v>154</v>
      </c>
      <c r="M283" s="7" t="str" cm="1">
        <f t="array" ref="M283">INDEX(Changed!$M:$M,ROW())&amp;IF(Changed!$M283&gt;Base!$M283,"↑",IF(Changed!$M283&lt;Base!$M283," ↓",""))</f>
        <v>110</v>
      </c>
      <c r="N283" s="19">
        <f>Changed!G283-Base!G283</f>
        <v>0</v>
      </c>
    </row>
    <row r="284" spans="1:14" ht="15.75" customHeight="1" x14ac:dyDescent="0.2">
      <c r="A284" s="4">
        <v>283</v>
      </c>
      <c r="B284" s="5" t="s">
        <v>285</v>
      </c>
      <c r="C284" s="6" t="str">
        <f>IF(Changed!C284&lt;&gt;"", Changed!C284, "")</f>
        <v>Fire</v>
      </c>
      <c r="D284" s="6" t="str">
        <f>IF(Changed!D284&lt;&gt;"", Changed!D284, "")</f>
        <v>Flying</v>
      </c>
      <c r="E284" s="6" t="str">
        <f>IF(Changed!E284&lt;&gt;"", Changed!E284, "")</f>
        <v>Pressure</v>
      </c>
      <c r="F284" s="6" t="str">
        <f>IF(Changed!F284&lt;&gt;"", Changed!F284, "")</f>
        <v/>
      </c>
      <c r="G284" s="7" t="str" cm="1">
        <f t="array" ref="G284">INDEX(Changed!$G:$G,ROW())&amp;IF(Changed!$G284&gt;Base!$G284,"↑",IF(Changed!$G284&lt;Base!$G284," ↓",""))</f>
        <v>680</v>
      </c>
      <c r="H284" s="7" t="str" cm="1">
        <f t="array" ref="H284">INDEX(Changed!$H:$H,ROW())&amp;IF(Changed!$H284&gt;Base!$H284,"↑",IF(Changed!$H284&lt;Base!$H284," ↓",""))</f>
        <v>106</v>
      </c>
      <c r="I284" s="7" t="str" cm="1">
        <f t="array" ref="I284">INDEX(Changed!$I:$I,ROW())&amp;IF(Changed!$I284&gt;Base!$I284,"↑",IF(Changed!$I284&lt;Base!$I284," ↓",""))</f>
        <v>130</v>
      </c>
      <c r="J284" s="7" t="str" cm="1">
        <f t="array" ref="J284">INDEX(Changed!$J:$J,ROW())&amp;IF(Changed!$J284&gt;Base!$J284,"↑",IF(Changed!$J284&lt;Base!$J284," ↓",""))</f>
        <v>90</v>
      </c>
      <c r="K284" s="7" t="str" cm="1">
        <f t="array" ref="K284">INDEX(Changed!$K:$K,ROW())&amp;IF(Changed!$K284&gt;Base!$K284,"↑",IF(Changed!$K284&lt;Base!$K284," ↓",""))</f>
        <v>110</v>
      </c>
      <c r="L284" s="7" t="str" cm="1">
        <f t="array" ref="L284">INDEX(Changed!$L:$L,ROW())&amp;IF(Changed!$L284&gt;Base!$L284,"↑",IF(Changed!$L284&lt;Base!$L284," ↓",""))</f>
        <v>154</v>
      </c>
      <c r="M284" s="7" t="str" cm="1">
        <f t="array" ref="M284">INDEX(Changed!$M:$M,ROW())&amp;IF(Changed!$M284&gt;Base!$M284,"↑",IF(Changed!$M284&lt;Base!$M284," ↓",""))</f>
        <v>90</v>
      </c>
      <c r="N284" s="19">
        <f>Changed!G284-Base!G284</f>
        <v>0</v>
      </c>
    </row>
    <row r="285" spans="1:14" ht="15.75" customHeight="1" x14ac:dyDescent="0.2">
      <c r="A285" s="4">
        <v>284</v>
      </c>
      <c r="B285" s="5" t="s">
        <v>286</v>
      </c>
      <c r="C285" s="6" t="str">
        <f>IF(Changed!C285&lt;&gt;"", Changed!C285, "")</f>
        <v>Psychic</v>
      </c>
      <c r="D285" s="6" t="str">
        <f>IF(Changed!D285&lt;&gt;"", Changed!D285, "")</f>
        <v>Grass</v>
      </c>
      <c r="E285" s="6" t="str">
        <f>IF(Changed!E285&lt;&gt;"", Changed!E285, "")</f>
        <v>Natural Cure</v>
      </c>
      <c r="F285" s="6" t="str">
        <f>IF(Changed!F285&lt;&gt;"", Changed!F285, "")</f>
        <v/>
      </c>
      <c r="G285" s="7" t="str" cm="1">
        <f t="array" ref="G285">INDEX(Changed!$G:$G,ROW())&amp;IF(Changed!$G285&gt;Base!$G285,"↑",IF(Changed!$G285&lt;Base!$G285," ↓",""))</f>
        <v>600</v>
      </c>
      <c r="H285" s="7" t="str" cm="1">
        <f t="array" ref="H285">INDEX(Changed!$H:$H,ROW())&amp;IF(Changed!$H285&gt;Base!$H285,"↑",IF(Changed!$H285&lt;Base!$H285," ↓",""))</f>
        <v>100</v>
      </c>
      <c r="I285" s="7" t="str" cm="1">
        <f t="array" ref="I285">INDEX(Changed!$I:$I,ROW())&amp;IF(Changed!$I285&gt;Base!$I285,"↑",IF(Changed!$I285&lt;Base!$I285," ↓",""))</f>
        <v>100</v>
      </c>
      <c r="J285" s="7" t="str" cm="1">
        <f t="array" ref="J285">INDEX(Changed!$J:$J,ROW())&amp;IF(Changed!$J285&gt;Base!$J285,"↑",IF(Changed!$J285&lt;Base!$J285," ↓",""))</f>
        <v>100</v>
      </c>
      <c r="K285" s="7" t="str" cm="1">
        <f t="array" ref="K285">INDEX(Changed!$K:$K,ROW())&amp;IF(Changed!$K285&gt;Base!$K285,"↑",IF(Changed!$K285&lt;Base!$K285," ↓",""))</f>
        <v>100</v>
      </c>
      <c r="L285" s="7" t="str" cm="1">
        <f t="array" ref="L285">INDEX(Changed!$L:$L,ROW())&amp;IF(Changed!$L285&gt;Base!$L285,"↑",IF(Changed!$L285&lt;Base!$L285," ↓",""))</f>
        <v>100</v>
      </c>
      <c r="M285" s="7" t="str" cm="1">
        <f t="array" ref="M285">INDEX(Changed!$M:$M,ROW())&amp;IF(Changed!$M285&gt;Base!$M285,"↑",IF(Changed!$M285&lt;Base!$M285," ↓",""))</f>
        <v>100</v>
      </c>
      <c r="N285" s="19">
        <f>Changed!G285-Base!G285</f>
        <v>0</v>
      </c>
    </row>
    <row r="286" spans="1:14" ht="15.75" customHeight="1" x14ac:dyDescent="0.2">
      <c r="A286" s="4">
        <v>285</v>
      </c>
      <c r="B286" s="5" t="s">
        <v>287</v>
      </c>
      <c r="C286" s="6" t="str">
        <f>IF(Changed!C286&lt;&gt;"", Changed!C286, "")</f>
        <v>Grass</v>
      </c>
      <c r="D286" s="6" t="str">
        <f>IF(Changed!D286&lt;&gt;"", Changed!D286, "")</f>
        <v/>
      </c>
      <c r="E286" s="6" t="str">
        <f>IF(Changed!E286&lt;&gt;"", Changed!E286, "")</f>
        <v>Overgrow</v>
      </c>
      <c r="F286" s="6" t="str">
        <f>IF(Changed!F286&lt;&gt;"", Changed!F286, "")</f>
        <v>Sharpness</v>
      </c>
      <c r="G286" s="7" t="str" cm="1">
        <f t="array" ref="G286">INDEX(Changed!$G:$G,ROW())&amp;IF(Changed!$G286&gt;Base!$G286,"↑",IF(Changed!$G286&lt;Base!$G286," ↓",""))</f>
        <v>310</v>
      </c>
      <c r="H286" s="7" t="str" cm="1">
        <f t="array" ref="H286">INDEX(Changed!$H:$H,ROW())&amp;IF(Changed!$H286&gt;Base!$H286,"↑",IF(Changed!$H286&lt;Base!$H286," ↓",""))</f>
        <v>40</v>
      </c>
      <c r="I286" s="7" t="str" cm="1">
        <f t="array" ref="I286">INDEX(Changed!$I:$I,ROW())&amp;IF(Changed!$I286&gt;Base!$I286,"↑",IF(Changed!$I286&lt;Base!$I286," ↓",""))</f>
        <v>45</v>
      </c>
      <c r="J286" s="7" t="str" cm="1">
        <f t="array" ref="J286">INDEX(Changed!$J:$J,ROW())&amp;IF(Changed!$J286&gt;Base!$J286,"↑",IF(Changed!$J286&lt;Base!$J286," ↓",""))</f>
        <v>35</v>
      </c>
      <c r="K286" s="7" t="str" cm="1">
        <f t="array" ref="K286">INDEX(Changed!$K:$K,ROW())&amp;IF(Changed!$K286&gt;Base!$K286,"↑",IF(Changed!$K286&lt;Base!$K286," ↓",""))</f>
        <v>65</v>
      </c>
      <c r="L286" s="7" t="str" cm="1">
        <f t="array" ref="L286">INDEX(Changed!$L:$L,ROW())&amp;IF(Changed!$L286&gt;Base!$L286,"↑",IF(Changed!$L286&lt;Base!$L286," ↓",""))</f>
        <v>55</v>
      </c>
      <c r="M286" s="7" t="str" cm="1">
        <f t="array" ref="M286">INDEX(Changed!$M:$M,ROW())&amp;IF(Changed!$M286&gt;Base!$M286,"↑",IF(Changed!$M286&lt;Base!$M286," ↓",""))</f>
        <v>70</v>
      </c>
      <c r="N286" s="19">
        <f>Changed!G286-Base!G286</f>
        <v>0</v>
      </c>
    </row>
    <row r="287" spans="1:14" ht="15.75" customHeight="1" x14ac:dyDescent="0.2">
      <c r="A287" s="4">
        <v>286</v>
      </c>
      <c r="B287" s="5" t="s">
        <v>288</v>
      </c>
      <c r="C287" s="6" t="str">
        <f>IF(Changed!C287&lt;&gt;"", Changed!C287, "")</f>
        <v>Grass</v>
      </c>
      <c r="D287" s="6" t="str">
        <f>IF(Changed!D287&lt;&gt;"", Changed!D287, "")</f>
        <v/>
      </c>
      <c r="E287" s="6" t="str">
        <f>IF(Changed!E287&lt;&gt;"", Changed!E287, "")</f>
        <v>Overgrow</v>
      </c>
      <c r="F287" s="6" t="str">
        <f>IF(Changed!F287&lt;&gt;"", Changed!F287, "")</f>
        <v>Sharpness</v>
      </c>
      <c r="G287" s="7" t="str" cm="1">
        <f t="array" ref="G287">INDEX(Changed!$G:$G,ROW())&amp;IF(Changed!$G287&gt;Base!$G287,"↑",IF(Changed!$G287&lt;Base!$G287," ↓",""))</f>
        <v>405</v>
      </c>
      <c r="H287" s="7" t="str" cm="1">
        <f t="array" ref="H287">INDEX(Changed!$H:$H,ROW())&amp;IF(Changed!$H287&gt;Base!$H287,"↑",IF(Changed!$H287&lt;Base!$H287," ↓",""))</f>
        <v>50</v>
      </c>
      <c r="I287" s="7" t="str" cm="1">
        <f t="array" ref="I287">INDEX(Changed!$I:$I,ROW())&amp;IF(Changed!$I287&gt;Base!$I287,"↑",IF(Changed!$I287&lt;Base!$I287," ↓",""))</f>
        <v>65</v>
      </c>
      <c r="J287" s="7" t="str" cm="1">
        <f t="array" ref="J287">INDEX(Changed!$J:$J,ROW())&amp;IF(Changed!$J287&gt;Base!$J287,"↑",IF(Changed!$J287&lt;Base!$J287," ↓",""))</f>
        <v>45</v>
      </c>
      <c r="K287" s="7" t="str" cm="1">
        <f t="array" ref="K287">INDEX(Changed!$K:$K,ROW())&amp;IF(Changed!$K287&gt;Base!$K287,"↑",IF(Changed!$K287&lt;Base!$K287," ↓",""))</f>
        <v>85</v>
      </c>
      <c r="L287" s="7" t="str" cm="1">
        <f t="array" ref="L287">INDEX(Changed!$L:$L,ROW())&amp;IF(Changed!$L287&gt;Base!$L287,"↑",IF(Changed!$L287&lt;Base!$L287," ↓",""))</f>
        <v>65</v>
      </c>
      <c r="M287" s="7" t="str" cm="1">
        <f t="array" ref="M287">INDEX(Changed!$M:$M,ROW())&amp;IF(Changed!$M287&gt;Base!$M287,"↑",IF(Changed!$M287&lt;Base!$M287," ↓",""))</f>
        <v>95</v>
      </c>
      <c r="N287" s="19">
        <f>Changed!G287-Base!G287</f>
        <v>0</v>
      </c>
    </row>
    <row r="288" spans="1:14" ht="15.75" customHeight="1" x14ac:dyDescent="0.2">
      <c r="A288" s="4">
        <v>287</v>
      </c>
      <c r="B288" s="5" t="s">
        <v>289</v>
      </c>
      <c r="C288" s="6" t="str">
        <f>IF(Changed!C288&lt;&gt;"", Changed!C288, "")</f>
        <v>Grass</v>
      </c>
      <c r="D288" s="6" t="str">
        <f>IF(Changed!D288&lt;&gt;"", Changed!D288, "")</f>
        <v>Dragon</v>
      </c>
      <c r="E288" s="6" t="str">
        <f>IF(Changed!E288&lt;&gt;"", Changed!E288, "")</f>
        <v>Overgrow</v>
      </c>
      <c r="F288" s="6" t="str">
        <f>IF(Changed!F288&lt;&gt;"", Changed!F288, "")</f>
        <v>Sharpness</v>
      </c>
      <c r="G288" s="7" t="str" cm="1">
        <f t="array" ref="G288">INDEX(Changed!$G:$G,ROW())&amp;IF(Changed!$G288&gt;Base!$G288,"↑",IF(Changed!$G288&lt;Base!$G288," ↓",""))</f>
        <v>530</v>
      </c>
      <c r="H288" s="7" t="str" cm="1">
        <f t="array" ref="H288">INDEX(Changed!$H:$H,ROW())&amp;IF(Changed!$H288&gt;Base!$H288,"↑",IF(Changed!$H288&lt;Base!$H288," ↓",""))</f>
        <v>70</v>
      </c>
      <c r="I288" s="7" t="str" cm="1">
        <f t="array" ref="I288">INDEX(Changed!$I:$I,ROW())&amp;IF(Changed!$I288&gt;Base!$I288,"↑",IF(Changed!$I288&lt;Base!$I288," ↓",""))</f>
        <v>100↑</v>
      </c>
      <c r="J288" s="7" t="str" cm="1">
        <f t="array" ref="J288">INDEX(Changed!$J:$J,ROW())&amp;IF(Changed!$J288&gt;Base!$J288,"↑",IF(Changed!$J288&lt;Base!$J288," ↓",""))</f>
        <v>65</v>
      </c>
      <c r="K288" s="7" t="str" cm="1">
        <f t="array" ref="K288">INDEX(Changed!$K:$K,ROW())&amp;IF(Changed!$K288&gt;Base!$K288,"↑",IF(Changed!$K288&lt;Base!$K288," ↓",""))</f>
        <v>100 ↓</v>
      </c>
      <c r="L288" s="7" t="str" cm="1">
        <f t="array" ref="L288">INDEX(Changed!$L:$L,ROW())&amp;IF(Changed!$L288&gt;Base!$L288,"↑",IF(Changed!$L288&lt;Base!$L288," ↓",""))</f>
        <v>75 ↓</v>
      </c>
      <c r="M288" s="7" t="str" cm="1">
        <f t="array" ref="M288">INDEX(Changed!$M:$M,ROW())&amp;IF(Changed!$M288&gt;Base!$M288,"↑",IF(Changed!$M288&lt;Base!$M288," ↓",""))</f>
        <v>120</v>
      </c>
      <c r="N288" s="19">
        <f>Changed!G288-Base!G288</f>
        <v>0</v>
      </c>
    </row>
    <row r="289" spans="1:14" ht="15.75" customHeight="1" x14ac:dyDescent="0.2">
      <c r="A289" s="4">
        <v>288</v>
      </c>
      <c r="B289" s="5" t="s">
        <v>290</v>
      </c>
      <c r="C289" s="6" t="str">
        <f>IF(Changed!C289&lt;&gt;"", Changed!C289, "")</f>
        <v>Fire</v>
      </c>
      <c r="D289" s="6" t="str">
        <f>IF(Changed!D289&lt;&gt;"", Changed!D289, "")</f>
        <v/>
      </c>
      <c r="E289" s="6" t="str">
        <f>IF(Changed!E289&lt;&gt;"", Changed!E289, "")</f>
        <v>Blaze</v>
      </c>
      <c r="F289" s="6" t="str">
        <f>IF(Changed!F289&lt;&gt;"", Changed!F289, "")</f>
        <v>Speed Boost</v>
      </c>
      <c r="G289" s="7" t="str" cm="1">
        <f t="array" ref="G289">INDEX(Changed!$G:$G,ROW())&amp;IF(Changed!$G289&gt;Base!$G289,"↑",IF(Changed!$G289&lt;Base!$G289," ↓",""))</f>
        <v>310</v>
      </c>
      <c r="H289" s="7" t="str" cm="1">
        <f t="array" ref="H289">INDEX(Changed!$H:$H,ROW())&amp;IF(Changed!$H289&gt;Base!$H289,"↑",IF(Changed!$H289&lt;Base!$H289," ↓",""))</f>
        <v>45</v>
      </c>
      <c r="I289" s="7" t="str" cm="1">
        <f t="array" ref="I289">INDEX(Changed!$I:$I,ROW())&amp;IF(Changed!$I289&gt;Base!$I289,"↑",IF(Changed!$I289&lt;Base!$I289," ↓",""))</f>
        <v>60</v>
      </c>
      <c r="J289" s="7" t="str" cm="1">
        <f t="array" ref="J289">INDEX(Changed!$J:$J,ROW())&amp;IF(Changed!$J289&gt;Base!$J289,"↑",IF(Changed!$J289&lt;Base!$J289," ↓",""))</f>
        <v>40</v>
      </c>
      <c r="K289" s="7" t="str" cm="1">
        <f t="array" ref="K289">INDEX(Changed!$K:$K,ROW())&amp;IF(Changed!$K289&gt;Base!$K289,"↑",IF(Changed!$K289&lt;Base!$K289," ↓",""))</f>
        <v>70</v>
      </c>
      <c r="L289" s="7" t="str" cm="1">
        <f t="array" ref="L289">INDEX(Changed!$L:$L,ROW())&amp;IF(Changed!$L289&gt;Base!$L289,"↑",IF(Changed!$L289&lt;Base!$L289," ↓",""))</f>
        <v>50</v>
      </c>
      <c r="M289" s="7" t="str" cm="1">
        <f t="array" ref="M289">INDEX(Changed!$M:$M,ROW())&amp;IF(Changed!$M289&gt;Base!$M289,"↑",IF(Changed!$M289&lt;Base!$M289," ↓",""))</f>
        <v>45</v>
      </c>
      <c r="N289" s="19">
        <f>Changed!G289-Base!G289</f>
        <v>0</v>
      </c>
    </row>
    <row r="290" spans="1:14" ht="15.75" customHeight="1" x14ac:dyDescent="0.2">
      <c r="A290" s="4">
        <v>289</v>
      </c>
      <c r="B290" s="5" t="s">
        <v>291</v>
      </c>
      <c r="C290" s="6" t="str">
        <f>IF(Changed!C290&lt;&gt;"", Changed!C290, "")</f>
        <v>Fire</v>
      </c>
      <c r="D290" s="6" t="str">
        <f>IF(Changed!D290&lt;&gt;"", Changed!D290, "")</f>
        <v>Fighting</v>
      </c>
      <c r="E290" s="6" t="str">
        <f>IF(Changed!E290&lt;&gt;"", Changed!E290, "")</f>
        <v>Blaze</v>
      </c>
      <c r="F290" s="6" t="str">
        <f>IF(Changed!F290&lt;&gt;"", Changed!F290, "")</f>
        <v>Speed Boost</v>
      </c>
      <c r="G290" s="7" t="str" cm="1">
        <f t="array" ref="G290">INDEX(Changed!$G:$G,ROW())&amp;IF(Changed!$G290&gt;Base!$G290,"↑",IF(Changed!$G290&lt;Base!$G290," ↓",""))</f>
        <v>405</v>
      </c>
      <c r="H290" s="7" t="str" cm="1">
        <f t="array" ref="H290">INDEX(Changed!$H:$H,ROW())&amp;IF(Changed!$H290&gt;Base!$H290,"↑",IF(Changed!$H290&lt;Base!$H290," ↓",""))</f>
        <v>60</v>
      </c>
      <c r="I290" s="7" t="str" cm="1">
        <f t="array" ref="I290">INDEX(Changed!$I:$I,ROW())&amp;IF(Changed!$I290&gt;Base!$I290,"↑",IF(Changed!$I290&lt;Base!$I290," ↓",""))</f>
        <v>85</v>
      </c>
      <c r="J290" s="7" t="str" cm="1">
        <f t="array" ref="J290">INDEX(Changed!$J:$J,ROW())&amp;IF(Changed!$J290&gt;Base!$J290,"↑",IF(Changed!$J290&lt;Base!$J290," ↓",""))</f>
        <v>60</v>
      </c>
      <c r="K290" s="7" t="str" cm="1">
        <f t="array" ref="K290">INDEX(Changed!$K:$K,ROW())&amp;IF(Changed!$K290&gt;Base!$K290,"↑",IF(Changed!$K290&lt;Base!$K290," ↓",""))</f>
        <v>85</v>
      </c>
      <c r="L290" s="7" t="str" cm="1">
        <f t="array" ref="L290">INDEX(Changed!$L:$L,ROW())&amp;IF(Changed!$L290&gt;Base!$L290,"↑",IF(Changed!$L290&lt;Base!$L290," ↓",""))</f>
        <v>60</v>
      </c>
      <c r="M290" s="7" t="str" cm="1">
        <f t="array" ref="M290">INDEX(Changed!$M:$M,ROW())&amp;IF(Changed!$M290&gt;Base!$M290,"↑",IF(Changed!$M290&lt;Base!$M290," ↓",""))</f>
        <v>55</v>
      </c>
      <c r="N290" s="19">
        <f>Changed!G290-Base!G290</f>
        <v>0</v>
      </c>
    </row>
    <row r="291" spans="1:14" ht="15.75" customHeight="1" x14ac:dyDescent="0.2">
      <c r="A291" s="4">
        <v>290</v>
      </c>
      <c r="B291" s="5" t="s">
        <v>292</v>
      </c>
      <c r="C291" s="6" t="str">
        <f>IF(Changed!C291&lt;&gt;"", Changed!C291, "")</f>
        <v>Fire</v>
      </c>
      <c r="D291" s="6" t="str">
        <f>IF(Changed!D291&lt;&gt;"", Changed!D291, "")</f>
        <v>Fighting</v>
      </c>
      <c r="E291" s="6" t="str">
        <f>IF(Changed!E291&lt;&gt;"", Changed!E291, "")</f>
        <v>Blaze</v>
      </c>
      <c r="F291" s="6" t="str">
        <f>IF(Changed!F291&lt;&gt;"", Changed!F291, "")</f>
        <v>Speed Boost</v>
      </c>
      <c r="G291" s="7" t="str" cm="1">
        <f t="array" ref="G291">INDEX(Changed!$G:$G,ROW())&amp;IF(Changed!$G291&gt;Base!$G291,"↑",IF(Changed!$G291&lt;Base!$G291," ↓",""))</f>
        <v>530</v>
      </c>
      <c r="H291" s="7" t="str" cm="1">
        <f t="array" ref="H291">INDEX(Changed!$H:$H,ROW())&amp;IF(Changed!$H291&gt;Base!$H291,"↑",IF(Changed!$H291&lt;Base!$H291," ↓",""))</f>
        <v>80</v>
      </c>
      <c r="I291" s="7" t="str" cm="1">
        <f t="array" ref="I291">INDEX(Changed!$I:$I,ROW())&amp;IF(Changed!$I291&gt;Base!$I291,"↑",IF(Changed!$I291&lt;Base!$I291," ↓",""))</f>
        <v>120</v>
      </c>
      <c r="J291" s="7" t="str" cm="1">
        <f t="array" ref="J291">INDEX(Changed!$J:$J,ROW())&amp;IF(Changed!$J291&gt;Base!$J291,"↑",IF(Changed!$J291&lt;Base!$J291," ↓",""))</f>
        <v>70</v>
      </c>
      <c r="K291" s="7" t="str" cm="1">
        <f t="array" ref="K291">INDEX(Changed!$K:$K,ROW())&amp;IF(Changed!$K291&gt;Base!$K291,"↑",IF(Changed!$K291&lt;Base!$K291," ↓",""))</f>
        <v>110</v>
      </c>
      <c r="L291" s="7" t="str" cm="1">
        <f t="array" ref="L291">INDEX(Changed!$L:$L,ROW())&amp;IF(Changed!$L291&gt;Base!$L291,"↑",IF(Changed!$L291&lt;Base!$L291," ↓",""))</f>
        <v>70</v>
      </c>
      <c r="M291" s="7" t="str" cm="1">
        <f t="array" ref="M291">INDEX(Changed!$M:$M,ROW())&amp;IF(Changed!$M291&gt;Base!$M291,"↑",IF(Changed!$M291&lt;Base!$M291," ↓",""))</f>
        <v>80</v>
      </c>
      <c r="N291" s="19">
        <f>Changed!G291-Base!G291</f>
        <v>0</v>
      </c>
    </row>
    <row r="292" spans="1:14" ht="15.75" customHeight="1" x14ac:dyDescent="0.2">
      <c r="A292" s="4">
        <v>291</v>
      </c>
      <c r="B292" s="5" t="s">
        <v>293</v>
      </c>
      <c r="C292" s="6" t="str">
        <f>IF(Changed!C292&lt;&gt;"", Changed!C292, "")</f>
        <v>Water</v>
      </c>
      <c r="D292" s="6" t="str">
        <f>IF(Changed!D292&lt;&gt;"", Changed!D292, "")</f>
        <v/>
      </c>
      <c r="E292" s="6" t="str">
        <f>IF(Changed!E292&lt;&gt;"", Changed!E292, "")</f>
        <v>Torrent</v>
      </c>
      <c r="F292" s="6" t="str">
        <f>IF(Changed!F292&lt;&gt;"", Changed!F292, "")</f>
        <v>Sheer Force</v>
      </c>
      <c r="G292" s="7" t="str" cm="1">
        <f t="array" ref="G292">INDEX(Changed!$G:$G,ROW())&amp;IF(Changed!$G292&gt;Base!$G292,"↑",IF(Changed!$G292&lt;Base!$G292," ↓",""))</f>
        <v>310</v>
      </c>
      <c r="H292" s="7" t="str" cm="1">
        <f t="array" ref="H292">INDEX(Changed!$H:$H,ROW())&amp;IF(Changed!$H292&gt;Base!$H292,"↑",IF(Changed!$H292&lt;Base!$H292," ↓",""))</f>
        <v>50</v>
      </c>
      <c r="I292" s="7" t="str" cm="1">
        <f t="array" ref="I292">INDEX(Changed!$I:$I,ROW())&amp;IF(Changed!$I292&gt;Base!$I292,"↑",IF(Changed!$I292&lt;Base!$I292," ↓",""))</f>
        <v>70</v>
      </c>
      <c r="J292" s="7" t="str" cm="1">
        <f t="array" ref="J292">INDEX(Changed!$J:$J,ROW())&amp;IF(Changed!$J292&gt;Base!$J292,"↑",IF(Changed!$J292&lt;Base!$J292," ↓",""))</f>
        <v>50</v>
      </c>
      <c r="K292" s="7" t="str" cm="1">
        <f t="array" ref="K292">INDEX(Changed!$K:$K,ROW())&amp;IF(Changed!$K292&gt;Base!$K292,"↑",IF(Changed!$K292&lt;Base!$K292," ↓",""))</f>
        <v>50</v>
      </c>
      <c r="L292" s="7" t="str" cm="1">
        <f t="array" ref="L292">INDEX(Changed!$L:$L,ROW())&amp;IF(Changed!$L292&gt;Base!$L292,"↑",IF(Changed!$L292&lt;Base!$L292," ↓",""))</f>
        <v>50</v>
      </c>
      <c r="M292" s="7" t="str" cm="1">
        <f t="array" ref="M292">INDEX(Changed!$M:$M,ROW())&amp;IF(Changed!$M292&gt;Base!$M292,"↑",IF(Changed!$M292&lt;Base!$M292," ↓",""))</f>
        <v>40</v>
      </c>
      <c r="N292" s="19">
        <f>Changed!G292-Base!G292</f>
        <v>0</v>
      </c>
    </row>
    <row r="293" spans="1:14" ht="15.75" customHeight="1" x14ac:dyDescent="0.2">
      <c r="A293" s="4">
        <v>292</v>
      </c>
      <c r="B293" s="5" t="s">
        <v>294</v>
      </c>
      <c r="C293" s="6" t="str">
        <f>IF(Changed!C293&lt;&gt;"", Changed!C293, "")</f>
        <v>Water</v>
      </c>
      <c r="D293" s="6" t="str">
        <f>IF(Changed!D293&lt;&gt;"", Changed!D293, "")</f>
        <v>Ground</v>
      </c>
      <c r="E293" s="6" t="str">
        <f>IF(Changed!E293&lt;&gt;"", Changed!E293, "")</f>
        <v>Torrent</v>
      </c>
      <c r="F293" s="6" t="str">
        <f>IF(Changed!F293&lt;&gt;"", Changed!F293, "")</f>
        <v>Sheer Force</v>
      </c>
      <c r="G293" s="7" t="str" cm="1">
        <f t="array" ref="G293">INDEX(Changed!$G:$G,ROW())&amp;IF(Changed!$G293&gt;Base!$G293,"↑",IF(Changed!$G293&lt;Base!$G293," ↓",""))</f>
        <v>405</v>
      </c>
      <c r="H293" s="7" t="str" cm="1">
        <f t="array" ref="H293">INDEX(Changed!$H:$H,ROW())&amp;IF(Changed!$H293&gt;Base!$H293,"↑",IF(Changed!$H293&lt;Base!$H293," ↓",""))</f>
        <v>70</v>
      </c>
      <c r="I293" s="7" t="str" cm="1">
        <f t="array" ref="I293">INDEX(Changed!$I:$I,ROW())&amp;IF(Changed!$I293&gt;Base!$I293,"↑",IF(Changed!$I293&lt;Base!$I293," ↓",""))</f>
        <v>85</v>
      </c>
      <c r="J293" s="7" t="str" cm="1">
        <f t="array" ref="J293">INDEX(Changed!$J:$J,ROW())&amp;IF(Changed!$J293&gt;Base!$J293,"↑",IF(Changed!$J293&lt;Base!$J293," ↓",""))</f>
        <v>70</v>
      </c>
      <c r="K293" s="7" t="str" cm="1">
        <f t="array" ref="K293">INDEX(Changed!$K:$K,ROW())&amp;IF(Changed!$K293&gt;Base!$K293,"↑",IF(Changed!$K293&lt;Base!$K293," ↓",""))</f>
        <v>60</v>
      </c>
      <c r="L293" s="7" t="str" cm="1">
        <f t="array" ref="L293">INDEX(Changed!$L:$L,ROW())&amp;IF(Changed!$L293&gt;Base!$L293,"↑",IF(Changed!$L293&lt;Base!$L293," ↓",""))</f>
        <v>70</v>
      </c>
      <c r="M293" s="7" t="str" cm="1">
        <f t="array" ref="M293">INDEX(Changed!$M:$M,ROW())&amp;IF(Changed!$M293&gt;Base!$M293,"↑",IF(Changed!$M293&lt;Base!$M293," ↓",""))</f>
        <v>50</v>
      </c>
      <c r="N293" s="19">
        <f>Changed!G293-Base!G293</f>
        <v>0</v>
      </c>
    </row>
    <row r="294" spans="1:14" ht="15.75" customHeight="1" x14ac:dyDescent="0.2">
      <c r="A294" s="4">
        <v>293</v>
      </c>
      <c r="B294" s="5" t="s">
        <v>295</v>
      </c>
      <c r="C294" s="6" t="str">
        <f>IF(Changed!C294&lt;&gt;"", Changed!C294, "")</f>
        <v>Water</v>
      </c>
      <c r="D294" s="6" t="str">
        <f>IF(Changed!D294&lt;&gt;"", Changed!D294, "")</f>
        <v>Ground</v>
      </c>
      <c r="E294" s="6" t="str">
        <f>IF(Changed!E294&lt;&gt;"", Changed!E294, "")</f>
        <v>Torrent</v>
      </c>
      <c r="F294" s="6" t="str">
        <f>IF(Changed!F294&lt;&gt;"", Changed!F294, "")</f>
        <v>Sheer Force</v>
      </c>
      <c r="G294" s="7" t="str" cm="1">
        <f t="array" ref="G294">INDEX(Changed!$G:$G,ROW())&amp;IF(Changed!$G294&gt;Base!$G294,"↑",IF(Changed!$G294&lt;Base!$G294," ↓",""))</f>
        <v>530 ↓</v>
      </c>
      <c r="H294" s="7" t="str" cm="1">
        <f t="array" ref="H294">INDEX(Changed!$H:$H,ROW())&amp;IF(Changed!$H294&gt;Base!$H294,"↑",IF(Changed!$H294&lt;Base!$H294," ↓",""))</f>
        <v>100</v>
      </c>
      <c r="I294" s="7" t="str" cm="1">
        <f t="array" ref="I294">INDEX(Changed!$I:$I,ROW())&amp;IF(Changed!$I294&gt;Base!$I294,"↑",IF(Changed!$I294&lt;Base!$I294," ↓",""))</f>
        <v>105 ↓</v>
      </c>
      <c r="J294" s="7" t="str" cm="1">
        <f t="array" ref="J294">INDEX(Changed!$J:$J,ROW())&amp;IF(Changed!$J294&gt;Base!$J294,"↑",IF(Changed!$J294&lt;Base!$J294," ↓",""))</f>
        <v>90</v>
      </c>
      <c r="K294" s="7" t="str" cm="1">
        <f t="array" ref="K294">INDEX(Changed!$K:$K,ROW())&amp;IF(Changed!$K294&gt;Base!$K294,"↑",IF(Changed!$K294&lt;Base!$K294," ↓",""))</f>
        <v>85</v>
      </c>
      <c r="L294" s="7" t="str" cm="1">
        <f t="array" ref="L294">INDEX(Changed!$L:$L,ROW())&amp;IF(Changed!$L294&gt;Base!$L294,"↑",IF(Changed!$L294&lt;Base!$L294," ↓",""))</f>
        <v>90</v>
      </c>
      <c r="M294" s="7" t="str" cm="1">
        <f t="array" ref="M294">INDEX(Changed!$M:$M,ROW())&amp;IF(Changed!$M294&gt;Base!$M294,"↑",IF(Changed!$M294&lt;Base!$M294," ↓",""))</f>
        <v>60</v>
      </c>
      <c r="N294" s="19">
        <f>Changed!G294-Base!G294</f>
        <v>-5</v>
      </c>
    </row>
    <row r="295" spans="1:14" ht="15.75" customHeight="1" x14ac:dyDescent="0.2">
      <c r="A295" s="4">
        <v>294</v>
      </c>
      <c r="B295" s="5" t="s">
        <v>296</v>
      </c>
      <c r="C295" s="6" t="str">
        <f>IF(Changed!C295&lt;&gt;"", Changed!C295, "")</f>
        <v>Dark</v>
      </c>
      <c r="D295" s="6" t="str">
        <f>IF(Changed!D295&lt;&gt;"", Changed!D295, "")</f>
        <v/>
      </c>
      <c r="E295" s="6" t="str">
        <f>IF(Changed!E295&lt;&gt;"", Changed!E295, "")</f>
        <v>Run Away</v>
      </c>
      <c r="F295" s="6" t="str">
        <f>IF(Changed!F295&lt;&gt;"", Changed!F295, "")</f>
        <v>Quick Feet</v>
      </c>
      <c r="G295" s="7" t="str" cm="1">
        <f t="array" ref="G295">INDEX(Changed!$G:$G,ROW())&amp;IF(Changed!$G295&gt;Base!$G295,"↑",IF(Changed!$G295&lt;Base!$G295," ↓",""))</f>
        <v>220</v>
      </c>
      <c r="H295" s="7" t="str" cm="1">
        <f t="array" ref="H295">INDEX(Changed!$H:$H,ROW())&amp;IF(Changed!$H295&gt;Base!$H295,"↑",IF(Changed!$H295&lt;Base!$H295," ↓",""))</f>
        <v>35</v>
      </c>
      <c r="I295" s="7" t="str" cm="1">
        <f t="array" ref="I295">INDEX(Changed!$I:$I,ROW())&amp;IF(Changed!$I295&gt;Base!$I295,"↑",IF(Changed!$I295&lt;Base!$I295," ↓",""))</f>
        <v>55</v>
      </c>
      <c r="J295" s="7" t="str" cm="1">
        <f t="array" ref="J295">INDEX(Changed!$J:$J,ROW())&amp;IF(Changed!$J295&gt;Base!$J295,"↑",IF(Changed!$J295&lt;Base!$J295," ↓",""))</f>
        <v>35</v>
      </c>
      <c r="K295" s="7" t="str" cm="1">
        <f t="array" ref="K295">INDEX(Changed!$K:$K,ROW())&amp;IF(Changed!$K295&gt;Base!$K295,"↑",IF(Changed!$K295&lt;Base!$K295," ↓",""))</f>
        <v>30</v>
      </c>
      <c r="L295" s="7" t="str" cm="1">
        <f t="array" ref="L295">INDEX(Changed!$L:$L,ROW())&amp;IF(Changed!$L295&gt;Base!$L295,"↑",IF(Changed!$L295&lt;Base!$L295," ↓",""))</f>
        <v>30</v>
      </c>
      <c r="M295" s="7" t="str" cm="1">
        <f t="array" ref="M295">INDEX(Changed!$M:$M,ROW())&amp;IF(Changed!$M295&gt;Base!$M295,"↑",IF(Changed!$M295&lt;Base!$M295," ↓",""))</f>
        <v>35</v>
      </c>
      <c r="N295" s="19">
        <f>Changed!G295-Base!G295</f>
        <v>0</v>
      </c>
    </row>
    <row r="296" spans="1:14" ht="15.75" customHeight="1" x14ac:dyDescent="0.2">
      <c r="A296" s="4">
        <v>295</v>
      </c>
      <c r="B296" s="5" t="s">
        <v>297</v>
      </c>
      <c r="C296" s="6" t="str">
        <f>IF(Changed!C296&lt;&gt;"", Changed!C296, "")</f>
        <v>Dark</v>
      </c>
      <c r="D296" s="6" t="str">
        <f>IF(Changed!D296&lt;&gt;"", Changed!D296, "")</f>
        <v/>
      </c>
      <c r="E296" s="6" t="str">
        <f>IF(Changed!E296&lt;&gt;"", Changed!E296, "")</f>
        <v xml:space="preserve">Intimidate </v>
      </c>
      <c r="F296" s="6" t="str">
        <f>IF(Changed!F296&lt;&gt;"", Changed!F296, "")</f>
        <v>Quick Feet</v>
      </c>
      <c r="G296" s="7" t="str" cm="1">
        <f t="array" ref="G296">INDEX(Changed!$G:$G,ROW())&amp;IF(Changed!$G296&gt;Base!$G296,"↑",IF(Changed!$G296&lt;Base!$G296," ↓",""))</f>
        <v>420</v>
      </c>
      <c r="H296" s="7" t="str" cm="1">
        <f t="array" ref="H296">INDEX(Changed!$H:$H,ROW())&amp;IF(Changed!$H296&gt;Base!$H296,"↑",IF(Changed!$H296&lt;Base!$H296," ↓",""))</f>
        <v>70</v>
      </c>
      <c r="I296" s="7" t="str" cm="1">
        <f t="array" ref="I296">INDEX(Changed!$I:$I,ROW())&amp;IF(Changed!$I296&gt;Base!$I296,"↑",IF(Changed!$I296&lt;Base!$I296," ↓",""))</f>
        <v>90</v>
      </c>
      <c r="J296" s="7" t="str" cm="1">
        <f t="array" ref="J296">INDEX(Changed!$J:$J,ROW())&amp;IF(Changed!$J296&gt;Base!$J296,"↑",IF(Changed!$J296&lt;Base!$J296," ↓",""))</f>
        <v>70</v>
      </c>
      <c r="K296" s="7" t="str" cm="1">
        <f t="array" ref="K296">INDEX(Changed!$K:$K,ROW())&amp;IF(Changed!$K296&gt;Base!$K296,"↑",IF(Changed!$K296&lt;Base!$K296," ↓",""))</f>
        <v>60</v>
      </c>
      <c r="L296" s="7" t="str" cm="1">
        <f t="array" ref="L296">INDEX(Changed!$L:$L,ROW())&amp;IF(Changed!$L296&gt;Base!$L296,"↑",IF(Changed!$L296&lt;Base!$L296," ↓",""))</f>
        <v>60</v>
      </c>
      <c r="M296" s="7" t="str" cm="1">
        <f t="array" ref="M296">INDEX(Changed!$M:$M,ROW())&amp;IF(Changed!$M296&gt;Base!$M296,"↑",IF(Changed!$M296&lt;Base!$M296," ↓",""))</f>
        <v>70</v>
      </c>
      <c r="N296" s="19">
        <f>Changed!G296-Base!G296</f>
        <v>0</v>
      </c>
    </row>
    <row r="297" spans="1:14" ht="15.75" customHeight="1" x14ac:dyDescent="0.2">
      <c r="A297" s="4">
        <v>296</v>
      </c>
      <c r="B297" s="5" t="s">
        <v>298</v>
      </c>
      <c r="C297" s="6" t="str">
        <f>IF(Changed!C297&lt;&gt;"", Changed!C297, "")</f>
        <v>Normal</v>
      </c>
      <c r="D297" s="6"/>
      <c r="E297" s="6" t="str">
        <f>IF(Changed!E297&lt;&gt;"", Changed!E297, "")</f>
        <v>Pickup</v>
      </c>
      <c r="F297" s="6" t="str">
        <f>IF(Changed!F297&lt;&gt;"", Changed!F297, "")</f>
        <v>Gluttony</v>
      </c>
      <c r="G297" s="7" t="str" cm="1">
        <f t="array" ref="G297">INDEX(Changed!$G:$G,ROW())&amp;IF(Changed!$G297&gt;Base!$G297,"↑",IF(Changed!$G297&lt;Base!$G297," ↓",""))</f>
        <v>240</v>
      </c>
      <c r="H297" s="7" t="str" cm="1">
        <f t="array" ref="H297">INDEX(Changed!$H:$H,ROW())&amp;IF(Changed!$H297&gt;Base!$H297,"↑",IF(Changed!$H297&lt;Base!$H297," ↓",""))</f>
        <v>38</v>
      </c>
      <c r="I297" s="7" t="str" cm="1">
        <f t="array" ref="I297">INDEX(Changed!$I:$I,ROW())&amp;IF(Changed!$I297&gt;Base!$I297,"↑",IF(Changed!$I297&lt;Base!$I297," ↓",""))</f>
        <v>30</v>
      </c>
      <c r="J297" s="7" t="str" cm="1">
        <f t="array" ref="J297">INDEX(Changed!$J:$J,ROW())&amp;IF(Changed!$J297&gt;Base!$J297,"↑",IF(Changed!$J297&lt;Base!$J297," ↓",""))</f>
        <v>41</v>
      </c>
      <c r="K297" s="7" t="str" cm="1">
        <f t="array" ref="K297">INDEX(Changed!$K:$K,ROW())&amp;IF(Changed!$K297&gt;Base!$K297,"↑",IF(Changed!$K297&lt;Base!$K297," ↓",""))</f>
        <v>30</v>
      </c>
      <c r="L297" s="7" t="str" cm="1">
        <f t="array" ref="L297">INDEX(Changed!$L:$L,ROW())&amp;IF(Changed!$L297&gt;Base!$L297,"↑",IF(Changed!$L297&lt;Base!$L297," ↓",""))</f>
        <v>41</v>
      </c>
      <c r="M297" s="7" t="str" cm="1">
        <f t="array" ref="M297">INDEX(Changed!$M:$M,ROW())&amp;IF(Changed!$M297&gt;Base!$M297,"↑",IF(Changed!$M297&lt;Base!$M297," ↓",""))</f>
        <v>60</v>
      </c>
      <c r="N297" s="19">
        <f>Changed!G297-Base!G297</f>
        <v>0</v>
      </c>
    </row>
    <row r="298" spans="1:14" ht="15.75" customHeight="1" x14ac:dyDescent="0.2">
      <c r="A298" s="4">
        <v>297</v>
      </c>
      <c r="B298" s="5" t="s">
        <v>299</v>
      </c>
      <c r="C298" s="6" t="str">
        <f>IF(Changed!C298&lt;&gt;"", Changed!C298, "")</f>
        <v>Normal</v>
      </c>
      <c r="D298" s="6"/>
      <c r="E298" s="6" t="str">
        <f>IF(Changed!E298&lt;&gt;"", Changed!E298, "")</f>
        <v>Pickup</v>
      </c>
      <c r="F298" s="6" t="str">
        <f>IF(Changed!F298&lt;&gt;"", Changed!F298, "")</f>
        <v>Gluttony</v>
      </c>
      <c r="G298" s="7" t="str" cm="1">
        <f t="array" ref="G298">INDEX(Changed!$G:$G,ROW())&amp;IF(Changed!$G298&gt;Base!$G298,"↑",IF(Changed!$G298&lt;Base!$G298," ↓",""))</f>
        <v>420</v>
      </c>
      <c r="H298" s="7" t="str" cm="1">
        <f t="array" ref="H298">INDEX(Changed!$H:$H,ROW())&amp;IF(Changed!$H298&gt;Base!$H298,"↑",IF(Changed!$H298&lt;Base!$H298," ↓",""))</f>
        <v>78</v>
      </c>
      <c r="I298" s="7" t="str" cm="1">
        <f t="array" ref="I298">INDEX(Changed!$I:$I,ROW())&amp;IF(Changed!$I298&gt;Base!$I298,"↑",IF(Changed!$I298&lt;Base!$I298," ↓",""))</f>
        <v>70</v>
      </c>
      <c r="J298" s="7" t="str" cm="1">
        <f t="array" ref="J298">INDEX(Changed!$J:$J,ROW())&amp;IF(Changed!$J298&gt;Base!$J298,"↑",IF(Changed!$J298&lt;Base!$J298," ↓",""))</f>
        <v>61</v>
      </c>
      <c r="K298" s="7" t="str" cm="1">
        <f t="array" ref="K298">INDEX(Changed!$K:$K,ROW())&amp;IF(Changed!$K298&gt;Base!$K298,"↑",IF(Changed!$K298&lt;Base!$K298," ↓",""))</f>
        <v>50</v>
      </c>
      <c r="L298" s="7" t="str" cm="1">
        <f t="array" ref="L298">INDEX(Changed!$L:$L,ROW())&amp;IF(Changed!$L298&gt;Base!$L298,"↑",IF(Changed!$L298&lt;Base!$L298," ↓",""))</f>
        <v>61</v>
      </c>
      <c r="M298" s="7" t="str" cm="1">
        <f t="array" ref="M298">INDEX(Changed!$M:$M,ROW())&amp;IF(Changed!$M298&gt;Base!$M298,"↑",IF(Changed!$M298&lt;Base!$M298," ↓",""))</f>
        <v>100</v>
      </c>
      <c r="N298" s="19">
        <f>Changed!G298-Base!G298</f>
        <v>0</v>
      </c>
    </row>
    <row r="299" spans="1:14" ht="15.75" customHeight="1" x14ac:dyDescent="0.2">
      <c r="A299" s="4">
        <v>298</v>
      </c>
      <c r="B299" s="5" t="s">
        <v>1184</v>
      </c>
      <c r="C299" s="6" t="str">
        <f>IF(Changed!C299&lt;&gt;"", Changed!C299, "")</f>
        <v>Normal</v>
      </c>
      <c r="D299" s="6" t="str">
        <f>IF(Changed!D299&lt;&gt;"", Changed!D299, "")</f>
        <v>Dark</v>
      </c>
      <c r="E299" s="6" t="str">
        <f>IF(Changed!E299&lt;&gt;"", Changed!E299, "")</f>
        <v>Reckless</v>
      </c>
      <c r="F299" s="6" t="str">
        <f>IF(Changed!F299&lt;&gt;"", Changed!F299, "")</f>
        <v>Punk Rock</v>
      </c>
      <c r="G299" s="7" t="str" cm="1">
        <f t="array" ref="G299">INDEX(Changed!$G:$G,ROW())&amp;IF(Changed!$G299&gt;Base!$G299,"↑",IF(Changed!$G299&lt;Base!$G299," ↓",""))</f>
        <v>520</v>
      </c>
      <c r="H299" s="7" t="str" cm="1">
        <f t="array" ref="H299">INDEX(Changed!$H:$H,ROW())&amp;IF(Changed!$H299&gt;Base!$H299,"↑",IF(Changed!$H299&lt;Base!$H299," ↓",""))</f>
        <v>93</v>
      </c>
      <c r="I299" s="7" t="str" cm="1">
        <f t="array" ref="I299">INDEX(Changed!$I:$I,ROW())&amp;IF(Changed!$I299&gt;Base!$I299,"↑",IF(Changed!$I299&lt;Base!$I299," ↓",""))</f>
        <v>90</v>
      </c>
      <c r="J299" s="7" t="str" cm="1">
        <f t="array" ref="J299">INDEX(Changed!$J:$J,ROW())&amp;IF(Changed!$J299&gt;Base!$J299,"↑",IF(Changed!$J299&lt;Base!$J299," ↓",""))</f>
        <v>101</v>
      </c>
      <c r="K299" s="7" t="str" cm="1">
        <f t="array" ref="K299">INDEX(Changed!$K:$K,ROW())&amp;IF(Changed!$K299&gt;Base!$K299,"↑",IF(Changed!$K299&lt;Base!$K299," ↓",""))</f>
        <v>60</v>
      </c>
      <c r="L299" s="7" t="str" cm="1">
        <f t="array" ref="L299">INDEX(Changed!$L:$L,ROW())&amp;IF(Changed!$L299&gt;Base!$L299,"↑",IF(Changed!$L299&lt;Base!$L299," ↓",""))</f>
        <v>81</v>
      </c>
      <c r="M299" s="7" t="str" cm="1">
        <f t="array" ref="M299">INDEX(Changed!$M:$M,ROW())&amp;IF(Changed!$M299&gt;Base!$M299,"↑",IF(Changed!$M299&lt;Base!$M299," ↓",""))</f>
        <v>95</v>
      </c>
      <c r="N299" s="19">
        <f>Changed!G299-Base!G299</f>
        <v>0</v>
      </c>
    </row>
    <row r="300" spans="1:14" ht="15.75" customHeight="1" x14ac:dyDescent="0.2">
      <c r="A300" s="4">
        <v>299</v>
      </c>
      <c r="B300" s="5" t="s">
        <v>300</v>
      </c>
      <c r="C300" s="6" t="str">
        <f>IF(Changed!C300&lt;&gt;"", Changed!C300, "")</f>
        <v>Bug</v>
      </c>
      <c r="D300" s="6" t="str">
        <f>IF(Changed!D300&lt;&gt;"", Changed!D300, "")</f>
        <v/>
      </c>
      <c r="E300" s="6" t="str">
        <f>IF(Changed!E300&lt;&gt;"", Changed!E300, "")</f>
        <v>Shield Dust</v>
      </c>
      <c r="F300" s="6" t="str">
        <f>IF(Changed!F300&lt;&gt;"", Changed!F300, "")</f>
        <v/>
      </c>
      <c r="G300" s="7" t="str" cm="1">
        <f t="array" ref="G300">INDEX(Changed!$G:$G,ROW())&amp;IF(Changed!$G300&gt;Base!$G300,"↑",IF(Changed!$G300&lt;Base!$G300," ↓",""))</f>
        <v>195</v>
      </c>
      <c r="H300" s="7" t="str" cm="1">
        <f t="array" ref="H300">INDEX(Changed!$H:$H,ROW())&amp;IF(Changed!$H300&gt;Base!$H300,"↑",IF(Changed!$H300&lt;Base!$H300," ↓",""))</f>
        <v>45</v>
      </c>
      <c r="I300" s="7" t="str" cm="1">
        <f t="array" ref="I300">INDEX(Changed!$I:$I,ROW())&amp;IF(Changed!$I300&gt;Base!$I300,"↑",IF(Changed!$I300&lt;Base!$I300," ↓",""))</f>
        <v>45</v>
      </c>
      <c r="J300" s="7" t="str" cm="1">
        <f t="array" ref="J300">INDEX(Changed!$J:$J,ROW())&amp;IF(Changed!$J300&gt;Base!$J300,"↑",IF(Changed!$J300&lt;Base!$J300," ↓",""))</f>
        <v>35</v>
      </c>
      <c r="K300" s="7" t="str" cm="1">
        <f t="array" ref="K300">INDEX(Changed!$K:$K,ROW())&amp;IF(Changed!$K300&gt;Base!$K300,"↑",IF(Changed!$K300&lt;Base!$K300," ↓",""))</f>
        <v>20</v>
      </c>
      <c r="L300" s="7" t="str" cm="1">
        <f t="array" ref="L300">INDEX(Changed!$L:$L,ROW())&amp;IF(Changed!$L300&gt;Base!$L300,"↑",IF(Changed!$L300&lt;Base!$L300," ↓",""))</f>
        <v>30</v>
      </c>
      <c r="M300" s="7" t="str" cm="1">
        <f t="array" ref="M300">INDEX(Changed!$M:$M,ROW())&amp;IF(Changed!$M300&gt;Base!$M300,"↑",IF(Changed!$M300&lt;Base!$M300," ↓",""))</f>
        <v>20</v>
      </c>
      <c r="N300" s="19">
        <f>Changed!G300-Base!G300</f>
        <v>0</v>
      </c>
    </row>
    <row r="301" spans="1:14" ht="15.75" customHeight="1" x14ac:dyDescent="0.2">
      <c r="A301" s="4">
        <v>300</v>
      </c>
      <c r="B301" s="5" t="s">
        <v>301</v>
      </c>
      <c r="C301" s="6" t="str">
        <f>IF(Changed!C301&lt;&gt;"", Changed!C301, "")</f>
        <v>Bug</v>
      </c>
      <c r="D301" s="6" t="str">
        <f>IF(Changed!D301&lt;&gt;"", Changed!D301, "")</f>
        <v/>
      </c>
      <c r="E301" s="6" t="str">
        <f>IF(Changed!E301&lt;&gt;"", Changed!E301, "")</f>
        <v>Shed Skin</v>
      </c>
      <c r="F301" s="6" t="str">
        <f>IF(Changed!F301&lt;&gt;"", Changed!F301, "")</f>
        <v/>
      </c>
      <c r="G301" s="7" t="str" cm="1">
        <f t="array" ref="G301">INDEX(Changed!$G:$G,ROW())&amp;IF(Changed!$G301&gt;Base!$G301,"↑",IF(Changed!$G301&lt;Base!$G301," ↓",""))</f>
        <v>205</v>
      </c>
      <c r="H301" s="7" t="str" cm="1">
        <f t="array" ref="H301">INDEX(Changed!$H:$H,ROW())&amp;IF(Changed!$H301&gt;Base!$H301,"↑",IF(Changed!$H301&lt;Base!$H301," ↓",""))</f>
        <v>50</v>
      </c>
      <c r="I301" s="7" t="str" cm="1">
        <f t="array" ref="I301">INDEX(Changed!$I:$I,ROW())&amp;IF(Changed!$I301&gt;Base!$I301,"↑",IF(Changed!$I301&lt;Base!$I301," ↓",""))</f>
        <v>35</v>
      </c>
      <c r="J301" s="7" t="str" cm="1">
        <f t="array" ref="J301">INDEX(Changed!$J:$J,ROW())&amp;IF(Changed!$J301&gt;Base!$J301,"↑",IF(Changed!$J301&lt;Base!$J301," ↓",""))</f>
        <v>55</v>
      </c>
      <c r="K301" s="7" t="str" cm="1">
        <f t="array" ref="K301">INDEX(Changed!$K:$K,ROW())&amp;IF(Changed!$K301&gt;Base!$K301,"↑",IF(Changed!$K301&lt;Base!$K301," ↓",""))</f>
        <v>25</v>
      </c>
      <c r="L301" s="7" t="str" cm="1">
        <f t="array" ref="L301">INDEX(Changed!$L:$L,ROW())&amp;IF(Changed!$L301&gt;Base!$L301,"↑",IF(Changed!$L301&lt;Base!$L301," ↓",""))</f>
        <v>25</v>
      </c>
      <c r="M301" s="7" t="str" cm="1">
        <f t="array" ref="M301">INDEX(Changed!$M:$M,ROW())&amp;IF(Changed!$M301&gt;Base!$M301,"↑",IF(Changed!$M301&lt;Base!$M301," ↓",""))</f>
        <v>15</v>
      </c>
      <c r="N301" s="19">
        <f>Changed!G301-Base!G301</f>
        <v>0</v>
      </c>
    </row>
    <row r="302" spans="1:14" ht="15.75" customHeight="1" x14ac:dyDescent="0.2">
      <c r="A302" s="4">
        <v>301</v>
      </c>
      <c r="B302" s="5" t="s">
        <v>302</v>
      </c>
      <c r="C302" s="6" t="str">
        <f>IF(Changed!C302&lt;&gt;"", Changed!C302, "")</f>
        <v>Bug</v>
      </c>
      <c r="D302" s="6" t="str">
        <f>IF(Changed!D302&lt;&gt;"", Changed!D302, "")</f>
        <v>Flying</v>
      </c>
      <c r="E302" s="6" t="str">
        <f>IF(Changed!E302&lt;&gt;"", Changed!E302, "")</f>
        <v>Swarm</v>
      </c>
      <c r="F302" s="6" t="str">
        <f>IF(Changed!F302&lt;&gt;"", Changed!F302, "")</f>
        <v/>
      </c>
      <c r="G302" s="7" t="str" cm="1">
        <f t="array" ref="G302">INDEX(Changed!$G:$G,ROW())&amp;IF(Changed!$G302&gt;Base!$G302,"↑",IF(Changed!$G302&lt;Base!$G302," ↓",""))</f>
        <v>385</v>
      </c>
      <c r="H302" s="7" t="str" cm="1">
        <f t="array" ref="H302">INDEX(Changed!$H:$H,ROW())&amp;IF(Changed!$H302&gt;Base!$H302,"↑",IF(Changed!$H302&lt;Base!$H302," ↓",""))</f>
        <v>60</v>
      </c>
      <c r="I302" s="7" t="str" cm="1">
        <f t="array" ref="I302">INDEX(Changed!$I:$I,ROW())&amp;IF(Changed!$I302&gt;Base!$I302,"↑",IF(Changed!$I302&lt;Base!$I302," ↓",""))</f>
        <v>90↑</v>
      </c>
      <c r="J302" s="7" t="str" cm="1">
        <f t="array" ref="J302">INDEX(Changed!$J:$J,ROW())&amp;IF(Changed!$J302&gt;Base!$J302,"↑",IF(Changed!$J302&lt;Base!$J302," ↓",""))</f>
        <v>50</v>
      </c>
      <c r="K302" s="7" t="str" cm="1">
        <f t="array" ref="K302">INDEX(Changed!$K:$K,ROW())&amp;IF(Changed!$K302&gt;Base!$K302,"↑",IF(Changed!$K302&lt;Base!$K302," ↓",""))</f>
        <v>70 ↓</v>
      </c>
      <c r="L302" s="7" t="str" cm="1">
        <f t="array" ref="L302">INDEX(Changed!$L:$L,ROW())&amp;IF(Changed!$L302&gt;Base!$L302,"↑",IF(Changed!$L302&lt;Base!$L302," ↓",""))</f>
        <v>50</v>
      </c>
      <c r="M302" s="7" t="str" cm="1">
        <f t="array" ref="M302">INDEX(Changed!$M:$M,ROW())&amp;IF(Changed!$M302&gt;Base!$M302,"↑",IF(Changed!$M302&lt;Base!$M302," ↓",""))</f>
        <v>65</v>
      </c>
      <c r="N302" s="19">
        <f>Changed!G302-Base!G302</f>
        <v>0</v>
      </c>
    </row>
    <row r="303" spans="1:14" ht="15.75" customHeight="1" x14ac:dyDescent="0.2">
      <c r="A303" s="4">
        <v>302</v>
      </c>
      <c r="B303" s="5" t="s">
        <v>303</v>
      </c>
      <c r="C303" s="6" t="str">
        <f>IF(Changed!C303&lt;&gt;"", Changed!C303, "")</f>
        <v>Bug</v>
      </c>
      <c r="D303" s="6" t="str">
        <f>IF(Changed!D303&lt;&gt;"", Changed!D303, "")</f>
        <v/>
      </c>
      <c r="E303" s="6" t="str">
        <f>IF(Changed!E303&lt;&gt;"", Changed!E303, "")</f>
        <v>Shed Skin</v>
      </c>
      <c r="F303" s="6" t="str">
        <f>IF(Changed!F303&lt;&gt;"", Changed!F303, "")</f>
        <v/>
      </c>
      <c r="G303" s="7" t="str" cm="1">
        <f t="array" ref="G303">INDEX(Changed!$G:$G,ROW())&amp;IF(Changed!$G303&gt;Base!$G303,"↑",IF(Changed!$G303&lt;Base!$G303," ↓",""))</f>
        <v>205</v>
      </c>
      <c r="H303" s="7" t="str" cm="1">
        <f t="array" ref="H303">INDEX(Changed!$H:$H,ROW())&amp;IF(Changed!$H303&gt;Base!$H303,"↑",IF(Changed!$H303&lt;Base!$H303," ↓",""))</f>
        <v>50</v>
      </c>
      <c r="I303" s="7" t="str" cm="1">
        <f t="array" ref="I303">INDEX(Changed!$I:$I,ROW())&amp;IF(Changed!$I303&gt;Base!$I303,"↑",IF(Changed!$I303&lt;Base!$I303," ↓",""))</f>
        <v>35</v>
      </c>
      <c r="J303" s="7" t="str" cm="1">
        <f t="array" ref="J303">INDEX(Changed!$J:$J,ROW())&amp;IF(Changed!$J303&gt;Base!$J303,"↑",IF(Changed!$J303&lt;Base!$J303," ↓",""))</f>
        <v>55</v>
      </c>
      <c r="K303" s="7" t="str" cm="1">
        <f t="array" ref="K303">INDEX(Changed!$K:$K,ROW())&amp;IF(Changed!$K303&gt;Base!$K303,"↑",IF(Changed!$K303&lt;Base!$K303," ↓",""))</f>
        <v>25</v>
      </c>
      <c r="L303" s="7" t="str" cm="1">
        <f t="array" ref="L303">INDEX(Changed!$L:$L,ROW())&amp;IF(Changed!$L303&gt;Base!$L303,"↑",IF(Changed!$L303&lt;Base!$L303," ↓",""))</f>
        <v>25</v>
      </c>
      <c r="M303" s="7" t="str" cm="1">
        <f t="array" ref="M303">INDEX(Changed!$M:$M,ROW())&amp;IF(Changed!$M303&gt;Base!$M303,"↑",IF(Changed!$M303&lt;Base!$M303," ↓",""))</f>
        <v>15</v>
      </c>
      <c r="N303" s="19">
        <f>Changed!G303-Base!G303</f>
        <v>0</v>
      </c>
    </row>
    <row r="304" spans="1:14" ht="15.75" customHeight="1" x14ac:dyDescent="0.2">
      <c r="A304" s="4">
        <v>303</v>
      </c>
      <c r="B304" s="5" t="s">
        <v>304</v>
      </c>
      <c r="C304" s="6" t="str">
        <f>IF(Changed!C304&lt;&gt;"", Changed!C304, "")</f>
        <v>Bug</v>
      </c>
      <c r="D304" s="6" t="str">
        <f>IF(Changed!D304&lt;&gt;"", Changed!D304, "")</f>
        <v>Dark</v>
      </c>
      <c r="E304" s="6" t="str">
        <f>IF(Changed!E304&lt;&gt;"", Changed!E304, "")</f>
        <v>Shield Dust</v>
      </c>
      <c r="F304" s="6" t="str">
        <f>IF(Changed!F304&lt;&gt;"", Changed!F304, "")</f>
        <v/>
      </c>
      <c r="G304" s="7" t="str" cm="1">
        <f t="array" ref="G304">INDEX(Changed!$G:$G,ROW())&amp;IF(Changed!$G304&gt;Base!$G304,"↑",IF(Changed!$G304&lt;Base!$G304," ↓",""))</f>
        <v>385</v>
      </c>
      <c r="H304" s="7" t="str" cm="1">
        <f t="array" ref="H304">INDEX(Changed!$H:$H,ROW())&amp;IF(Changed!$H304&gt;Base!$H304,"↑",IF(Changed!$H304&lt;Base!$H304," ↓",""))</f>
        <v>60</v>
      </c>
      <c r="I304" s="7" t="str" cm="1">
        <f t="array" ref="I304">INDEX(Changed!$I:$I,ROW())&amp;IF(Changed!$I304&gt;Base!$I304,"↑",IF(Changed!$I304&lt;Base!$I304," ↓",""))</f>
        <v>50</v>
      </c>
      <c r="J304" s="7" t="str" cm="1">
        <f t="array" ref="J304">INDEX(Changed!$J:$J,ROW())&amp;IF(Changed!$J304&gt;Base!$J304,"↑",IF(Changed!$J304&lt;Base!$J304," ↓",""))</f>
        <v>70</v>
      </c>
      <c r="K304" s="7" t="str" cm="1">
        <f t="array" ref="K304">INDEX(Changed!$K:$K,ROW())&amp;IF(Changed!$K304&gt;Base!$K304,"↑",IF(Changed!$K304&lt;Base!$K304," ↓",""))</f>
        <v>50</v>
      </c>
      <c r="L304" s="7" t="str" cm="1">
        <f t="array" ref="L304">INDEX(Changed!$L:$L,ROW())&amp;IF(Changed!$L304&gt;Base!$L304,"↑",IF(Changed!$L304&lt;Base!$L304," ↓",""))</f>
        <v>90</v>
      </c>
      <c r="M304" s="7" t="str" cm="1">
        <f t="array" ref="M304">INDEX(Changed!$M:$M,ROW())&amp;IF(Changed!$M304&gt;Base!$M304,"↑",IF(Changed!$M304&lt;Base!$M304," ↓",""))</f>
        <v>65</v>
      </c>
      <c r="N304" s="19">
        <f>Changed!G304-Base!G304</f>
        <v>0</v>
      </c>
    </row>
    <row r="305" spans="1:14" ht="15.75" customHeight="1" x14ac:dyDescent="0.2">
      <c r="A305" s="4">
        <v>304</v>
      </c>
      <c r="B305" s="5" t="s">
        <v>305</v>
      </c>
      <c r="C305" s="6" t="str">
        <f>IF(Changed!C305&lt;&gt;"", Changed!C305, "")</f>
        <v>Water</v>
      </c>
      <c r="D305" s="6" t="str">
        <f>IF(Changed!D305&lt;&gt;"", Changed!D305, "")</f>
        <v>Grass</v>
      </c>
      <c r="E305" s="6" t="str">
        <f>IF(Changed!E305&lt;&gt;"", Changed!E305, "")</f>
        <v>Swift Swim</v>
      </c>
      <c r="F305" s="6" t="str">
        <f>IF(Changed!F305&lt;&gt;"", Changed!F305, "")</f>
        <v>Rain Dish</v>
      </c>
      <c r="G305" s="7" t="str" cm="1">
        <f t="array" ref="G305">INDEX(Changed!$G:$G,ROW())&amp;IF(Changed!$G305&gt;Base!$G305,"↑",IF(Changed!$G305&lt;Base!$G305," ↓",""))</f>
        <v>220</v>
      </c>
      <c r="H305" s="7" t="str" cm="1">
        <f t="array" ref="H305">INDEX(Changed!$H:$H,ROW())&amp;IF(Changed!$H305&gt;Base!$H305,"↑",IF(Changed!$H305&lt;Base!$H305," ↓",""))</f>
        <v>40</v>
      </c>
      <c r="I305" s="7" t="str" cm="1">
        <f t="array" ref="I305">INDEX(Changed!$I:$I,ROW())&amp;IF(Changed!$I305&gt;Base!$I305,"↑",IF(Changed!$I305&lt;Base!$I305," ↓",""))</f>
        <v>30</v>
      </c>
      <c r="J305" s="7" t="str" cm="1">
        <f t="array" ref="J305">INDEX(Changed!$J:$J,ROW())&amp;IF(Changed!$J305&gt;Base!$J305,"↑",IF(Changed!$J305&lt;Base!$J305," ↓",""))</f>
        <v>30</v>
      </c>
      <c r="K305" s="7" t="str" cm="1">
        <f t="array" ref="K305">INDEX(Changed!$K:$K,ROW())&amp;IF(Changed!$K305&gt;Base!$K305,"↑",IF(Changed!$K305&lt;Base!$K305," ↓",""))</f>
        <v>40</v>
      </c>
      <c r="L305" s="7" t="str" cm="1">
        <f t="array" ref="L305">INDEX(Changed!$L:$L,ROW())&amp;IF(Changed!$L305&gt;Base!$L305,"↑",IF(Changed!$L305&lt;Base!$L305," ↓",""))</f>
        <v>50</v>
      </c>
      <c r="M305" s="7" t="str" cm="1">
        <f t="array" ref="M305">INDEX(Changed!$M:$M,ROW())&amp;IF(Changed!$M305&gt;Base!$M305,"↑",IF(Changed!$M305&lt;Base!$M305," ↓",""))</f>
        <v>30</v>
      </c>
      <c r="N305" s="19">
        <f>Changed!G305-Base!G305</f>
        <v>0</v>
      </c>
    </row>
    <row r="306" spans="1:14" ht="15.75" customHeight="1" x14ac:dyDescent="0.2">
      <c r="A306" s="4">
        <v>305</v>
      </c>
      <c r="B306" s="5" t="s">
        <v>306</v>
      </c>
      <c r="C306" s="6" t="str">
        <f>IF(Changed!C306&lt;&gt;"", Changed!C306, "")</f>
        <v>Water</v>
      </c>
      <c r="D306" s="6" t="str">
        <f>IF(Changed!D306&lt;&gt;"", Changed!D306, "")</f>
        <v>Grass</v>
      </c>
      <c r="E306" s="6" t="str">
        <f>IF(Changed!E306&lt;&gt;"", Changed!E306, "")</f>
        <v>Swift Swim</v>
      </c>
      <c r="F306" s="6" t="str">
        <f>IF(Changed!F306&lt;&gt;"", Changed!F306, "")</f>
        <v>Rain Dish</v>
      </c>
      <c r="G306" s="7" t="str" cm="1">
        <f t="array" ref="G306">INDEX(Changed!$G:$G,ROW())&amp;IF(Changed!$G306&gt;Base!$G306,"↑",IF(Changed!$G306&lt;Base!$G306," ↓",""))</f>
        <v>340</v>
      </c>
      <c r="H306" s="7" t="str" cm="1">
        <f t="array" ref="H306">INDEX(Changed!$H:$H,ROW())&amp;IF(Changed!$H306&gt;Base!$H306,"↑",IF(Changed!$H306&lt;Base!$H306," ↓",""))</f>
        <v>60</v>
      </c>
      <c r="I306" s="7" t="str" cm="1">
        <f t="array" ref="I306">INDEX(Changed!$I:$I,ROW())&amp;IF(Changed!$I306&gt;Base!$I306,"↑",IF(Changed!$I306&lt;Base!$I306," ↓",""))</f>
        <v>50</v>
      </c>
      <c r="J306" s="7" t="str" cm="1">
        <f t="array" ref="J306">INDEX(Changed!$J:$J,ROW())&amp;IF(Changed!$J306&gt;Base!$J306,"↑",IF(Changed!$J306&lt;Base!$J306," ↓",""))</f>
        <v>50</v>
      </c>
      <c r="K306" s="7" t="str" cm="1">
        <f t="array" ref="K306">INDEX(Changed!$K:$K,ROW())&amp;IF(Changed!$K306&gt;Base!$K306,"↑",IF(Changed!$K306&lt;Base!$K306," ↓",""))</f>
        <v>60</v>
      </c>
      <c r="L306" s="7" t="str" cm="1">
        <f t="array" ref="L306">INDEX(Changed!$L:$L,ROW())&amp;IF(Changed!$L306&gt;Base!$L306,"↑",IF(Changed!$L306&lt;Base!$L306," ↓",""))</f>
        <v>70</v>
      </c>
      <c r="M306" s="7" t="str" cm="1">
        <f t="array" ref="M306">INDEX(Changed!$M:$M,ROW())&amp;IF(Changed!$M306&gt;Base!$M306,"↑",IF(Changed!$M306&lt;Base!$M306," ↓",""))</f>
        <v>50</v>
      </c>
      <c r="N306" s="19">
        <f>Changed!G306-Base!G306</f>
        <v>0</v>
      </c>
    </row>
    <row r="307" spans="1:14" ht="15.75" customHeight="1" x14ac:dyDescent="0.2">
      <c r="A307" s="4">
        <v>306</v>
      </c>
      <c r="B307" s="5" t="s">
        <v>307</v>
      </c>
      <c r="C307" s="6" t="str">
        <f>IF(Changed!C307&lt;&gt;"", Changed!C307, "")</f>
        <v>Water</v>
      </c>
      <c r="D307" s="6" t="str">
        <f>IF(Changed!D307&lt;&gt;"", Changed!D307, "")</f>
        <v>Grass</v>
      </c>
      <c r="E307" s="6" t="str">
        <f>IF(Changed!E307&lt;&gt;"", Changed!E307, "")</f>
        <v>Swift Swim</v>
      </c>
      <c r="F307" s="6" t="str">
        <f>IF(Changed!F307&lt;&gt;"", Changed!F307, "")</f>
        <v>Rain Dish</v>
      </c>
      <c r="G307" s="7" t="str" cm="1">
        <f t="array" ref="G307">INDEX(Changed!$G:$G,ROW())&amp;IF(Changed!$G307&gt;Base!$G307,"↑",IF(Changed!$G307&lt;Base!$G307," ↓",""))</f>
        <v>480</v>
      </c>
      <c r="H307" s="7" t="str" cm="1">
        <f t="array" ref="H307">INDEX(Changed!$H:$H,ROW())&amp;IF(Changed!$H307&gt;Base!$H307,"↑",IF(Changed!$H307&lt;Base!$H307," ↓",""))</f>
        <v>80</v>
      </c>
      <c r="I307" s="7" t="str" cm="1">
        <f t="array" ref="I307">INDEX(Changed!$I:$I,ROW())&amp;IF(Changed!$I307&gt;Base!$I307,"↑",IF(Changed!$I307&lt;Base!$I307," ↓",""))</f>
        <v>70</v>
      </c>
      <c r="J307" s="7" t="str" cm="1">
        <f t="array" ref="J307">INDEX(Changed!$J:$J,ROW())&amp;IF(Changed!$J307&gt;Base!$J307,"↑",IF(Changed!$J307&lt;Base!$J307," ↓",""))</f>
        <v>70</v>
      </c>
      <c r="K307" s="7" t="str" cm="1">
        <f t="array" ref="K307">INDEX(Changed!$K:$K,ROW())&amp;IF(Changed!$K307&gt;Base!$K307,"↑",IF(Changed!$K307&lt;Base!$K307," ↓",""))</f>
        <v>90</v>
      </c>
      <c r="L307" s="7" t="str" cm="1">
        <f t="array" ref="L307">INDEX(Changed!$L:$L,ROW())&amp;IF(Changed!$L307&gt;Base!$L307,"↑",IF(Changed!$L307&lt;Base!$L307," ↓",""))</f>
        <v>100</v>
      </c>
      <c r="M307" s="7" t="str" cm="1">
        <f t="array" ref="M307">INDEX(Changed!$M:$M,ROW())&amp;IF(Changed!$M307&gt;Base!$M307,"↑",IF(Changed!$M307&lt;Base!$M307," ↓",""))</f>
        <v>70</v>
      </c>
      <c r="N307" s="19">
        <f>Changed!G307-Base!G307</f>
        <v>0</v>
      </c>
    </row>
    <row r="308" spans="1:14" ht="15.75" customHeight="1" x14ac:dyDescent="0.2">
      <c r="A308" s="4">
        <v>307</v>
      </c>
      <c r="B308" s="5" t="s">
        <v>308</v>
      </c>
      <c r="C308" s="6" t="str">
        <f>IF(Changed!C308&lt;&gt;"", Changed!C308, "")</f>
        <v>Grass</v>
      </c>
      <c r="D308" s="6" t="str">
        <f>IF(Changed!D308&lt;&gt;"", Changed!D308, "")</f>
        <v/>
      </c>
      <c r="E308" s="6" t="str">
        <f>IF(Changed!E308&lt;&gt;"", Changed!E308, "")</f>
        <v>Chlorophyll</v>
      </c>
      <c r="F308" s="6" t="str">
        <f>IF(Changed!F308&lt;&gt;"", Changed!F308, "")</f>
        <v>Early Bird</v>
      </c>
      <c r="G308" s="7" t="str" cm="1">
        <f t="array" ref="G308">INDEX(Changed!$G:$G,ROW())&amp;IF(Changed!$G308&gt;Base!$G308,"↑",IF(Changed!$G308&lt;Base!$G308," ↓",""))</f>
        <v>220</v>
      </c>
      <c r="H308" s="7" t="str" cm="1">
        <f t="array" ref="H308">INDEX(Changed!$H:$H,ROW())&amp;IF(Changed!$H308&gt;Base!$H308,"↑",IF(Changed!$H308&lt;Base!$H308," ↓",""))</f>
        <v>40</v>
      </c>
      <c r="I308" s="7" t="str" cm="1">
        <f t="array" ref="I308">INDEX(Changed!$I:$I,ROW())&amp;IF(Changed!$I308&gt;Base!$I308,"↑",IF(Changed!$I308&lt;Base!$I308," ↓",""))</f>
        <v>40</v>
      </c>
      <c r="J308" s="7" t="str" cm="1">
        <f t="array" ref="J308">INDEX(Changed!$J:$J,ROW())&amp;IF(Changed!$J308&gt;Base!$J308,"↑",IF(Changed!$J308&lt;Base!$J308," ↓",""))</f>
        <v>50</v>
      </c>
      <c r="K308" s="7" t="str" cm="1">
        <f t="array" ref="K308">INDEX(Changed!$K:$K,ROW())&amp;IF(Changed!$K308&gt;Base!$K308,"↑",IF(Changed!$K308&lt;Base!$K308," ↓",""))</f>
        <v>30</v>
      </c>
      <c r="L308" s="7" t="str" cm="1">
        <f t="array" ref="L308">INDEX(Changed!$L:$L,ROW())&amp;IF(Changed!$L308&gt;Base!$L308,"↑",IF(Changed!$L308&lt;Base!$L308," ↓",""))</f>
        <v>30</v>
      </c>
      <c r="M308" s="7" t="str" cm="1">
        <f t="array" ref="M308">INDEX(Changed!$M:$M,ROW())&amp;IF(Changed!$M308&gt;Base!$M308,"↑",IF(Changed!$M308&lt;Base!$M308," ↓",""))</f>
        <v>30</v>
      </c>
      <c r="N308" s="19">
        <f>Changed!G308-Base!G308</f>
        <v>0</v>
      </c>
    </row>
    <row r="309" spans="1:14" ht="15.75" customHeight="1" x14ac:dyDescent="0.2">
      <c r="A309" s="4">
        <v>308</v>
      </c>
      <c r="B309" s="5" t="s">
        <v>309</v>
      </c>
      <c r="C309" s="6" t="str">
        <f>IF(Changed!C309&lt;&gt;"", Changed!C309, "")</f>
        <v>Grass</v>
      </c>
      <c r="D309" s="6" t="str">
        <f>IF(Changed!D309&lt;&gt;"", Changed!D309, "")</f>
        <v>Dark</v>
      </c>
      <c r="E309" s="6" t="str">
        <f>IF(Changed!E309&lt;&gt;"", Changed!E309, "")</f>
        <v>Chlorophyll</v>
      </c>
      <c r="F309" s="6" t="str">
        <f>IF(Changed!F309&lt;&gt;"", Changed!F309, "")</f>
        <v>Early Bird</v>
      </c>
      <c r="G309" s="7" t="str" cm="1">
        <f t="array" ref="G309">INDEX(Changed!$G:$G,ROW())&amp;IF(Changed!$G309&gt;Base!$G309,"↑",IF(Changed!$G309&lt;Base!$G309," ↓",""))</f>
        <v>340</v>
      </c>
      <c r="H309" s="7" t="str" cm="1">
        <f t="array" ref="H309">INDEX(Changed!$H:$H,ROW())&amp;IF(Changed!$H309&gt;Base!$H309,"↑",IF(Changed!$H309&lt;Base!$H309," ↓",""))</f>
        <v>70</v>
      </c>
      <c r="I309" s="7" t="str" cm="1">
        <f t="array" ref="I309">INDEX(Changed!$I:$I,ROW())&amp;IF(Changed!$I309&gt;Base!$I309,"↑",IF(Changed!$I309&lt;Base!$I309," ↓",""))</f>
        <v>70</v>
      </c>
      <c r="J309" s="7" t="str" cm="1">
        <f t="array" ref="J309">INDEX(Changed!$J:$J,ROW())&amp;IF(Changed!$J309&gt;Base!$J309,"↑",IF(Changed!$J309&lt;Base!$J309," ↓",""))</f>
        <v>40</v>
      </c>
      <c r="K309" s="7" t="str" cm="1">
        <f t="array" ref="K309">INDEX(Changed!$K:$K,ROW())&amp;IF(Changed!$K309&gt;Base!$K309,"↑",IF(Changed!$K309&lt;Base!$K309," ↓",""))</f>
        <v>60</v>
      </c>
      <c r="L309" s="7" t="str" cm="1">
        <f t="array" ref="L309">INDEX(Changed!$L:$L,ROW())&amp;IF(Changed!$L309&gt;Base!$L309,"↑",IF(Changed!$L309&lt;Base!$L309," ↓",""))</f>
        <v>40</v>
      </c>
      <c r="M309" s="7" t="str" cm="1">
        <f t="array" ref="M309">INDEX(Changed!$M:$M,ROW())&amp;IF(Changed!$M309&gt;Base!$M309,"↑",IF(Changed!$M309&lt;Base!$M309," ↓",""))</f>
        <v>60</v>
      </c>
      <c r="N309" s="19">
        <f>Changed!G309-Base!G309</f>
        <v>0</v>
      </c>
    </row>
    <row r="310" spans="1:14" ht="15.75" customHeight="1" x14ac:dyDescent="0.2">
      <c r="A310" s="4">
        <v>309</v>
      </c>
      <c r="B310" s="5" t="s">
        <v>310</v>
      </c>
      <c r="C310" s="6" t="str">
        <f>IF(Changed!C310&lt;&gt;"", Changed!C310, "")</f>
        <v>Grass</v>
      </c>
      <c r="D310" s="6" t="str">
        <f>IF(Changed!D310&lt;&gt;"", Changed!D310, "")</f>
        <v>Dark</v>
      </c>
      <c r="E310" s="6" t="str">
        <f>IF(Changed!E310&lt;&gt;"", Changed!E310, "")</f>
        <v>Chlorophyll</v>
      </c>
      <c r="F310" s="6" t="str">
        <f>IF(Changed!F310&lt;&gt;"", Changed!F310, "")</f>
        <v>Early Bird</v>
      </c>
      <c r="G310" s="7" t="str" cm="1">
        <f t="array" ref="G310">INDEX(Changed!$G:$G,ROW())&amp;IF(Changed!$G310&gt;Base!$G310,"↑",IF(Changed!$G310&lt;Base!$G310," ↓",""))</f>
        <v>480</v>
      </c>
      <c r="H310" s="7" t="str" cm="1">
        <f t="array" ref="H310">INDEX(Changed!$H:$H,ROW())&amp;IF(Changed!$H310&gt;Base!$H310,"↑",IF(Changed!$H310&lt;Base!$H310," ↓",""))</f>
        <v>90</v>
      </c>
      <c r="I310" s="7" t="str" cm="1">
        <f t="array" ref="I310">INDEX(Changed!$I:$I,ROW())&amp;IF(Changed!$I310&gt;Base!$I310,"↑",IF(Changed!$I310&lt;Base!$I310," ↓",""))</f>
        <v>100</v>
      </c>
      <c r="J310" s="7" t="str" cm="1">
        <f t="array" ref="J310">INDEX(Changed!$J:$J,ROW())&amp;IF(Changed!$J310&gt;Base!$J310,"↑",IF(Changed!$J310&lt;Base!$J310," ↓",""))</f>
        <v>60</v>
      </c>
      <c r="K310" s="7" t="str" cm="1">
        <f t="array" ref="K310">INDEX(Changed!$K:$K,ROW())&amp;IF(Changed!$K310&gt;Base!$K310,"↑",IF(Changed!$K310&lt;Base!$K310," ↓",""))</f>
        <v>90</v>
      </c>
      <c r="L310" s="7" t="str" cm="1">
        <f t="array" ref="L310">INDEX(Changed!$L:$L,ROW())&amp;IF(Changed!$L310&gt;Base!$L310,"↑",IF(Changed!$L310&lt;Base!$L310," ↓",""))</f>
        <v>60</v>
      </c>
      <c r="M310" s="7" t="str" cm="1">
        <f t="array" ref="M310">INDEX(Changed!$M:$M,ROW())&amp;IF(Changed!$M310&gt;Base!$M310,"↑",IF(Changed!$M310&lt;Base!$M310," ↓",""))</f>
        <v>80</v>
      </c>
      <c r="N310" s="19">
        <f>Changed!G310-Base!G310</f>
        <v>0</v>
      </c>
    </row>
    <row r="311" spans="1:14" ht="15.75" customHeight="1" x14ac:dyDescent="0.2">
      <c r="A311" s="4">
        <v>310</v>
      </c>
      <c r="B311" s="5" t="s">
        <v>311</v>
      </c>
      <c r="C311" s="6" t="str">
        <f>IF(Changed!C311&lt;&gt;"", Changed!C311, "")</f>
        <v>Normal</v>
      </c>
      <c r="D311" s="6" t="str">
        <f>IF(Changed!D311&lt;&gt;"", Changed!D311, "")</f>
        <v>Flying</v>
      </c>
      <c r="E311" s="6" t="str">
        <f>IF(Changed!E311&lt;&gt;"", Changed!E311, "")</f>
        <v>Guts</v>
      </c>
      <c r="F311" s="6" t="str">
        <f>IF(Changed!F311&lt;&gt;"", Changed!F311, "")</f>
        <v/>
      </c>
      <c r="G311" s="7" t="str" cm="1">
        <f t="array" ref="G311">INDEX(Changed!$G:$G,ROW())&amp;IF(Changed!$G311&gt;Base!$G311,"↑",IF(Changed!$G311&lt;Base!$G311," ↓",""))</f>
        <v>270</v>
      </c>
      <c r="H311" s="7" t="str" cm="1">
        <f t="array" ref="H311">INDEX(Changed!$H:$H,ROW())&amp;IF(Changed!$H311&gt;Base!$H311,"↑",IF(Changed!$H311&lt;Base!$H311," ↓",""))</f>
        <v>40</v>
      </c>
      <c r="I311" s="7" t="str" cm="1">
        <f t="array" ref="I311">INDEX(Changed!$I:$I,ROW())&amp;IF(Changed!$I311&gt;Base!$I311,"↑",IF(Changed!$I311&lt;Base!$I311," ↓",""))</f>
        <v>55</v>
      </c>
      <c r="J311" s="7" t="str" cm="1">
        <f t="array" ref="J311">INDEX(Changed!$J:$J,ROW())&amp;IF(Changed!$J311&gt;Base!$J311,"↑",IF(Changed!$J311&lt;Base!$J311," ↓",""))</f>
        <v>30</v>
      </c>
      <c r="K311" s="7" t="str" cm="1">
        <f t="array" ref="K311">INDEX(Changed!$K:$K,ROW())&amp;IF(Changed!$K311&gt;Base!$K311,"↑",IF(Changed!$K311&lt;Base!$K311," ↓",""))</f>
        <v>30</v>
      </c>
      <c r="L311" s="7" t="str" cm="1">
        <f t="array" ref="L311">INDEX(Changed!$L:$L,ROW())&amp;IF(Changed!$L311&gt;Base!$L311,"↑",IF(Changed!$L311&lt;Base!$L311," ↓",""))</f>
        <v>30</v>
      </c>
      <c r="M311" s="7" t="str" cm="1">
        <f t="array" ref="M311">INDEX(Changed!$M:$M,ROW())&amp;IF(Changed!$M311&gt;Base!$M311,"↑",IF(Changed!$M311&lt;Base!$M311," ↓",""))</f>
        <v>85</v>
      </c>
      <c r="N311" s="19">
        <f>Changed!G311-Base!G311</f>
        <v>0</v>
      </c>
    </row>
    <row r="312" spans="1:14" ht="15.75" customHeight="1" x14ac:dyDescent="0.2">
      <c r="A312" s="4">
        <v>311</v>
      </c>
      <c r="B312" s="5" t="s">
        <v>312</v>
      </c>
      <c r="C312" s="6" t="str">
        <f>IF(Changed!C312&lt;&gt;"", Changed!C312, "")</f>
        <v>Normal</v>
      </c>
      <c r="D312" s="6" t="str">
        <f>IF(Changed!D312&lt;&gt;"", Changed!D312, "")</f>
        <v>Flying</v>
      </c>
      <c r="E312" s="6" t="str">
        <f>IF(Changed!E312&lt;&gt;"", Changed!E312, "")</f>
        <v>Guts</v>
      </c>
      <c r="F312" s="6" t="str">
        <f>IF(Changed!F312&lt;&gt;"", Changed!F312, "")</f>
        <v/>
      </c>
      <c r="G312" s="7" t="str" cm="1">
        <f t="array" ref="G312">INDEX(Changed!$G:$G,ROW())&amp;IF(Changed!$G312&gt;Base!$G312,"↑",IF(Changed!$G312&lt;Base!$G312," ↓",""))</f>
        <v>455</v>
      </c>
      <c r="H312" s="7" t="str" cm="1">
        <f t="array" ref="H312">INDEX(Changed!$H:$H,ROW())&amp;IF(Changed!$H312&gt;Base!$H312,"↑",IF(Changed!$H312&lt;Base!$H312," ↓",""))</f>
        <v>60</v>
      </c>
      <c r="I312" s="7" t="str" cm="1">
        <f t="array" ref="I312">INDEX(Changed!$I:$I,ROW())&amp;IF(Changed!$I312&gt;Base!$I312,"↑",IF(Changed!$I312&lt;Base!$I312," ↓",""))</f>
        <v>85</v>
      </c>
      <c r="J312" s="7" t="str" cm="1">
        <f t="array" ref="J312">INDEX(Changed!$J:$J,ROW())&amp;IF(Changed!$J312&gt;Base!$J312,"↑",IF(Changed!$J312&lt;Base!$J312," ↓",""))</f>
        <v>60</v>
      </c>
      <c r="K312" s="7" t="str" cm="1">
        <f t="array" ref="K312">INDEX(Changed!$K:$K,ROW())&amp;IF(Changed!$K312&gt;Base!$K312,"↑",IF(Changed!$K312&lt;Base!$K312," ↓",""))</f>
        <v>75</v>
      </c>
      <c r="L312" s="7" t="str" cm="1">
        <f t="array" ref="L312">INDEX(Changed!$L:$L,ROW())&amp;IF(Changed!$L312&gt;Base!$L312,"↑",IF(Changed!$L312&lt;Base!$L312," ↓",""))</f>
        <v>50</v>
      </c>
      <c r="M312" s="7" t="str" cm="1">
        <f t="array" ref="M312">INDEX(Changed!$M:$M,ROW())&amp;IF(Changed!$M312&gt;Base!$M312,"↑",IF(Changed!$M312&lt;Base!$M312," ↓",""))</f>
        <v>125</v>
      </c>
      <c r="N312" s="19">
        <f>Changed!G312-Base!G312</f>
        <v>0</v>
      </c>
    </row>
    <row r="313" spans="1:14" ht="15.75" customHeight="1" x14ac:dyDescent="0.2">
      <c r="A313" s="4">
        <v>312</v>
      </c>
      <c r="B313" s="5" t="s">
        <v>313</v>
      </c>
      <c r="C313" s="6" t="str">
        <f>IF(Changed!C313&lt;&gt;"", Changed!C313, "")</f>
        <v>Water</v>
      </c>
      <c r="D313" s="6" t="str">
        <f>IF(Changed!D313&lt;&gt;"", Changed!D313, "")</f>
        <v>Flying</v>
      </c>
      <c r="E313" s="6" t="str">
        <f>IF(Changed!E313&lt;&gt;"", Changed!E313, "")</f>
        <v>Keen Eye</v>
      </c>
      <c r="F313" s="6" t="str">
        <f>IF(Changed!F313&lt;&gt;"", Changed!F313, "")</f>
        <v>Rain Dish</v>
      </c>
      <c r="G313" s="7" t="str" cm="1">
        <f t="array" ref="G313">INDEX(Changed!$G:$G,ROW())&amp;IF(Changed!$G313&gt;Base!$G313,"↑",IF(Changed!$G313&lt;Base!$G313," ↓",""))</f>
        <v>270</v>
      </c>
      <c r="H313" s="7" t="str" cm="1">
        <f t="array" ref="H313">INDEX(Changed!$H:$H,ROW())&amp;IF(Changed!$H313&gt;Base!$H313,"↑",IF(Changed!$H313&lt;Base!$H313," ↓",""))</f>
        <v>40</v>
      </c>
      <c r="I313" s="7" t="str" cm="1">
        <f t="array" ref="I313">INDEX(Changed!$I:$I,ROW())&amp;IF(Changed!$I313&gt;Base!$I313,"↑",IF(Changed!$I313&lt;Base!$I313," ↓",""))</f>
        <v>30</v>
      </c>
      <c r="J313" s="7" t="str" cm="1">
        <f t="array" ref="J313">INDEX(Changed!$J:$J,ROW())&amp;IF(Changed!$J313&gt;Base!$J313,"↑",IF(Changed!$J313&lt;Base!$J313," ↓",""))</f>
        <v>30</v>
      </c>
      <c r="K313" s="7" t="str" cm="1">
        <f t="array" ref="K313">INDEX(Changed!$K:$K,ROW())&amp;IF(Changed!$K313&gt;Base!$K313,"↑",IF(Changed!$K313&lt;Base!$K313," ↓",""))</f>
        <v>55</v>
      </c>
      <c r="L313" s="7" t="str" cm="1">
        <f t="array" ref="L313">INDEX(Changed!$L:$L,ROW())&amp;IF(Changed!$L313&gt;Base!$L313,"↑",IF(Changed!$L313&lt;Base!$L313," ↓",""))</f>
        <v>30</v>
      </c>
      <c r="M313" s="7" t="str" cm="1">
        <f t="array" ref="M313">INDEX(Changed!$M:$M,ROW())&amp;IF(Changed!$M313&gt;Base!$M313,"↑",IF(Changed!$M313&lt;Base!$M313," ↓",""))</f>
        <v>85</v>
      </c>
      <c r="N313" s="19">
        <f>Changed!G313-Base!G313</f>
        <v>0</v>
      </c>
    </row>
    <row r="314" spans="1:14" ht="15.75" customHeight="1" x14ac:dyDescent="0.2">
      <c r="A314" s="4">
        <v>313</v>
      </c>
      <c r="B314" s="5" t="s">
        <v>314</v>
      </c>
      <c r="C314" s="6" t="str">
        <f>IF(Changed!C314&lt;&gt;"", Changed!C314, "")</f>
        <v>Water</v>
      </c>
      <c r="D314" s="6" t="str">
        <f>IF(Changed!D314&lt;&gt;"", Changed!D314, "")</f>
        <v>Flying</v>
      </c>
      <c r="E314" s="6" t="str">
        <f>IF(Changed!E314&lt;&gt;"", Changed!E314, "")</f>
        <v>Keen Eye</v>
      </c>
      <c r="F314" s="6" t="str">
        <f>IF(Changed!F314&lt;&gt;"", Changed!F314, "")</f>
        <v>Drizzle</v>
      </c>
      <c r="G314" s="7" t="str" cm="1">
        <f t="array" ref="G314">INDEX(Changed!$G:$G,ROW())&amp;IF(Changed!$G314&gt;Base!$G314,"↑",IF(Changed!$G314&lt;Base!$G314," ↓",""))</f>
        <v>440</v>
      </c>
      <c r="H314" s="7" t="str" cm="1">
        <f t="array" ref="H314">INDEX(Changed!$H:$H,ROW())&amp;IF(Changed!$H314&gt;Base!$H314,"↑",IF(Changed!$H314&lt;Base!$H314," ↓",""))</f>
        <v>60</v>
      </c>
      <c r="I314" s="7" t="str" cm="1">
        <f t="array" ref="I314">INDEX(Changed!$I:$I,ROW())&amp;IF(Changed!$I314&gt;Base!$I314,"↑",IF(Changed!$I314&lt;Base!$I314," ↓",""))</f>
        <v>50</v>
      </c>
      <c r="J314" s="7" t="str" cm="1">
        <f t="array" ref="J314">INDEX(Changed!$J:$J,ROW())&amp;IF(Changed!$J314&gt;Base!$J314,"↑",IF(Changed!$J314&lt;Base!$J314," ↓",""))</f>
        <v>100</v>
      </c>
      <c r="K314" s="7" t="str" cm="1">
        <f t="array" ref="K314">INDEX(Changed!$K:$K,ROW())&amp;IF(Changed!$K314&gt;Base!$K314,"↑",IF(Changed!$K314&lt;Base!$K314," ↓",""))</f>
        <v>95</v>
      </c>
      <c r="L314" s="7" t="str" cm="1">
        <f t="array" ref="L314">INDEX(Changed!$L:$L,ROW())&amp;IF(Changed!$L314&gt;Base!$L314,"↑",IF(Changed!$L314&lt;Base!$L314," ↓",""))</f>
        <v>70</v>
      </c>
      <c r="M314" s="7" t="str" cm="1">
        <f t="array" ref="M314">INDEX(Changed!$M:$M,ROW())&amp;IF(Changed!$M314&gt;Base!$M314,"↑",IF(Changed!$M314&lt;Base!$M314," ↓",""))</f>
        <v>65</v>
      </c>
      <c r="N314" s="19">
        <f>Changed!G314-Base!G314</f>
        <v>0</v>
      </c>
    </row>
    <row r="315" spans="1:14" ht="15.75" customHeight="1" x14ac:dyDescent="0.2">
      <c r="A315" s="4">
        <v>314</v>
      </c>
      <c r="B315" s="5" t="s">
        <v>315</v>
      </c>
      <c r="C315" s="6" t="str">
        <f>IF(Changed!C315&lt;&gt;"", Changed!C315, "")</f>
        <v>Psychic</v>
      </c>
      <c r="D315" s="6" t="str">
        <f>IF(Changed!D315&lt;&gt;"", Changed!D315, "")</f>
        <v/>
      </c>
      <c r="E315" s="6" t="str">
        <f>IF(Changed!E315&lt;&gt;"", Changed!E315, "")</f>
        <v xml:space="preserve">Synchronize </v>
      </c>
      <c r="F315" s="6" t="str">
        <f>IF(Changed!F315&lt;&gt;"", Changed!F315, "")</f>
        <v>Trace</v>
      </c>
      <c r="G315" s="7" t="str" cm="1">
        <f t="array" ref="G315">INDEX(Changed!$G:$G,ROW())&amp;IF(Changed!$G315&gt;Base!$G315,"↑",IF(Changed!$G315&lt;Base!$G315," ↓",""))</f>
        <v>198</v>
      </c>
      <c r="H315" s="7" t="str" cm="1">
        <f t="array" ref="H315">INDEX(Changed!$H:$H,ROW())&amp;IF(Changed!$H315&gt;Base!$H315,"↑",IF(Changed!$H315&lt;Base!$H315," ↓",""))</f>
        <v>28</v>
      </c>
      <c r="I315" s="7" t="str" cm="1">
        <f t="array" ref="I315">INDEX(Changed!$I:$I,ROW())&amp;IF(Changed!$I315&gt;Base!$I315,"↑",IF(Changed!$I315&lt;Base!$I315," ↓",""))</f>
        <v>25</v>
      </c>
      <c r="J315" s="7" t="str" cm="1">
        <f t="array" ref="J315">INDEX(Changed!$J:$J,ROW())&amp;IF(Changed!$J315&gt;Base!$J315,"↑",IF(Changed!$J315&lt;Base!$J315," ↓",""))</f>
        <v>25</v>
      </c>
      <c r="K315" s="7" t="str" cm="1">
        <f t="array" ref="K315">INDEX(Changed!$K:$K,ROW())&amp;IF(Changed!$K315&gt;Base!$K315,"↑",IF(Changed!$K315&lt;Base!$K315," ↓",""))</f>
        <v>45</v>
      </c>
      <c r="L315" s="7" t="str" cm="1">
        <f t="array" ref="L315">INDEX(Changed!$L:$L,ROW())&amp;IF(Changed!$L315&gt;Base!$L315,"↑",IF(Changed!$L315&lt;Base!$L315," ↓",""))</f>
        <v>35</v>
      </c>
      <c r="M315" s="7" t="str" cm="1">
        <f t="array" ref="M315">INDEX(Changed!$M:$M,ROW())&amp;IF(Changed!$M315&gt;Base!$M315,"↑",IF(Changed!$M315&lt;Base!$M315," ↓",""))</f>
        <v>40</v>
      </c>
      <c r="N315" s="19">
        <f>Changed!G315-Base!G315</f>
        <v>0</v>
      </c>
    </row>
    <row r="316" spans="1:14" ht="15.75" customHeight="1" x14ac:dyDescent="0.2">
      <c r="A316" s="4">
        <v>315</v>
      </c>
      <c r="B316" s="5" t="s">
        <v>316</v>
      </c>
      <c r="C316" s="6" t="str">
        <f>IF(Changed!C316&lt;&gt;"", Changed!C316, "")</f>
        <v>Psychic</v>
      </c>
      <c r="D316" s="6" t="str">
        <f>IF(Changed!D316&lt;&gt;"", Changed!D316, "")</f>
        <v/>
      </c>
      <c r="E316" s="6" t="str">
        <f>IF(Changed!E316&lt;&gt;"", Changed!E316, "")</f>
        <v xml:space="preserve">Synchronize </v>
      </c>
      <c r="F316" s="6" t="str">
        <f>IF(Changed!F316&lt;&gt;"", Changed!F316, "")</f>
        <v>Trace</v>
      </c>
      <c r="G316" s="7" t="str" cm="1">
        <f t="array" ref="G316">INDEX(Changed!$G:$G,ROW())&amp;IF(Changed!$G316&gt;Base!$G316,"↑",IF(Changed!$G316&lt;Base!$G316," ↓",""))</f>
        <v>278</v>
      </c>
      <c r="H316" s="7" t="str" cm="1">
        <f t="array" ref="H316">INDEX(Changed!$H:$H,ROW())&amp;IF(Changed!$H316&gt;Base!$H316,"↑",IF(Changed!$H316&lt;Base!$H316," ↓",""))</f>
        <v>38</v>
      </c>
      <c r="I316" s="7" t="str" cm="1">
        <f t="array" ref="I316">INDEX(Changed!$I:$I,ROW())&amp;IF(Changed!$I316&gt;Base!$I316,"↑",IF(Changed!$I316&lt;Base!$I316," ↓",""))</f>
        <v>35</v>
      </c>
      <c r="J316" s="7" t="str" cm="1">
        <f t="array" ref="J316">INDEX(Changed!$J:$J,ROW())&amp;IF(Changed!$J316&gt;Base!$J316,"↑",IF(Changed!$J316&lt;Base!$J316," ↓",""))</f>
        <v>35</v>
      </c>
      <c r="K316" s="7" t="str" cm="1">
        <f t="array" ref="K316">INDEX(Changed!$K:$K,ROW())&amp;IF(Changed!$K316&gt;Base!$K316,"↑",IF(Changed!$K316&lt;Base!$K316," ↓",""))</f>
        <v>65</v>
      </c>
      <c r="L316" s="7" t="str" cm="1">
        <f t="array" ref="L316">INDEX(Changed!$L:$L,ROW())&amp;IF(Changed!$L316&gt;Base!$L316,"↑",IF(Changed!$L316&lt;Base!$L316," ↓",""))</f>
        <v>55</v>
      </c>
      <c r="M316" s="7" t="str" cm="1">
        <f t="array" ref="M316">INDEX(Changed!$M:$M,ROW())&amp;IF(Changed!$M316&gt;Base!$M316,"↑",IF(Changed!$M316&lt;Base!$M316," ↓",""))</f>
        <v>50</v>
      </c>
      <c r="N316" s="19">
        <f>Changed!G316-Base!G316</f>
        <v>0</v>
      </c>
    </row>
    <row r="317" spans="1:14" ht="15.75" customHeight="1" x14ac:dyDescent="0.2">
      <c r="A317" s="4">
        <v>316</v>
      </c>
      <c r="B317" s="5" t="s">
        <v>317</v>
      </c>
      <c r="C317" s="6" t="str">
        <f>IF(Changed!C317&lt;&gt;"", Changed!C317, "")</f>
        <v>Psychic</v>
      </c>
      <c r="D317" s="6" t="str">
        <f>IF(Changed!D317&lt;&gt;"", Changed!D317, "")</f>
        <v/>
      </c>
      <c r="E317" s="6" t="str">
        <f>IF(Changed!E317&lt;&gt;"", Changed!E317, "")</f>
        <v xml:space="preserve">Synchronize </v>
      </c>
      <c r="F317" s="6" t="str">
        <f>IF(Changed!F317&lt;&gt;"", Changed!F317, "")</f>
        <v>Trace</v>
      </c>
      <c r="G317" s="7" t="str" cm="1">
        <f t="array" ref="G317">INDEX(Changed!$G:$G,ROW())&amp;IF(Changed!$G317&gt;Base!$G317,"↑",IF(Changed!$G317&lt;Base!$G317," ↓",""))</f>
        <v>518</v>
      </c>
      <c r="H317" s="7" t="str" cm="1">
        <f t="array" ref="H317">INDEX(Changed!$H:$H,ROW())&amp;IF(Changed!$H317&gt;Base!$H317,"↑",IF(Changed!$H317&lt;Base!$H317," ↓",""))</f>
        <v>68</v>
      </c>
      <c r="I317" s="7" t="str" cm="1">
        <f t="array" ref="I317">INDEX(Changed!$I:$I,ROW())&amp;IF(Changed!$I317&gt;Base!$I317,"↑",IF(Changed!$I317&lt;Base!$I317," ↓",""))</f>
        <v>65</v>
      </c>
      <c r="J317" s="7" t="str" cm="1">
        <f t="array" ref="J317">INDEX(Changed!$J:$J,ROW())&amp;IF(Changed!$J317&gt;Base!$J317,"↑",IF(Changed!$J317&lt;Base!$J317," ↓",""))</f>
        <v>65</v>
      </c>
      <c r="K317" s="7" t="str" cm="1">
        <f t="array" ref="K317">INDEX(Changed!$K:$K,ROW())&amp;IF(Changed!$K317&gt;Base!$K317,"↑",IF(Changed!$K317&lt;Base!$K317," ↓",""))</f>
        <v>125</v>
      </c>
      <c r="L317" s="7" t="str" cm="1">
        <f t="array" ref="L317">INDEX(Changed!$L:$L,ROW())&amp;IF(Changed!$L317&gt;Base!$L317,"↑",IF(Changed!$L317&lt;Base!$L317," ↓",""))</f>
        <v>115</v>
      </c>
      <c r="M317" s="7" t="str" cm="1">
        <f t="array" ref="M317">INDEX(Changed!$M:$M,ROW())&amp;IF(Changed!$M317&gt;Base!$M317,"↑",IF(Changed!$M317&lt;Base!$M317," ↓",""))</f>
        <v>80</v>
      </c>
      <c r="N317" s="19">
        <f>Changed!G317-Base!G317</f>
        <v>0</v>
      </c>
    </row>
    <row r="318" spans="1:14" ht="15.75" customHeight="1" x14ac:dyDescent="0.2">
      <c r="A318" s="4">
        <v>317</v>
      </c>
      <c r="B318" s="5" t="s">
        <v>510</v>
      </c>
      <c r="C318" s="6" t="str">
        <f>IF(Changed!C318&lt;&gt;"", Changed!C318, "")</f>
        <v>Psychic</v>
      </c>
      <c r="D318" s="6" t="str">
        <f>IF(Changed!D318&lt;&gt;"", Changed!D318, "")</f>
        <v>Fighting</v>
      </c>
      <c r="E318" s="6" t="str">
        <f>IF(Changed!E318&lt;&gt;"", Changed!E318, "")</f>
        <v>Steadfast</v>
      </c>
      <c r="F318" s="6" t="str">
        <f>IF(Changed!F318&lt;&gt;"", Changed!F318, "")</f>
        <v>Sharpness</v>
      </c>
      <c r="G318" s="7" t="str" cm="1">
        <f t="array" ref="G318">INDEX(Changed!$G:$G,ROW())&amp;IF(Changed!$G318&gt;Base!$G318,"↑",IF(Changed!$G318&lt;Base!$G318," ↓",""))</f>
        <v>518</v>
      </c>
      <c r="H318" s="7" t="str" cm="1">
        <f t="array" ref="H318">INDEX(Changed!$H:$H,ROW())&amp;IF(Changed!$H318&gt;Base!$H318,"↑",IF(Changed!$H318&lt;Base!$H318," ↓",""))</f>
        <v>68</v>
      </c>
      <c r="I318" s="7" t="str" cm="1">
        <f t="array" ref="I318">INDEX(Changed!$I:$I,ROW())&amp;IF(Changed!$I318&gt;Base!$I318,"↑",IF(Changed!$I318&lt;Base!$I318," ↓",""))</f>
        <v>125</v>
      </c>
      <c r="J318" s="7" t="str" cm="1">
        <f t="array" ref="J318">INDEX(Changed!$J:$J,ROW())&amp;IF(Changed!$J318&gt;Base!$J318,"↑",IF(Changed!$J318&lt;Base!$J318," ↓",""))</f>
        <v>65</v>
      </c>
      <c r="K318" s="7" t="str" cm="1">
        <f t="array" ref="K318">INDEX(Changed!$K:$K,ROW())&amp;IF(Changed!$K318&gt;Base!$K318,"↑",IF(Changed!$K318&lt;Base!$K318," ↓",""))</f>
        <v>65</v>
      </c>
      <c r="L318" s="7" t="str" cm="1">
        <f t="array" ref="L318">INDEX(Changed!$L:$L,ROW())&amp;IF(Changed!$L318&gt;Base!$L318,"↑",IF(Changed!$L318&lt;Base!$L318," ↓",""))</f>
        <v>115</v>
      </c>
      <c r="M318" s="7" t="str" cm="1">
        <f t="array" ref="M318">INDEX(Changed!$M:$M,ROW())&amp;IF(Changed!$M318&gt;Base!$M318,"↑",IF(Changed!$M318&lt;Base!$M318," ↓",""))</f>
        <v>80</v>
      </c>
      <c r="N318" s="19">
        <f>Changed!G318-Base!G318</f>
        <v>0</v>
      </c>
    </row>
    <row r="319" spans="1:14" ht="15.75" customHeight="1" x14ac:dyDescent="0.2">
      <c r="A319" s="4">
        <v>318</v>
      </c>
      <c r="B319" s="5" t="s">
        <v>318</v>
      </c>
      <c r="C319" s="6" t="str">
        <f>IF(Changed!C319&lt;&gt;"", Changed!C319, "")</f>
        <v>Bug</v>
      </c>
      <c r="D319" s="6" t="str">
        <f>IF(Changed!D319&lt;&gt;"", Changed!D319, "")</f>
        <v>Water</v>
      </c>
      <c r="E319" s="6" t="str">
        <f>IF(Changed!E319&lt;&gt;"", Changed!E319, "")</f>
        <v>Swift Swim</v>
      </c>
      <c r="F319" s="6" t="str">
        <f>IF(Changed!F319&lt;&gt;"", Changed!F319, "")</f>
        <v>Water Bubble</v>
      </c>
      <c r="G319" s="7" t="str" cm="1">
        <f t="array" ref="G319">INDEX(Changed!$G:$G,ROW())&amp;IF(Changed!$G319&gt;Base!$G319,"↑",IF(Changed!$G319&lt;Base!$G319," ↓",""))</f>
        <v>269</v>
      </c>
      <c r="H319" s="7" t="str" cm="1">
        <f t="array" ref="H319">INDEX(Changed!$H:$H,ROW())&amp;IF(Changed!$H319&gt;Base!$H319,"↑",IF(Changed!$H319&lt;Base!$H319," ↓",""))</f>
        <v>40</v>
      </c>
      <c r="I319" s="7" t="str" cm="1">
        <f t="array" ref="I319">INDEX(Changed!$I:$I,ROW())&amp;IF(Changed!$I319&gt;Base!$I319,"↑",IF(Changed!$I319&lt;Base!$I319," ↓",""))</f>
        <v>30</v>
      </c>
      <c r="J319" s="7" t="str" cm="1">
        <f t="array" ref="J319">INDEX(Changed!$J:$J,ROW())&amp;IF(Changed!$J319&gt;Base!$J319,"↑",IF(Changed!$J319&lt;Base!$J319," ↓",""))</f>
        <v>32</v>
      </c>
      <c r="K319" s="7" t="str" cm="1">
        <f t="array" ref="K319">INDEX(Changed!$K:$K,ROW())&amp;IF(Changed!$K319&gt;Base!$K319,"↑",IF(Changed!$K319&lt;Base!$K319," ↓",""))</f>
        <v>50</v>
      </c>
      <c r="L319" s="7" t="str" cm="1">
        <f t="array" ref="L319">INDEX(Changed!$L:$L,ROW())&amp;IF(Changed!$L319&gt;Base!$L319,"↑",IF(Changed!$L319&lt;Base!$L319," ↓",""))</f>
        <v>52</v>
      </c>
      <c r="M319" s="7" t="str" cm="1">
        <f t="array" ref="M319">INDEX(Changed!$M:$M,ROW())&amp;IF(Changed!$M319&gt;Base!$M319,"↑",IF(Changed!$M319&lt;Base!$M319," ↓",""))</f>
        <v>65</v>
      </c>
      <c r="N319" s="19">
        <f>Changed!G319-Base!G319</f>
        <v>0</v>
      </c>
    </row>
    <row r="320" spans="1:14" ht="15.75" customHeight="1" x14ac:dyDescent="0.2">
      <c r="A320" s="4">
        <v>319</v>
      </c>
      <c r="B320" s="5" t="s">
        <v>319</v>
      </c>
      <c r="C320" s="6" t="str">
        <f>IF(Changed!C320&lt;&gt;"", Changed!C320, "")</f>
        <v>Bug</v>
      </c>
      <c r="D320" s="6" t="str">
        <f>IF(Changed!D320&lt;&gt;"", Changed!D320, "")</f>
        <v>Water</v>
      </c>
      <c r="E320" s="6" t="str">
        <f>IF(Changed!E320&lt;&gt;"", Changed!E320, "")</f>
        <v xml:space="preserve">Intimidate </v>
      </c>
      <c r="F320" s="6" t="str">
        <f>IF(Changed!F320&lt;&gt;"", Changed!F320, "")</f>
        <v>Water Bubble</v>
      </c>
      <c r="G320" s="7" t="str" cm="1">
        <f t="array" ref="G320">INDEX(Changed!$G:$G,ROW())&amp;IF(Changed!$G320&gt;Base!$G320,"↑",IF(Changed!$G320&lt;Base!$G320," ↓",""))</f>
        <v>454</v>
      </c>
      <c r="H320" s="7" t="str" cm="1">
        <f t="array" ref="H320">INDEX(Changed!$H:$H,ROW())&amp;IF(Changed!$H320&gt;Base!$H320,"↑",IF(Changed!$H320&lt;Base!$H320," ↓",""))</f>
        <v>70</v>
      </c>
      <c r="I320" s="7" t="str" cm="1">
        <f t="array" ref="I320">INDEX(Changed!$I:$I,ROW())&amp;IF(Changed!$I320&gt;Base!$I320,"↑",IF(Changed!$I320&lt;Base!$I320," ↓",""))</f>
        <v>60</v>
      </c>
      <c r="J320" s="7" t="str" cm="1">
        <f t="array" ref="J320">INDEX(Changed!$J:$J,ROW())&amp;IF(Changed!$J320&gt;Base!$J320,"↑",IF(Changed!$J320&lt;Base!$J320," ↓",""))</f>
        <v>62</v>
      </c>
      <c r="K320" s="7" t="str" cm="1">
        <f t="array" ref="K320">INDEX(Changed!$K:$K,ROW())&amp;IF(Changed!$K320&gt;Base!$K320,"↑",IF(Changed!$K320&lt;Base!$K320," ↓",""))</f>
        <v>100</v>
      </c>
      <c r="L320" s="7" t="str" cm="1">
        <f t="array" ref="L320">INDEX(Changed!$L:$L,ROW())&amp;IF(Changed!$L320&gt;Base!$L320,"↑",IF(Changed!$L320&lt;Base!$L320," ↓",""))</f>
        <v>82</v>
      </c>
      <c r="M320" s="7" t="str" cm="1">
        <f t="array" ref="M320">INDEX(Changed!$M:$M,ROW())&amp;IF(Changed!$M320&gt;Base!$M320,"↑",IF(Changed!$M320&lt;Base!$M320," ↓",""))</f>
        <v>80</v>
      </c>
      <c r="N320" s="19">
        <f>Changed!G320-Base!G320</f>
        <v>0</v>
      </c>
    </row>
    <row r="321" spans="1:14" ht="15.75" customHeight="1" x14ac:dyDescent="0.2">
      <c r="A321" s="4">
        <v>320</v>
      </c>
      <c r="B321" s="5" t="s">
        <v>320</v>
      </c>
      <c r="C321" s="6" t="str">
        <f>IF(Changed!C321&lt;&gt;"", Changed!C321, "")</f>
        <v>Grass</v>
      </c>
      <c r="D321" s="6" t="str">
        <f>IF(Changed!D321&lt;&gt;"", Changed!D321, "")</f>
        <v/>
      </c>
      <c r="E321" s="6" t="str">
        <f>IF(Changed!E321&lt;&gt;"", Changed!E321, "")</f>
        <v>Effect Spore</v>
      </c>
      <c r="F321" s="6" t="str">
        <f>IF(Changed!F321&lt;&gt;"", Changed!F321, "")</f>
        <v>Poison Heal</v>
      </c>
      <c r="G321" s="7" t="str" cm="1">
        <f t="array" ref="G321">INDEX(Changed!$G:$G,ROW())&amp;IF(Changed!$G321&gt;Base!$G321,"↑",IF(Changed!$G321&lt;Base!$G321," ↓",""))</f>
        <v>295</v>
      </c>
      <c r="H321" s="7" t="str" cm="1">
        <f t="array" ref="H321">INDEX(Changed!$H:$H,ROW())&amp;IF(Changed!$H321&gt;Base!$H321,"↑",IF(Changed!$H321&lt;Base!$H321," ↓",""))</f>
        <v>60</v>
      </c>
      <c r="I321" s="7" t="str" cm="1">
        <f t="array" ref="I321">INDEX(Changed!$I:$I,ROW())&amp;IF(Changed!$I321&gt;Base!$I321,"↑",IF(Changed!$I321&lt;Base!$I321," ↓",""))</f>
        <v>40</v>
      </c>
      <c r="J321" s="7" t="str" cm="1">
        <f t="array" ref="J321">INDEX(Changed!$J:$J,ROW())&amp;IF(Changed!$J321&gt;Base!$J321,"↑",IF(Changed!$J321&lt;Base!$J321," ↓",""))</f>
        <v>60</v>
      </c>
      <c r="K321" s="7" t="str" cm="1">
        <f t="array" ref="K321">INDEX(Changed!$K:$K,ROW())&amp;IF(Changed!$K321&gt;Base!$K321,"↑",IF(Changed!$K321&lt;Base!$K321," ↓",""))</f>
        <v>40</v>
      </c>
      <c r="L321" s="7" t="str" cm="1">
        <f t="array" ref="L321">INDEX(Changed!$L:$L,ROW())&amp;IF(Changed!$L321&gt;Base!$L321,"↑",IF(Changed!$L321&lt;Base!$L321," ↓",""))</f>
        <v>60</v>
      </c>
      <c r="M321" s="7" t="str" cm="1">
        <f t="array" ref="M321">INDEX(Changed!$M:$M,ROW())&amp;IF(Changed!$M321&gt;Base!$M321,"↑",IF(Changed!$M321&lt;Base!$M321," ↓",""))</f>
        <v>35</v>
      </c>
      <c r="N321" s="19">
        <f>Changed!G321-Base!G321</f>
        <v>0</v>
      </c>
    </row>
    <row r="322" spans="1:14" ht="15.75" customHeight="1" x14ac:dyDescent="0.2">
      <c r="A322" s="4">
        <v>321</v>
      </c>
      <c r="B322" s="5" t="s">
        <v>321</v>
      </c>
      <c r="C322" s="6" t="str">
        <f>IF(Changed!C322&lt;&gt;"", Changed!C322, "")</f>
        <v>Grass</v>
      </c>
      <c r="D322" s="6" t="str">
        <f>IF(Changed!D322&lt;&gt;"", Changed!D322, "")</f>
        <v>Fighting</v>
      </c>
      <c r="E322" s="6" t="str">
        <f>IF(Changed!E322&lt;&gt;"", Changed!E322, "")</f>
        <v>Effect Spore</v>
      </c>
      <c r="F322" s="6" t="str">
        <f>IF(Changed!F322&lt;&gt;"", Changed!F322, "")</f>
        <v>Poison Heal</v>
      </c>
      <c r="G322" s="7" t="str" cm="1">
        <f t="array" ref="G322">INDEX(Changed!$G:$G,ROW())&amp;IF(Changed!$G322&gt;Base!$G322,"↑",IF(Changed!$G322&lt;Base!$G322," ↓",""))</f>
        <v>460</v>
      </c>
      <c r="H322" s="7" t="str" cm="1">
        <f t="array" ref="H322">INDEX(Changed!$H:$H,ROW())&amp;IF(Changed!$H322&gt;Base!$H322,"↑",IF(Changed!$H322&lt;Base!$H322," ↓",""))</f>
        <v>60</v>
      </c>
      <c r="I322" s="7" t="str" cm="1">
        <f t="array" ref="I322">INDEX(Changed!$I:$I,ROW())&amp;IF(Changed!$I322&gt;Base!$I322,"↑",IF(Changed!$I322&lt;Base!$I322," ↓",""))</f>
        <v>130</v>
      </c>
      <c r="J322" s="7" t="str" cm="1">
        <f t="array" ref="J322">INDEX(Changed!$J:$J,ROW())&amp;IF(Changed!$J322&gt;Base!$J322,"↑",IF(Changed!$J322&lt;Base!$J322," ↓",""))</f>
        <v>80</v>
      </c>
      <c r="K322" s="7" t="str" cm="1">
        <f t="array" ref="K322">INDEX(Changed!$K:$K,ROW())&amp;IF(Changed!$K322&gt;Base!$K322,"↑",IF(Changed!$K322&lt;Base!$K322," ↓",""))</f>
        <v>60</v>
      </c>
      <c r="L322" s="7" t="str" cm="1">
        <f t="array" ref="L322">INDEX(Changed!$L:$L,ROW())&amp;IF(Changed!$L322&gt;Base!$L322,"↑",IF(Changed!$L322&lt;Base!$L322," ↓",""))</f>
        <v>60</v>
      </c>
      <c r="M322" s="7" t="str" cm="1">
        <f t="array" ref="M322">INDEX(Changed!$M:$M,ROW())&amp;IF(Changed!$M322&gt;Base!$M322,"↑",IF(Changed!$M322&lt;Base!$M322," ↓",""))</f>
        <v>70</v>
      </c>
      <c r="N322" s="19">
        <f>Changed!G322-Base!G322</f>
        <v>0</v>
      </c>
    </row>
    <row r="323" spans="1:14" ht="15.75" customHeight="1" x14ac:dyDescent="0.2">
      <c r="A323" s="4">
        <v>322</v>
      </c>
      <c r="B323" s="5" t="s">
        <v>322</v>
      </c>
      <c r="C323" s="6" t="str">
        <f>IF(Changed!C323&lt;&gt;"", Changed!C323, "")</f>
        <v>Normal</v>
      </c>
      <c r="D323" s="6" t="str">
        <f>IF(Changed!D323&lt;&gt;"", Changed!D323, "")</f>
        <v/>
      </c>
      <c r="E323" s="6" t="str">
        <f>IF(Changed!E323&lt;&gt;"", Changed!E323, "")</f>
        <v>Truant</v>
      </c>
      <c r="F323" s="6" t="str">
        <f>IF(Changed!F323&lt;&gt;"", Changed!F323, "")</f>
        <v>Stall</v>
      </c>
      <c r="G323" s="7" t="str" cm="1">
        <f t="array" ref="G323">INDEX(Changed!$G:$G,ROW())&amp;IF(Changed!$G323&gt;Base!$G323,"↑",IF(Changed!$G323&lt;Base!$G323," ↓",""))</f>
        <v>280</v>
      </c>
      <c r="H323" s="7" t="str" cm="1">
        <f t="array" ref="H323">INDEX(Changed!$H:$H,ROW())&amp;IF(Changed!$H323&gt;Base!$H323,"↑",IF(Changed!$H323&lt;Base!$H323," ↓",""))</f>
        <v>60</v>
      </c>
      <c r="I323" s="7" t="str" cm="1">
        <f t="array" ref="I323">INDEX(Changed!$I:$I,ROW())&amp;IF(Changed!$I323&gt;Base!$I323,"↑",IF(Changed!$I323&lt;Base!$I323," ↓",""))</f>
        <v>60</v>
      </c>
      <c r="J323" s="7" t="str" cm="1">
        <f t="array" ref="J323">INDEX(Changed!$J:$J,ROW())&amp;IF(Changed!$J323&gt;Base!$J323,"↑",IF(Changed!$J323&lt;Base!$J323," ↓",""))</f>
        <v>60</v>
      </c>
      <c r="K323" s="7" t="str" cm="1">
        <f t="array" ref="K323">INDEX(Changed!$K:$K,ROW())&amp;IF(Changed!$K323&gt;Base!$K323,"↑",IF(Changed!$K323&lt;Base!$K323," ↓",""))</f>
        <v>35</v>
      </c>
      <c r="L323" s="7" t="str" cm="1">
        <f t="array" ref="L323">INDEX(Changed!$L:$L,ROW())&amp;IF(Changed!$L323&gt;Base!$L323,"↑",IF(Changed!$L323&lt;Base!$L323," ↓",""))</f>
        <v>35</v>
      </c>
      <c r="M323" s="7" t="str" cm="1">
        <f t="array" ref="M323">INDEX(Changed!$M:$M,ROW())&amp;IF(Changed!$M323&gt;Base!$M323,"↑",IF(Changed!$M323&lt;Base!$M323," ↓",""))</f>
        <v>30</v>
      </c>
      <c r="N323" s="19">
        <f>Changed!G323-Base!G323</f>
        <v>0</v>
      </c>
    </row>
    <row r="324" spans="1:14" ht="15.75" customHeight="1" x14ac:dyDescent="0.2">
      <c r="A324" s="4">
        <v>323</v>
      </c>
      <c r="B324" s="5" t="s">
        <v>323</v>
      </c>
      <c r="C324" s="6" t="str">
        <f>IF(Changed!C324&lt;&gt;"", Changed!C324, "")</f>
        <v>Normal</v>
      </c>
      <c r="D324" s="6" t="str">
        <f>IF(Changed!D324&lt;&gt;"", Changed!D324, "")</f>
        <v/>
      </c>
      <c r="E324" s="6" t="str">
        <f>IF(Changed!E324&lt;&gt;"", Changed!E324, "")</f>
        <v>Vital Spirit</v>
      </c>
      <c r="F324" s="6" t="str">
        <f>IF(Changed!F324&lt;&gt;"", Changed!F324, "")</f>
        <v>Vital Spirit</v>
      </c>
      <c r="G324" s="7" t="str" cm="1">
        <f t="array" ref="G324">INDEX(Changed!$G:$G,ROW())&amp;IF(Changed!$G324&gt;Base!$G324,"↑",IF(Changed!$G324&lt;Base!$G324," ↓",""))</f>
        <v>440</v>
      </c>
      <c r="H324" s="7" t="str" cm="1">
        <f t="array" ref="H324">INDEX(Changed!$H:$H,ROW())&amp;IF(Changed!$H324&gt;Base!$H324,"↑",IF(Changed!$H324&lt;Base!$H324," ↓",""))</f>
        <v>80</v>
      </c>
      <c r="I324" s="7" t="str" cm="1">
        <f t="array" ref="I324">INDEX(Changed!$I:$I,ROW())&amp;IF(Changed!$I324&gt;Base!$I324,"↑",IF(Changed!$I324&lt;Base!$I324," ↓",""))</f>
        <v>80</v>
      </c>
      <c r="J324" s="7" t="str" cm="1">
        <f t="array" ref="J324">INDEX(Changed!$J:$J,ROW())&amp;IF(Changed!$J324&gt;Base!$J324,"↑",IF(Changed!$J324&lt;Base!$J324," ↓",""))</f>
        <v>80</v>
      </c>
      <c r="K324" s="7" t="str" cm="1">
        <f t="array" ref="K324">INDEX(Changed!$K:$K,ROW())&amp;IF(Changed!$K324&gt;Base!$K324,"↑",IF(Changed!$K324&lt;Base!$K324," ↓",""))</f>
        <v>55</v>
      </c>
      <c r="L324" s="7" t="str" cm="1">
        <f t="array" ref="L324">INDEX(Changed!$L:$L,ROW())&amp;IF(Changed!$L324&gt;Base!$L324,"↑",IF(Changed!$L324&lt;Base!$L324," ↓",""))</f>
        <v>55</v>
      </c>
      <c r="M324" s="7" t="str" cm="1">
        <f t="array" ref="M324">INDEX(Changed!$M:$M,ROW())&amp;IF(Changed!$M324&gt;Base!$M324,"↑",IF(Changed!$M324&lt;Base!$M324," ↓",""))</f>
        <v>90</v>
      </c>
      <c r="N324" s="19">
        <f>Changed!G324-Base!G324</f>
        <v>0</v>
      </c>
    </row>
    <row r="325" spans="1:14" ht="15.75" customHeight="1" x14ac:dyDescent="0.2">
      <c r="A325" s="4">
        <v>324</v>
      </c>
      <c r="B325" s="5" t="s">
        <v>324</v>
      </c>
      <c r="C325" s="6" t="str">
        <f>IF(Changed!C325&lt;&gt;"", Changed!C325, "")</f>
        <v>Normal</v>
      </c>
      <c r="D325" s="6" t="str">
        <f>IF(Changed!D325&lt;&gt;"", Changed!D325, "")</f>
        <v/>
      </c>
      <c r="E325" s="6" t="str">
        <f>IF(Changed!E325&lt;&gt;"", Changed!E325, "")</f>
        <v>Truant</v>
      </c>
      <c r="F325" s="6" t="str">
        <f>IF(Changed!F325&lt;&gt;"", Changed!F325, "")</f>
        <v>Stall</v>
      </c>
      <c r="G325" s="7" t="str" cm="1">
        <f t="array" ref="G325">INDEX(Changed!$G:$G,ROW())&amp;IF(Changed!$G325&gt;Base!$G325,"↑",IF(Changed!$G325&lt;Base!$G325," ↓",""))</f>
        <v>670</v>
      </c>
      <c r="H325" s="7" t="str" cm="1">
        <f t="array" ref="H325">INDEX(Changed!$H:$H,ROW())&amp;IF(Changed!$H325&gt;Base!$H325,"↑",IF(Changed!$H325&lt;Base!$H325," ↓",""))</f>
        <v>150</v>
      </c>
      <c r="I325" s="7" t="str" cm="1">
        <f t="array" ref="I325">INDEX(Changed!$I:$I,ROW())&amp;IF(Changed!$I325&gt;Base!$I325,"↑",IF(Changed!$I325&lt;Base!$I325," ↓",""))</f>
        <v>160</v>
      </c>
      <c r="J325" s="7" t="str" cm="1">
        <f t="array" ref="J325">INDEX(Changed!$J:$J,ROW())&amp;IF(Changed!$J325&gt;Base!$J325,"↑",IF(Changed!$J325&lt;Base!$J325," ↓",""))</f>
        <v>100</v>
      </c>
      <c r="K325" s="7" t="str" cm="1">
        <f t="array" ref="K325">INDEX(Changed!$K:$K,ROW())&amp;IF(Changed!$K325&gt;Base!$K325,"↑",IF(Changed!$K325&lt;Base!$K325," ↓",""))</f>
        <v>95</v>
      </c>
      <c r="L325" s="7" t="str" cm="1">
        <f t="array" ref="L325">INDEX(Changed!$L:$L,ROW())&amp;IF(Changed!$L325&gt;Base!$L325,"↑",IF(Changed!$L325&lt;Base!$L325," ↓",""))</f>
        <v>65</v>
      </c>
      <c r="M325" s="7" t="str" cm="1">
        <f t="array" ref="M325">INDEX(Changed!$M:$M,ROW())&amp;IF(Changed!$M325&gt;Base!$M325,"↑",IF(Changed!$M325&lt;Base!$M325," ↓",""))</f>
        <v>100</v>
      </c>
      <c r="N325" s="19">
        <f>Changed!G325-Base!G325</f>
        <v>0</v>
      </c>
    </row>
    <row r="326" spans="1:14" ht="15.75" customHeight="1" x14ac:dyDescent="0.2">
      <c r="A326" s="4">
        <v>325</v>
      </c>
      <c r="B326" s="5" t="s">
        <v>325</v>
      </c>
      <c r="C326" s="6" t="str">
        <f>IF(Changed!C326&lt;&gt;"", Changed!C326, "")</f>
        <v>Bug</v>
      </c>
      <c r="D326" s="6" t="str">
        <f>IF(Changed!D326&lt;&gt;"", Changed!D326, "")</f>
        <v>Ground</v>
      </c>
      <c r="E326" s="6" t="str">
        <f>IF(Changed!E326&lt;&gt;"", Changed!E326, "")</f>
        <v>Compound Eyes</v>
      </c>
      <c r="F326" s="6" t="str">
        <f>IF(Changed!F326&lt;&gt;"", Changed!F326, "")</f>
        <v/>
      </c>
      <c r="G326" s="7" t="str" cm="1">
        <f t="array" ref="G326">INDEX(Changed!$G:$G,ROW())&amp;IF(Changed!$G326&gt;Base!$G326,"↑",IF(Changed!$G326&lt;Base!$G326," ↓",""))</f>
        <v>266</v>
      </c>
      <c r="H326" s="7" t="str" cm="1">
        <f t="array" ref="H326">INDEX(Changed!$H:$H,ROW())&amp;IF(Changed!$H326&gt;Base!$H326,"↑",IF(Changed!$H326&lt;Base!$H326," ↓",""))</f>
        <v>31</v>
      </c>
      <c r="I326" s="7" t="str" cm="1">
        <f t="array" ref="I326">INDEX(Changed!$I:$I,ROW())&amp;IF(Changed!$I326&gt;Base!$I326,"↑",IF(Changed!$I326&lt;Base!$I326," ↓",""))</f>
        <v>45</v>
      </c>
      <c r="J326" s="7" t="str" cm="1">
        <f t="array" ref="J326">INDEX(Changed!$J:$J,ROW())&amp;IF(Changed!$J326&gt;Base!$J326,"↑",IF(Changed!$J326&lt;Base!$J326," ↓",""))</f>
        <v>90</v>
      </c>
      <c r="K326" s="7" t="str" cm="1">
        <f t="array" ref="K326">INDEX(Changed!$K:$K,ROW())&amp;IF(Changed!$K326&gt;Base!$K326,"↑",IF(Changed!$K326&lt;Base!$K326," ↓",""))</f>
        <v>30</v>
      </c>
      <c r="L326" s="7" t="str" cm="1">
        <f t="array" ref="L326">INDEX(Changed!$L:$L,ROW())&amp;IF(Changed!$L326&gt;Base!$L326,"↑",IF(Changed!$L326&lt;Base!$L326," ↓",""))</f>
        <v>30</v>
      </c>
      <c r="M326" s="7" t="str" cm="1">
        <f t="array" ref="M326">INDEX(Changed!$M:$M,ROW())&amp;IF(Changed!$M326&gt;Base!$M326,"↑",IF(Changed!$M326&lt;Base!$M326," ↓",""))</f>
        <v>40</v>
      </c>
      <c r="N326" s="19">
        <f>Changed!G326-Base!G326</f>
        <v>0</v>
      </c>
    </row>
    <row r="327" spans="1:14" ht="15.75" customHeight="1" x14ac:dyDescent="0.2">
      <c r="A327" s="4">
        <v>326</v>
      </c>
      <c r="B327" s="5" t="s">
        <v>326</v>
      </c>
      <c r="C327" s="6" t="str">
        <f>IF(Changed!C327&lt;&gt;"", Changed!C327, "")</f>
        <v>Bug</v>
      </c>
      <c r="D327" s="6" t="str">
        <f>IF(Changed!D327&lt;&gt;"", Changed!D327, "")</f>
        <v>Flying</v>
      </c>
      <c r="E327" s="6" t="str">
        <f>IF(Changed!E327&lt;&gt;"", Changed!E327, "")</f>
        <v>Speed Boost</v>
      </c>
      <c r="F327" s="6" t="str">
        <f>IF(Changed!F327&lt;&gt;"", Changed!F327, "")</f>
        <v/>
      </c>
      <c r="G327" s="7" t="str" cm="1">
        <f t="array" ref="G327">INDEX(Changed!$G:$G,ROW())&amp;IF(Changed!$G327&gt;Base!$G327,"↑",IF(Changed!$G327&lt;Base!$G327," ↓",""))</f>
        <v>456</v>
      </c>
      <c r="H327" s="7" t="str" cm="1">
        <f t="array" ref="H327">INDEX(Changed!$H:$H,ROW())&amp;IF(Changed!$H327&gt;Base!$H327,"↑",IF(Changed!$H327&lt;Base!$H327," ↓",""))</f>
        <v>61</v>
      </c>
      <c r="I327" s="7" t="str" cm="1">
        <f t="array" ref="I327">INDEX(Changed!$I:$I,ROW())&amp;IF(Changed!$I327&gt;Base!$I327,"↑",IF(Changed!$I327&lt;Base!$I327," ↓",""))</f>
        <v>90</v>
      </c>
      <c r="J327" s="7" t="str" cm="1">
        <f t="array" ref="J327">INDEX(Changed!$J:$J,ROW())&amp;IF(Changed!$J327&gt;Base!$J327,"↑",IF(Changed!$J327&lt;Base!$J327," ↓",""))</f>
        <v>45</v>
      </c>
      <c r="K327" s="7" t="str" cm="1">
        <f t="array" ref="K327">INDEX(Changed!$K:$K,ROW())&amp;IF(Changed!$K327&gt;Base!$K327,"↑",IF(Changed!$K327&lt;Base!$K327," ↓",""))</f>
        <v>50</v>
      </c>
      <c r="L327" s="7" t="str" cm="1">
        <f t="array" ref="L327">INDEX(Changed!$L:$L,ROW())&amp;IF(Changed!$L327&gt;Base!$L327,"↑",IF(Changed!$L327&lt;Base!$L327," ↓",""))</f>
        <v>50</v>
      </c>
      <c r="M327" s="7" t="str" cm="1">
        <f t="array" ref="M327">INDEX(Changed!$M:$M,ROW())&amp;IF(Changed!$M327&gt;Base!$M327,"↑",IF(Changed!$M327&lt;Base!$M327," ↓",""))</f>
        <v>160</v>
      </c>
      <c r="N327" s="19">
        <f>Changed!G327-Base!G327</f>
        <v>0</v>
      </c>
    </row>
    <row r="328" spans="1:14" ht="15.75" customHeight="1" x14ac:dyDescent="0.2">
      <c r="A328" s="4">
        <v>327</v>
      </c>
      <c r="B328" s="5" t="s">
        <v>327</v>
      </c>
      <c r="C328" s="6" t="str">
        <f>IF(Changed!C328&lt;&gt;"", Changed!C328, "")</f>
        <v>Bug</v>
      </c>
      <c r="D328" s="6" t="str">
        <f>IF(Changed!D328&lt;&gt;"", Changed!D328, "")</f>
        <v>Ghost</v>
      </c>
      <c r="E328" s="6" t="str">
        <f>IF(Changed!E328&lt;&gt;"", Changed!E328, "")</f>
        <v>Wonder Guard</v>
      </c>
      <c r="F328" s="6" t="str">
        <f>IF(Changed!F328&lt;&gt;"", Changed!F328, "")</f>
        <v/>
      </c>
      <c r="G328" s="7" t="str" cm="1">
        <f t="array" ref="G328">INDEX(Changed!$G:$G,ROW())&amp;IF(Changed!$G328&gt;Base!$G328,"↑",IF(Changed!$G328&lt;Base!$G328," ↓",""))</f>
        <v>236</v>
      </c>
      <c r="H328" s="7" t="str" cm="1">
        <f t="array" ref="H328">INDEX(Changed!$H:$H,ROW())&amp;IF(Changed!$H328&gt;Base!$H328,"↑",IF(Changed!$H328&lt;Base!$H328," ↓",""))</f>
        <v>1</v>
      </c>
      <c r="I328" s="7" t="str" cm="1">
        <f t="array" ref="I328">INDEX(Changed!$I:$I,ROW())&amp;IF(Changed!$I328&gt;Base!$I328,"↑",IF(Changed!$I328&lt;Base!$I328," ↓",""))</f>
        <v>90</v>
      </c>
      <c r="J328" s="7" t="str" cm="1">
        <f t="array" ref="J328">INDEX(Changed!$J:$J,ROW())&amp;IF(Changed!$J328&gt;Base!$J328,"↑",IF(Changed!$J328&lt;Base!$J328," ↓",""))</f>
        <v>45</v>
      </c>
      <c r="K328" s="7" t="str" cm="1">
        <f t="array" ref="K328">INDEX(Changed!$K:$K,ROW())&amp;IF(Changed!$K328&gt;Base!$K328,"↑",IF(Changed!$K328&lt;Base!$K328," ↓",""))</f>
        <v>30</v>
      </c>
      <c r="L328" s="7" t="str" cm="1">
        <f t="array" ref="L328">INDEX(Changed!$L:$L,ROW())&amp;IF(Changed!$L328&gt;Base!$L328,"↑",IF(Changed!$L328&lt;Base!$L328," ↓",""))</f>
        <v>30</v>
      </c>
      <c r="M328" s="7" t="str" cm="1">
        <f t="array" ref="M328">INDEX(Changed!$M:$M,ROW())&amp;IF(Changed!$M328&gt;Base!$M328,"↑",IF(Changed!$M328&lt;Base!$M328," ↓",""))</f>
        <v>40</v>
      </c>
      <c r="N328" s="19">
        <f>Changed!G328-Base!G328</f>
        <v>0</v>
      </c>
    </row>
    <row r="329" spans="1:14" ht="15.75" customHeight="1" x14ac:dyDescent="0.2">
      <c r="A329" s="4">
        <v>328</v>
      </c>
      <c r="B329" s="5" t="s">
        <v>328</v>
      </c>
      <c r="C329" s="6" t="str">
        <f>IF(Changed!C329&lt;&gt;"", Changed!C329, "")</f>
        <v>Normal</v>
      </c>
      <c r="D329" s="6" t="str">
        <f>IF(Changed!D329&lt;&gt;"", Changed!D329, "")</f>
        <v/>
      </c>
      <c r="E329" s="6" t="str">
        <f>IF(Changed!E329&lt;&gt;"", Changed!E329, "")</f>
        <v>Soundproof</v>
      </c>
      <c r="F329" s="6" t="str">
        <f>IF(Changed!F329&lt;&gt;"", Changed!F329, "")</f>
        <v>Punk Rock</v>
      </c>
      <c r="G329" s="7" t="str" cm="1">
        <f t="array" ref="G329">INDEX(Changed!$G:$G,ROW())&amp;IF(Changed!$G329&gt;Base!$G329,"↑",IF(Changed!$G329&lt;Base!$G329," ↓",""))</f>
        <v>240</v>
      </c>
      <c r="H329" s="7" t="str" cm="1">
        <f t="array" ref="H329">INDEX(Changed!$H:$H,ROW())&amp;IF(Changed!$H329&gt;Base!$H329,"↑",IF(Changed!$H329&lt;Base!$H329," ↓",""))</f>
        <v>64</v>
      </c>
      <c r="I329" s="7" t="str" cm="1">
        <f t="array" ref="I329">INDEX(Changed!$I:$I,ROW())&amp;IF(Changed!$I329&gt;Base!$I329,"↑",IF(Changed!$I329&lt;Base!$I329," ↓",""))</f>
        <v>51</v>
      </c>
      <c r="J329" s="7" t="str" cm="1">
        <f t="array" ref="J329">INDEX(Changed!$J:$J,ROW())&amp;IF(Changed!$J329&gt;Base!$J329,"↑",IF(Changed!$J329&lt;Base!$J329," ↓",""))</f>
        <v>23</v>
      </c>
      <c r="K329" s="7" t="str" cm="1">
        <f t="array" ref="K329">INDEX(Changed!$K:$K,ROW())&amp;IF(Changed!$K329&gt;Base!$K329,"↑",IF(Changed!$K329&lt;Base!$K329," ↓",""))</f>
        <v>51</v>
      </c>
      <c r="L329" s="7" t="str" cm="1">
        <f t="array" ref="L329">INDEX(Changed!$L:$L,ROW())&amp;IF(Changed!$L329&gt;Base!$L329,"↑",IF(Changed!$L329&lt;Base!$L329," ↓",""))</f>
        <v>23</v>
      </c>
      <c r="M329" s="7" t="str" cm="1">
        <f t="array" ref="M329">INDEX(Changed!$M:$M,ROW())&amp;IF(Changed!$M329&gt;Base!$M329,"↑",IF(Changed!$M329&lt;Base!$M329," ↓",""))</f>
        <v>28</v>
      </c>
      <c r="N329" s="19">
        <f>Changed!G329-Base!G329</f>
        <v>0</v>
      </c>
    </row>
    <row r="330" spans="1:14" ht="15.75" customHeight="1" x14ac:dyDescent="0.2">
      <c r="A330" s="4">
        <v>329</v>
      </c>
      <c r="B330" s="5" t="s">
        <v>329</v>
      </c>
      <c r="C330" s="6" t="str">
        <f>IF(Changed!C330&lt;&gt;"", Changed!C330, "")</f>
        <v>Normal</v>
      </c>
      <c r="D330" s="6" t="str">
        <f>IF(Changed!D330&lt;&gt;"", Changed!D330, "")</f>
        <v>Steel</v>
      </c>
      <c r="E330" s="6" t="str">
        <f>IF(Changed!E330&lt;&gt;"", Changed!E330, "")</f>
        <v>Soundproof</v>
      </c>
      <c r="F330" s="6" t="str">
        <f>IF(Changed!F330&lt;&gt;"", Changed!F330, "")</f>
        <v>Punk Rock</v>
      </c>
      <c r="G330" s="7" t="str" cm="1">
        <f t="array" ref="G330">INDEX(Changed!$G:$G,ROW())&amp;IF(Changed!$G330&gt;Base!$G330,"↑",IF(Changed!$G330&lt;Base!$G330," ↓",""))</f>
        <v>360</v>
      </c>
      <c r="H330" s="7" t="str" cm="1">
        <f t="array" ref="H330">INDEX(Changed!$H:$H,ROW())&amp;IF(Changed!$H330&gt;Base!$H330,"↑",IF(Changed!$H330&lt;Base!$H330," ↓",""))</f>
        <v>84</v>
      </c>
      <c r="I330" s="7" t="str" cm="1">
        <f t="array" ref="I330">INDEX(Changed!$I:$I,ROW())&amp;IF(Changed!$I330&gt;Base!$I330,"↑",IF(Changed!$I330&lt;Base!$I330," ↓",""))</f>
        <v>71</v>
      </c>
      <c r="J330" s="7" t="str" cm="1">
        <f t="array" ref="J330">INDEX(Changed!$J:$J,ROW())&amp;IF(Changed!$J330&gt;Base!$J330,"↑",IF(Changed!$J330&lt;Base!$J330," ↓",""))</f>
        <v>43</v>
      </c>
      <c r="K330" s="7" t="str" cm="1">
        <f t="array" ref="K330">INDEX(Changed!$K:$K,ROW())&amp;IF(Changed!$K330&gt;Base!$K330,"↑",IF(Changed!$K330&lt;Base!$K330," ↓",""))</f>
        <v>71</v>
      </c>
      <c r="L330" s="7" t="str" cm="1">
        <f t="array" ref="L330">INDEX(Changed!$L:$L,ROW())&amp;IF(Changed!$L330&gt;Base!$L330,"↑",IF(Changed!$L330&lt;Base!$L330," ↓",""))</f>
        <v>43</v>
      </c>
      <c r="M330" s="7" t="str" cm="1">
        <f t="array" ref="M330">INDEX(Changed!$M:$M,ROW())&amp;IF(Changed!$M330&gt;Base!$M330,"↑",IF(Changed!$M330&lt;Base!$M330," ↓",""))</f>
        <v>48</v>
      </c>
      <c r="N330" s="19">
        <f>Changed!G330-Base!G330</f>
        <v>0</v>
      </c>
    </row>
    <row r="331" spans="1:14" ht="15.75" customHeight="1" x14ac:dyDescent="0.2">
      <c r="A331" s="4">
        <v>330</v>
      </c>
      <c r="B331" s="5" t="s">
        <v>330</v>
      </c>
      <c r="C331" s="6" t="str">
        <f>IF(Changed!C331&lt;&gt;"", Changed!C331, "")</f>
        <v>Normal</v>
      </c>
      <c r="D331" s="6" t="str">
        <f>IF(Changed!D331&lt;&gt;"", Changed!D331, "")</f>
        <v>Steel</v>
      </c>
      <c r="E331" s="6" t="str">
        <f>IF(Changed!E331&lt;&gt;"", Changed!E331, "")</f>
        <v>Soundproof</v>
      </c>
      <c r="F331" s="6" t="str">
        <f>IF(Changed!F331&lt;&gt;"", Changed!F331, "")</f>
        <v>Punk Rock</v>
      </c>
      <c r="G331" s="7" t="str" cm="1">
        <f t="array" ref="G331">INDEX(Changed!$G:$G,ROW())&amp;IF(Changed!$G331&gt;Base!$G331,"↑",IF(Changed!$G331&lt;Base!$G331," ↓",""))</f>
        <v>480</v>
      </c>
      <c r="H331" s="7" t="str" cm="1">
        <f t="array" ref="H331">INDEX(Changed!$H:$H,ROW())&amp;IF(Changed!$H331&gt;Base!$H331,"↑",IF(Changed!$H331&lt;Base!$H331," ↓",""))</f>
        <v>104</v>
      </c>
      <c r="I331" s="7" t="str" cm="1">
        <f t="array" ref="I331">INDEX(Changed!$I:$I,ROW())&amp;IF(Changed!$I331&gt;Base!$I331,"↑",IF(Changed!$I331&lt;Base!$I331," ↓",""))</f>
        <v>91</v>
      </c>
      <c r="J331" s="7" t="str" cm="1">
        <f t="array" ref="J331">INDEX(Changed!$J:$J,ROW())&amp;IF(Changed!$J331&gt;Base!$J331,"↑",IF(Changed!$J331&lt;Base!$J331," ↓",""))</f>
        <v>63</v>
      </c>
      <c r="K331" s="7" t="str" cm="1">
        <f t="array" ref="K331">INDEX(Changed!$K:$K,ROW())&amp;IF(Changed!$K331&gt;Base!$K331,"↑",IF(Changed!$K331&lt;Base!$K331," ↓",""))</f>
        <v>91</v>
      </c>
      <c r="L331" s="7" t="str" cm="1">
        <f t="array" ref="L331">INDEX(Changed!$L:$L,ROW())&amp;IF(Changed!$L331&gt;Base!$L331,"↑",IF(Changed!$L331&lt;Base!$L331," ↓",""))</f>
        <v>63</v>
      </c>
      <c r="M331" s="7" t="str" cm="1">
        <f t="array" ref="M331">INDEX(Changed!$M:$M,ROW())&amp;IF(Changed!$M331&gt;Base!$M331,"↑",IF(Changed!$M331&lt;Base!$M331," ↓",""))</f>
        <v>68</v>
      </c>
      <c r="N331" s="19">
        <f>Changed!G331-Base!G331</f>
        <v>0</v>
      </c>
    </row>
    <row r="332" spans="1:14" ht="15.75" customHeight="1" x14ac:dyDescent="0.2">
      <c r="A332" s="4">
        <v>331</v>
      </c>
      <c r="B332" s="5" t="s">
        <v>331</v>
      </c>
      <c r="C332" s="6" t="str">
        <f>IF(Changed!C332&lt;&gt;"", Changed!C332, "")</f>
        <v>Fighting</v>
      </c>
      <c r="D332" s="6" t="str">
        <f>IF(Changed!D332&lt;&gt;"", Changed!D332, "")</f>
        <v/>
      </c>
      <c r="E332" s="6" t="str">
        <f>IF(Changed!E332&lt;&gt;"", Changed!E332, "")</f>
        <v>Thick Fat</v>
      </c>
      <c r="F332" s="6" t="str">
        <f>IF(Changed!F332&lt;&gt;"", Changed!F332, "")</f>
        <v>Guts</v>
      </c>
      <c r="G332" s="7" t="str" cm="1">
        <f t="array" ref="G332">INDEX(Changed!$G:$G,ROW())&amp;IF(Changed!$G332&gt;Base!$G332,"↑",IF(Changed!$G332&lt;Base!$G332," ↓",""))</f>
        <v>237</v>
      </c>
      <c r="H332" s="7" t="str" cm="1">
        <f t="array" ref="H332">INDEX(Changed!$H:$H,ROW())&amp;IF(Changed!$H332&gt;Base!$H332,"↑",IF(Changed!$H332&lt;Base!$H332," ↓",""))</f>
        <v>72</v>
      </c>
      <c r="I332" s="7" t="str" cm="1">
        <f t="array" ref="I332">INDEX(Changed!$I:$I,ROW())&amp;IF(Changed!$I332&gt;Base!$I332,"↑",IF(Changed!$I332&lt;Base!$I332," ↓",""))</f>
        <v>60</v>
      </c>
      <c r="J332" s="7" t="str" cm="1">
        <f t="array" ref="J332">INDEX(Changed!$J:$J,ROW())&amp;IF(Changed!$J332&gt;Base!$J332,"↑",IF(Changed!$J332&lt;Base!$J332," ↓",""))</f>
        <v>30</v>
      </c>
      <c r="K332" s="7" t="str" cm="1">
        <f t="array" ref="K332">INDEX(Changed!$K:$K,ROW())&amp;IF(Changed!$K332&gt;Base!$K332,"↑",IF(Changed!$K332&lt;Base!$K332," ↓",""))</f>
        <v>20</v>
      </c>
      <c r="L332" s="7" t="str" cm="1">
        <f t="array" ref="L332">INDEX(Changed!$L:$L,ROW())&amp;IF(Changed!$L332&gt;Base!$L332,"↑",IF(Changed!$L332&lt;Base!$L332," ↓",""))</f>
        <v>30</v>
      </c>
      <c r="M332" s="7" t="str" cm="1">
        <f t="array" ref="M332">INDEX(Changed!$M:$M,ROW())&amp;IF(Changed!$M332&gt;Base!$M332,"↑",IF(Changed!$M332&lt;Base!$M332," ↓",""))</f>
        <v>25</v>
      </c>
      <c r="N332" s="19">
        <f>Changed!G332-Base!G332</f>
        <v>0</v>
      </c>
    </row>
    <row r="333" spans="1:14" ht="15.75" customHeight="1" x14ac:dyDescent="0.2">
      <c r="A333" s="4">
        <v>332</v>
      </c>
      <c r="B333" s="5" t="s">
        <v>332</v>
      </c>
      <c r="C333" s="6" t="str">
        <f>IF(Changed!C333&lt;&gt;"", Changed!C333, "")</f>
        <v>Fighting</v>
      </c>
      <c r="D333" s="6" t="str">
        <f>IF(Changed!D333&lt;&gt;"", Changed!D333, "")</f>
        <v/>
      </c>
      <c r="E333" s="6" t="str">
        <f>IF(Changed!E333&lt;&gt;"", Changed!E333, "")</f>
        <v>Thick Fat</v>
      </c>
      <c r="F333" s="6" t="str">
        <f>IF(Changed!F333&lt;&gt;"", Changed!F333, "")</f>
        <v>Guts</v>
      </c>
      <c r="G333" s="7" t="str" cm="1">
        <f t="array" ref="G333">INDEX(Changed!$G:$G,ROW())&amp;IF(Changed!$G333&gt;Base!$G333,"↑",IF(Changed!$G333&lt;Base!$G333," ↓",""))</f>
        <v>474</v>
      </c>
      <c r="H333" s="7" t="str" cm="1">
        <f t="array" ref="H333">INDEX(Changed!$H:$H,ROW())&amp;IF(Changed!$H333&gt;Base!$H333,"↑",IF(Changed!$H333&lt;Base!$H333," ↓",""))</f>
        <v>144</v>
      </c>
      <c r="I333" s="7" t="str" cm="1">
        <f t="array" ref="I333">INDEX(Changed!$I:$I,ROW())&amp;IF(Changed!$I333&gt;Base!$I333,"↑",IF(Changed!$I333&lt;Base!$I333," ↓",""))</f>
        <v>120</v>
      </c>
      <c r="J333" s="7" t="str" cm="1">
        <f t="array" ref="J333">INDEX(Changed!$J:$J,ROW())&amp;IF(Changed!$J333&gt;Base!$J333,"↑",IF(Changed!$J333&lt;Base!$J333," ↓",""))</f>
        <v>60</v>
      </c>
      <c r="K333" s="7" t="str" cm="1">
        <f t="array" ref="K333">INDEX(Changed!$K:$K,ROW())&amp;IF(Changed!$K333&gt;Base!$K333,"↑",IF(Changed!$K333&lt;Base!$K333," ↓",""))</f>
        <v>40</v>
      </c>
      <c r="L333" s="7" t="str" cm="1">
        <f t="array" ref="L333">INDEX(Changed!$L:$L,ROW())&amp;IF(Changed!$L333&gt;Base!$L333,"↑",IF(Changed!$L333&lt;Base!$L333," ↓",""))</f>
        <v>60</v>
      </c>
      <c r="M333" s="7" t="str" cm="1">
        <f t="array" ref="M333">INDEX(Changed!$M:$M,ROW())&amp;IF(Changed!$M333&gt;Base!$M333,"↑",IF(Changed!$M333&lt;Base!$M333," ↓",""))</f>
        <v>50</v>
      </c>
      <c r="N333" s="19">
        <f>Changed!G333-Base!G333</f>
        <v>0</v>
      </c>
    </row>
    <row r="334" spans="1:14" ht="15.75" customHeight="1" x14ac:dyDescent="0.2">
      <c r="A334" s="4">
        <v>333</v>
      </c>
      <c r="B334" s="5" t="s">
        <v>334</v>
      </c>
      <c r="C334" s="6" t="str">
        <f>IF(Changed!C334&lt;&gt;"", Changed!C334, "")</f>
        <v>Rock</v>
      </c>
      <c r="D334" s="6" t="str">
        <f>IF(Changed!D334&lt;&gt;"", Changed!D334, "")</f>
        <v/>
      </c>
      <c r="E334" s="6" t="str">
        <f>IF(Changed!E334&lt;&gt;"", Changed!E334, "")</f>
        <v>Sturdy</v>
      </c>
      <c r="F334" s="6" t="str">
        <f>IF(Changed!F334&lt;&gt;"", Changed!F334, "")</f>
        <v>Power Spot</v>
      </c>
      <c r="G334" s="7" t="str" cm="1">
        <f t="array" ref="G334">INDEX(Changed!$G:$G,ROW())&amp;IF(Changed!$G334&gt;Base!$G334,"↑",IF(Changed!$G334&lt;Base!$G334," ↓",""))</f>
        <v>375</v>
      </c>
      <c r="H334" s="7" t="str" cm="1">
        <f t="array" ref="H334">INDEX(Changed!$H:$H,ROW())&amp;IF(Changed!$H334&gt;Base!$H334,"↑",IF(Changed!$H334&lt;Base!$H334," ↓",""))</f>
        <v>30</v>
      </c>
      <c r="I334" s="7" t="str" cm="1">
        <f t="array" ref="I334">INDEX(Changed!$I:$I,ROW())&amp;IF(Changed!$I334&gt;Base!$I334,"↑",IF(Changed!$I334&lt;Base!$I334," ↓",""))</f>
        <v>45</v>
      </c>
      <c r="J334" s="7" t="str" cm="1">
        <f t="array" ref="J334">INDEX(Changed!$J:$J,ROW())&amp;IF(Changed!$J334&gt;Base!$J334,"↑",IF(Changed!$J334&lt;Base!$J334," ↓",""))</f>
        <v>135</v>
      </c>
      <c r="K334" s="7" t="str" cm="1">
        <f t="array" ref="K334">INDEX(Changed!$K:$K,ROW())&amp;IF(Changed!$K334&gt;Base!$K334,"↑",IF(Changed!$K334&lt;Base!$K334," ↓",""))</f>
        <v>45</v>
      </c>
      <c r="L334" s="7" t="str" cm="1">
        <f t="array" ref="L334">INDEX(Changed!$L:$L,ROW())&amp;IF(Changed!$L334&gt;Base!$L334,"↑",IF(Changed!$L334&lt;Base!$L334," ↓",""))</f>
        <v>90</v>
      </c>
      <c r="M334" s="7" t="str" cm="1">
        <f t="array" ref="M334">INDEX(Changed!$M:$M,ROW())&amp;IF(Changed!$M334&gt;Base!$M334,"↑",IF(Changed!$M334&lt;Base!$M334," ↓",""))</f>
        <v>30</v>
      </c>
      <c r="N334" s="19">
        <f>Changed!G334-Base!G334</f>
        <v>0</v>
      </c>
    </row>
    <row r="335" spans="1:14" ht="15.75" customHeight="1" x14ac:dyDescent="0.2">
      <c r="A335" s="4">
        <v>334</v>
      </c>
      <c r="B335" s="5" t="s">
        <v>511</v>
      </c>
      <c r="C335" s="6" t="str">
        <f>IF(Changed!C335&lt;&gt;"", Changed!C335, "")</f>
        <v>Rock</v>
      </c>
      <c r="D335" s="6" t="str">
        <f>IF(Changed!D335&lt;&gt;"", Changed!D335, "")</f>
        <v>Steel</v>
      </c>
      <c r="E335" s="6" t="str">
        <f>IF(Changed!E335&lt;&gt;"", Changed!E335, "")</f>
        <v>Levitate</v>
      </c>
      <c r="F335" s="6" t="str">
        <f>IF(Changed!F335&lt;&gt;"", Changed!F335, "")</f>
        <v>Power Spot</v>
      </c>
      <c r="G335" s="7" t="str" cm="1">
        <f t="array" ref="G335">INDEX(Changed!$G:$G,ROW())&amp;IF(Changed!$G335&gt;Base!$G335,"↑",IF(Changed!$G335&lt;Base!$G335," ↓",""))</f>
        <v>525</v>
      </c>
      <c r="H335" s="7" t="str" cm="1">
        <f t="array" ref="H335">INDEX(Changed!$H:$H,ROW())&amp;IF(Changed!$H335&gt;Base!$H335,"↑",IF(Changed!$H335&lt;Base!$H335," ↓",""))</f>
        <v>60</v>
      </c>
      <c r="I335" s="7" t="str" cm="1">
        <f t="array" ref="I335">INDEX(Changed!$I:$I,ROW())&amp;IF(Changed!$I335&gt;Base!$I335,"↑",IF(Changed!$I335&lt;Base!$I335," ↓",""))</f>
        <v>55</v>
      </c>
      <c r="J335" s="7" t="str" cm="1">
        <f t="array" ref="J335">INDEX(Changed!$J:$J,ROW())&amp;IF(Changed!$J335&gt;Base!$J335,"↑",IF(Changed!$J335&lt;Base!$J335," ↓",""))</f>
        <v>145</v>
      </c>
      <c r="K335" s="7" t="str" cm="1">
        <f t="array" ref="K335">INDEX(Changed!$K:$K,ROW())&amp;IF(Changed!$K335&gt;Base!$K335,"↑",IF(Changed!$K335&lt;Base!$K335," ↓",""))</f>
        <v>75</v>
      </c>
      <c r="L335" s="7" t="str" cm="1">
        <f t="array" ref="L335">INDEX(Changed!$L:$L,ROW())&amp;IF(Changed!$L335&gt;Base!$L335,"↑",IF(Changed!$L335&lt;Base!$L335," ↓",""))</f>
        <v>150</v>
      </c>
      <c r="M335" s="7" t="str" cm="1">
        <f t="array" ref="M335">INDEX(Changed!$M:$M,ROW())&amp;IF(Changed!$M335&gt;Base!$M335,"↑",IF(Changed!$M335&lt;Base!$M335," ↓",""))</f>
        <v>40</v>
      </c>
      <c r="N335" s="19">
        <f>Changed!G335-Base!G335</f>
        <v>0</v>
      </c>
    </row>
    <row r="336" spans="1:14" ht="15.75" customHeight="1" x14ac:dyDescent="0.2">
      <c r="A336" s="4">
        <v>335</v>
      </c>
      <c r="B336" s="5" t="s">
        <v>335</v>
      </c>
      <c r="C336" s="6" t="str">
        <f>IF(Changed!C336&lt;&gt;"", Changed!C336, "")</f>
        <v>Normal</v>
      </c>
      <c r="D336" s="6" t="str">
        <f>IF(Changed!D336&lt;&gt;"", Changed!D336, "")</f>
        <v/>
      </c>
      <c r="E336" s="6" t="str">
        <f>IF(Changed!E336&lt;&gt;"", Changed!E336, "")</f>
        <v>Cute Charm</v>
      </c>
      <c r="F336" s="6" t="str">
        <f>IF(Changed!F336&lt;&gt;"", Changed!F336, "")</f>
        <v>Normalize</v>
      </c>
      <c r="G336" s="7" t="str" cm="1">
        <f t="array" ref="G336">INDEX(Changed!$G:$G,ROW())&amp;IF(Changed!$G336&gt;Base!$G336,"↑",IF(Changed!$G336&lt;Base!$G336," ↓",""))</f>
        <v>260</v>
      </c>
      <c r="H336" s="7" t="str" cm="1">
        <f t="array" ref="H336">INDEX(Changed!$H:$H,ROW())&amp;IF(Changed!$H336&gt;Base!$H336,"↑",IF(Changed!$H336&lt;Base!$H336," ↓",""))</f>
        <v>50</v>
      </c>
      <c r="I336" s="7" t="str" cm="1">
        <f t="array" ref="I336">INDEX(Changed!$I:$I,ROW())&amp;IF(Changed!$I336&gt;Base!$I336,"↑",IF(Changed!$I336&lt;Base!$I336," ↓",""))</f>
        <v>45</v>
      </c>
      <c r="J336" s="7" t="str" cm="1">
        <f t="array" ref="J336">INDEX(Changed!$J:$J,ROW())&amp;IF(Changed!$J336&gt;Base!$J336,"↑",IF(Changed!$J336&lt;Base!$J336," ↓",""))</f>
        <v>45</v>
      </c>
      <c r="K336" s="7" t="str" cm="1">
        <f t="array" ref="K336">INDEX(Changed!$K:$K,ROW())&amp;IF(Changed!$K336&gt;Base!$K336,"↑",IF(Changed!$K336&lt;Base!$K336," ↓",""))</f>
        <v>35</v>
      </c>
      <c r="L336" s="7" t="str" cm="1">
        <f t="array" ref="L336">INDEX(Changed!$L:$L,ROW())&amp;IF(Changed!$L336&gt;Base!$L336,"↑",IF(Changed!$L336&lt;Base!$L336," ↓",""))</f>
        <v>35</v>
      </c>
      <c r="M336" s="7" t="str" cm="1">
        <f t="array" ref="M336">INDEX(Changed!$M:$M,ROW())&amp;IF(Changed!$M336&gt;Base!$M336,"↑",IF(Changed!$M336&lt;Base!$M336," ↓",""))</f>
        <v>50</v>
      </c>
      <c r="N336" s="19">
        <f>Changed!G336-Base!G336</f>
        <v>0</v>
      </c>
    </row>
    <row r="337" spans="1:14" ht="15.75" customHeight="1" x14ac:dyDescent="0.2">
      <c r="A337" s="4">
        <v>336</v>
      </c>
      <c r="B337" s="5" t="s">
        <v>336</v>
      </c>
      <c r="C337" s="6" t="str">
        <f>IF(Changed!C337&lt;&gt;"", Changed!C337, "")</f>
        <v>Normal</v>
      </c>
      <c r="D337" s="6" t="str">
        <f>IF(Changed!D337&lt;&gt;"", Changed!D337, "")</f>
        <v/>
      </c>
      <c r="E337" s="6" t="str">
        <f>IF(Changed!E337&lt;&gt;"", Changed!E337, "")</f>
        <v>Cute Charm</v>
      </c>
      <c r="F337" s="6" t="str">
        <f>IF(Changed!F337&lt;&gt;"", Changed!F337, "")</f>
        <v>Normalize</v>
      </c>
      <c r="G337" s="7" t="str" cm="1">
        <f t="array" ref="G337">INDEX(Changed!$G:$G,ROW())&amp;IF(Changed!$G337&gt;Base!$G337,"↑",IF(Changed!$G337&lt;Base!$G337," ↓",""))</f>
        <v>400</v>
      </c>
      <c r="H337" s="7" t="str" cm="1">
        <f t="array" ref="H337">INDEX(Changed!$H:$H,ROW())&amp;IF(Changed!$H337&gt;Base!$H337,"↑",IF(Changed!$H337&lt;Base!$H337," ↓",""))</f>
        <v>70</v>
      </c>
      <c r="I337" s="7" t="str" cm="1">
        <f t="array" ref="I337">INDEX(Changed!$I:$I,ROW())&amp;IF(Changed!$I337&gt;Base!$I337,"↑",IF(Changed!$I337&lt;Base!$I337," ↓",""))</f>
        <v>65</v>
      </c>
      <c r="J337" s="7" t="str" cm="1">
        <f t="array" ref="J337">INDEX(Changed!$J:$J,ROW())&amp;IF(Changed!$J337&gt;Base!$J337,"↑",IF(Changed!$J337&lt;Base!$J337," ↓",""))</f>
        <v>65</v>
      </c>
      <c r="K337" s="7" t="str" cm="1">
        <f t="array" ref="K337">INDEX(Changed!$K:$K,ROW())&amp;IF(Changed!$K337&gt;Base!$K337,"↑",IF(Changed!$K337&lt;Base!$K337," ↓",""))</f>
        <v>55</v>
      </c>
      <c r="L337" s="7" t="str" cm="1">
        <f t="array" ref="L337">INDEX(Changed!$L:$L,ROW())&amp;IF(Changed!$L337&gt;Base!$L337,"↑",IF(Changed!$L337&lt;Base!$L337," ↓",""))</f>
        <v>55</v>
      </c>
      <c r="M337" s="7" t="str" cm="1">
        <f t="array" ref="M337">INDEX(Changed!$M:$M,ROW())&amp;IF(Changed!$M337&gt;Base!$M337,"↑",IF(Changed!$M337&lt;Base!$M337," ↓",""))</f>
        <v>90</v>
      </c>
      <c r="N337" s="19">
        <f>Changed!G337-Base!G337</f>
        <v>0</v>
      </c>
    </row>
    <row r="338" spans="1:14" ht="15.75" customHeight="1" x14ac:dyDescent="0.2">
      <c r="A338" s="4">
        <v>337</v>
      </c>
      <c r="B338" s="5" t="s">
        <v>337</v>
      </c>
      <c r="C338" s="6" t="str">
        <f>IF(Changed!C338&lt;&gt;"", Changed!C338, "")</f>
        <v>Dark</v>
      </c>
      <c r="D338" s="6" t="str">
        <f>IF(Changed!D338&lt;&gt;"", Changed!D338, "")</f>
        <v>Ghost</v>
      </c>
      <c r="E338" s="6" t="str">
        <f>IF(Changed!E338&lt;&gt;"", Changed!E338, "")</f>
        <v>Keen Eye</v>
      </c>
      <c r="F338" s="6" t="str">
        <f>IF(Changed!F338&lt;&gt;"", Changed!F338, "")</f>
        <v>Prankster</v>
      </c>
      <c r="G338" s="7" t="str" cm="1">
        <f t="array" ref="G338">INDEX(Changed!$G:$G,ROW())&amp;IF(Changed!$G338&gt;Base!$G338,"↑",IF(Changed!$G338&lt;Base!$G338," ↓",""))</f>
        <v>380</v>
      </c>
      <c r="H338" s="7" t="str" cm="1">
        <f t="array" ref="H338">INDEX(Changed!$H:$H,ROW())&amp;IF(Changed!$H338&gt;Base!$H338,"↑",IF(Changed!$H338&lt;Base!$H338," ↓",""))</f>
        <v>50</v>
      </c>
      <c r="I338" s="7" t="str" cm="1">
        <f t="array" ref="I338">INDEX(Changed!$I:$I,ROW())&amp;IF(Changed!$I338&gt;Base!$I338,"↑",IF(Changed!$I338&lt;Base!$I338," ↓",""))</f>
        <v>75</v>
      </c>
      <c r="J338" s="7" t="str" cm="1">
        <f t="array" ref="J338">INDEX(Changed!$J:$J,ROW())&amp;IF(Changed!$J338&gt;Base!$J338,"↑",IF(Changed!$J338&lt;Base!$J338," ↓",""))</f>
        <v>75</v>
      </c>
      <c r="K338" s="7" t="str" cm="1">
        <f t="array" ref="K338">INDEX(Changed!$K:$K,ROW())&amp;IF(Changed!$K338&gt;Base!$K338,"↑",IF(Changed!$K338&lt;Base!$K338," ↓",""))</f>
        <v>65</v>
      </c>
      <c r="L338" s="7" t="str" cm="1">
        <f t="array" ref="L338">INDEX(Changed!$L:$L,ROW())&amp;IF(Changed!$L338&gt;Base!$L338,"↑",IF(Changed!$L338&lt;Base!$L338," ↓",""))</f>
        <v>65</v>
      </c>
      <c r="M338" s="7" t="str" cm="1">
        <f t="array" ref="M338">INDEX(Changed!$M:$M,ROW())&amp;IF(Changed!$M338&gt;Base!$M338,"↑",IF(Changed!$M338&lt;Base!$M338," ↓",""))</f>
        <v>50</v>
      </c>
      <c r="N338" s="19">
        <f>Changed!G338-Base!G338</f>
        <v>0</v>
      </c>
    </row>
    <row r="339" spans="1:14" ht="15.75" customHeight="1" x14ac:dyDescent="0.2">
      <c r="A339" s="4">
        <v>338</v>
      </c>
      <c r="B339" s="5" t="s">
        <v>338</v>
      </c>
      <c r="C339" s="6" t="str">
        <f>IF(Changed!C339&lt;&gt;"", Changed!C339, "")</f>
        <v>Steel</v>
      </c>
      <c r="D339" s="6"/>
      <c r="E339" s="6" t="str">
        <f>IF(Changed!E339&lt;&gt;"", Changed!E339, "")</f>
        <v>Hyper Cutter</v>
      </c>
      <c r="F339" s="6" t="str">
        <f>IF(Changed!F339&lt;&gt;"", Changed!F339, "")</f>
        <v>Intimidate</v>
      </c>
      <c r="G339" s="7" t="str" cm="1">
        <f t="array" ref="G339">INDEX(Changed!$G:$G,ROW())&amp;IF(Changed!$G339&gt;Base!$G339,"↑",IF(Changed!$G339&lt;Base!$G339," ↓",""))</f>
        <v>380</v>
      </c>
      <c r="H339" s="7" t="str" cm="1">
        <f t="array" ref="H339">INDEX(Changed!$H:$H,ROW())&amp;IF(Changed!$H339&gt;Base!$H339,"↑",IF(Changed!$H339&lt;Base!$H339," ↓",""))</f>
        <v>50</v>
      </c>
      <c r="I339" s="7" t="str" cm="1">
        <f t="array" ref="I339">INDEX(Changed!$I:$I,ROW())&amp;IF(Changed!$I339&gt;Base!$I339,"↑",IF(Changed!$I339&lt;Base!$I339," ↓",""))</f>
        <v>85</v>
      </c>
      <c r="J339" s="7" t="str" cm="1">
        <f t="array" ref="J339">INDEX(Changed!$J:$J,ROW())&amp;IF(Changed!$J339&gt;Base!$J339,"↑",IF(Changed!$J339&lt;Base!$J339," ↓",""))</f>
        <v>85</v>
      </c>
      <c r="K339" s="7" t="str" cm="1">
        <f t="array" ref="K339">INDEX(Changed!$K:$K,ROW())&amp;IF(Changed!$K339&gt;Base!$K339,"↑",IF(Changed!$K339&lt;Base!$K339," ↓",""))</f>
        <v>55</v>
      </c>
      <c r="L339" s="7" t="str" cm="1">
        <f t="array" ref="L339">INDEX(Changed!$L:$L,ROW())&amp;IF(Changed!$L339&gt;Base!$L339,"↑",IF(Changed!$L339&lt;Base!$L339," ↓",""))</f>
        <v>55</v>
      </c>
      <c r="M339" s="7" t="str" cm="1">
        <f t="array" ref="M339">INDEX(Changed!$M:$M,ROW())&amp;IF(Changed!$M339&gt;Base!$M339,"↑",IF(Changed!$M339&lt;Base!$M339," ↓",""))</f>
        <v>50</v>
      </c>
      <c r="N339" s="19">
        <f>Changed!G339-Base!G339</f>
        <v>0</v>
      </c>
    </row>
    <row r="340" spans="1:14" ht="15.75" customHeight="1" x14ac:dyDescent="0.2">
      <c r="A340" s="4">
        <v>339</v>
      </c>
      <c r="B340" s="5" t="s">
        <v>339</v>
      </c>
      <c r="C340" s="6" t="str">
        <f>IF(Changed!C340&lt;&gt;"", Changed!C340, "")</f>
        <v>Steel</v>
      </c>
      <c r="D340" s="6" t="str">
        <f>IF(Changed!D340&lt;&gt;"", Changed!D340, "")</f>
        <v>None</v>
      </c>
      <c r="E340" s="6" t="str">
        <f>IF(Changed!E340&lt;&gt;"", Changed!E340, "")</f>
        <v>Sturdy</v>
      </c>
      <c r="F340" s="6" t="str">
        <f>IF(Changed!F340&lt;&gt;"", Changed!F340, "")</f>
        <v>Rock Head</v>
      </c>
      <c r="G340" s="7" t="str" cm="1">
        <f t="array" ref="G340">INDEX(Changed!$G:$G,ROW())&amp;IF(Changed!$G340&gt;Base!$G340,"↑",IF(Changed!$G340&lt;Base!$G340," ↓",""))</f>
        <v>320 ↓</v>
      </c>
      <c r="H340" s="7" t="str" cm="1">
        <f t="array" ref="H340">INDEX(Changed!$H:$H,ROW())&amp;IF(Changed!$H340&gt;Base!$H340,"↑",IF(Changed!$H340&lt;Base!$H340," ↓",""))</f>
        <v>50</v>
      </c>
      <c r="I340" s="7" t="str" cm="1">
        <f t="array" ref="I340">INDEX(Changed!$I:$I,ROW())&amp;IF(Changed!$I340&gt;Base!$I340,"↑",IF(Changed!$I340&lt;Base!$I340," ↓",""))</f>
        <v>60 ↓</v>
      </c>
      <c r="J340" s="7" t="str" cm="1">
        <f t="array" ref="J340">INDEX(Changed!$J:$J,ROW())&amp;IF(Changed!$J340&gt;Base!$J340,"↑",IF(Changed!$J340&lt;Base!$J340," ↓",""))</f>
        <v>100</v>
      </c>
      <c r="K340" s="7" t="str" cm="1">
        <f t="array" ref="K340">INDEX(Changed!$K:$K,ROW())&amp;IF(Changed!$K340&gt;Base!$K340,"↑",IF(Changed!$K340&lt;Base!$K340," ↓",""))</f>
        <v>40</v>
      </c>
      <c r="L340" s="7" t="str" cm="1">
        <f t="array" ref="L340">INDEX(Changed!$L:$L,ROW())&amp;IF(Changed!$L340&gt;Base!$L340,"↑",IF(Changed!$L340&lt;Base!$L340," ↓",""))</f>
        <v>40</v>
      </c>
      <c r="M340" s="7" t="str" cm="1">
        <f t="array" ref="M340">INDEX(Changed!$M:$M,ROW())&amp;IF(Changed!$M340&gt;Base!$M340,"↑",IF(Changed!$M340&lt;Base!$M340," ↓",""))</f>
        <v>30</v>
      </c>
      <c r="N340" s="19">
        <f>Changed!G340-Base!G340</f>
        <v>-10</v>
      </c>
    </row>
    <row r="341" spans="1:14" ht="15.75" customHeight="1" x14ac:dyDescent="0.2">
      <c r="A341" s="4">
        <v>340</v>
      </c>
      <c r="B341" s="5" t="s">
        <v>340</v>
      </c>
      <c r="C341" s="6" t="str">
        <f>IF(Changed!C341&lt;&gt;"", Changed!C341, "")</f>
        <v>Steel</v>
      </c>
      <c r="D341" s="6" t="str">
        <f>IF(Changed!D341&lt;&gt;"", Changed!D341, "")</f>
        <v>None</v>
      </c>
      <c r="E341" s="6" t="str">
        <f>IF(Changed!E341&lt;&gt;"", Changed!E341, "")</f>
        <v>Filter</v>
      </c>
      <c r="F341" s="6" t="str">
        <f>IF(Changed!F341&lt;&gt;"", Changed!F341, "")</f>
        <v>Rock Head</v>
      </c>
      <c r="G341" s="7" t="str" cm="1">
        <f t="array" ref="G341">INDEX(Changed!$G:$G,ROW())&amp;IF(Changed!$G341&gt;Base!$G341,"↑",IF(Changed!$G341&lt;Base!$G341," ↓",""))</f>
        <v>420 ↓</v>
      </c>
      <c r="H341" s="7" t="str" cm="1">
        <f t="array" ref="H341">INDEX(Changed!$H:$H,ROW())&amp;IF(Changed!$H341&gt;Base!$H341,"↑",IF(Changed!$H341&lt;Base!$H341," ↓",""))</f>
        <v>60</v>
      </c>
      <c r="I341" s="7" t="str" cm="1">
        <f t="array" ref="I341">INDEX(Changed!$I:$I,ROW())&amp;IF(Changed!$I341&gt;Base!$I341,"↑",IF(Changed!$I341&lt;Base!$I341," ↓",""))</f>
        <v>80 ↓</v>
      </c>
      <c r="J341" s="7" t="str" cm="1">
        <f t="array" ref="J341">INDEX(Changed!$J:$J,ROW())&amp;IF(Changed!$J341&gt;Base!$J341,"↑",IF(Changed!$J341&lt;Base!$J341," ↓",""))</f>
        <v>140</v>
      </c>
      <c r="K341" s="7" t="str" cm="1">
        <f t="array" ref="K341">INDEX(Changed!$K:$K,ROW())&amp;IF(Changed!$K341&gt;Base!$K341,"↑",IF(Changed!$K341&lt;Base!$K341," ↓",""))</f>
        <v>50</v>
      </c>
      <c r="L341" s="7" t="str" cm="1">
        <f t="array" ref="L341">INDEX(Changed!$L:$L,ROW())&amp;IF(Changed!$L341&gt;Base!$L341,"↑",IF(Changed!$L341&lt;Base!$L341," ↓",""))</f>
        <v>50</v>
      </c>
      <c r="M341" s="7" t="str" cm="1">
        <f t="array" ref="M341">INDEX(Changed!$M:$M,ROW())&amp;IF(Changed!$M341&gt;Base!$M341,"↑",IF(Changed!$M341&lt;Base!$M341," ↓",""))</f>
        <v>40</v>
      </c>
      <c r="N341" s="19">
        <f>Changed!G341-Base!G341</f>
        <v>-10</v>
      </c>
    </row>
    <row r="342" spans="1:14" ht="15.75" customHeight="1" x14ac:dyDescent="0.2">
      <c r="A342" s="4">
        <v>341</v>
      </c>
      <c r="B342" s="5" t="s">
        <v>341</v>
      </c>
      <c r="C342" s="6" t="str">
        <f>IF(Changed!C342&lt;&gt;"", Changed!C342, "")</f>
        <v>Steel</v>
      </c>
      <c r="D342" s="6" t="str">
        <f>IF(Changed!D342&lt;&gt;"", Changed!D342, "")</f>
        <v>None</v>
      </c>
      <c r="E342" s="6" t="str">
        <f>IF(Changed!E342&lt;&gt;"", Changed!E342, "")</f>
        <v>Filter</v>
      </c>
      <c r="F342" s="6" t="str">
        <f>IF(Changed!F342&lt;&gt;"", Changed!F342, "")</f>
        <v>Rock Head</v>
      </c>
      <c r="G342" s="7" t="str" cm="1">
        <f t="array" ref="G342">INDEX(Changed!$G:$G,ROW())&amp;IF(Changed!$G342&gt;Base!$G342,"↑",IF(Changed!$G342&lt;Base!$G342," ↓",""))</f>
        <v>530</v>
      </c>
      <c r="H342" s="7" t="str" cm="1">
        <f t="array" ref="H342">INDEX(Changed!$H:$H,ROW())&amp;IF(Changed!$H342&gt;Base!$H342,"↑",IF(Changed!$H342&lt;Base!$H342," ↓",""))</f>
        <v>70</v>
      </c>
      <c r="I342" s="7" t="str" cm="1">
        <f t="array" ref="I342">INDEX(Changed!$I:$I,ROW())&amp;IF(Changed!$I342&gt;Base!$I342,"↑",IF(Changed!$I342&lt;Base!$I342," ↓",""))</f>
        <v>100 ↓</v>
      </c>
      <c r="J342" s="7" t="str" cm="1">
        <f t="array" ref="J342">INDEX(Changed!$J:$J,ROW())&amp;IF(Changed!$J342&gt;Base!$J342,"↑",IF(Changed!$J342&lt;Base!$J342," ↓",""))</f>
        <v>190↑</v>
      </c>
      <c r="K342" s="7" t="str" cm="1">
        <f t="array" ref="K342">INDEX(Changed!$K:$K,ROW())&amp;IF(Changed!$K342&gt;Base!$K342,"↑",IF(Changed!$K342&lt;Base!$K342," ↓",""))</f>
        <v>60</v>
      </c>
      <c r="L342" s="7" t="str" cm="1">
        <f t="array" ref="L342">INDEX(Changed!$L:$L,ROW())&amp;IF(Changed!$L342&gt;Base!$L342,"↑",IF(Changed!$L342&lt;Base!$L342," ↓",""))</f>
        <v>60</v>
      </c>
      <c r="M342" s="7" t="str" cm="1">
        <f t="array" ref="M342">INDEX(Changed!$M:$M,ROW())&amp;IF(Changed!$M342&gt;Base!$M342,"↑",IF(Changed!$M342&lt;Base!$M342," ↓",""))</f>
        <v>50</v>
      </c>
      <c r="N342" s="19">
        <f>Changed!G342-Base!G342</f>
        <v>0</v>
      </c>
    </row>
    <row r="343" spans="1:14" ht="15.75" customHeight="1" x14ac:dyDescent="0.2">
      <c r="A343" s="4">
        <v>342</v>
      </c>
      <c r="B343" s="5" t="s">
        <v>342</v>
      </c>
      <c r="C343" s="6" t="str">
        <f>IF(Changed!C343&lt;&gt;"", Changed!C343, "")</f>
        <v>Fighting</v>
      </c>
      <c r="D343" s="6" t="str">
        <f>IF(Changed!D343&lt;&gt;"", Changed!D343, "")</f>
        <v>Psychic</v>
      </c>
      <c r="E343" s="6" t="str">
        <f>IF(Changed!E343&lt;&gt;"", Changed!E343, "")</f>
        <v>Pure Power</v>
      </c>
      <c r="F343" s="6" t="str">
        <f>IF(Changed!F343&lt;&gt;"", Changed!F343, "")</f>
        <v/>
      </c>
      <c r="G343" s="7" t="str" cm="1">
        <f t="array" ref="G343">INDEX(Changed!$G:$G,ROW())&amp;IF(Changed!$G343&gt;Base!$G343,"↑",IF(Changed!$G343&lt;Base!$G343," ↓",""))</f>
        <v>280</v>
      </c>
      <c r="H343" s="7" t="str" cm="1">
        <f t="array" ref="H343">INDEX(Changed!$H:$H,ROW())&amp;IF(Changed!$H343&gt;Base!$H343,"↑",IF(Changed!$H343&lt;Base!$H343," ↓",""))</f>
        <v>30</v>
      </c>
      <c r="I343" s="7" t="str" cm="1">
        <f t="array" ref="I343">INDEX(Changed!$I:$I,ROW())&amp;IF(Changed!$I343&gt;Base!$I343,"↑",IF(Changed!$I343&lt;Base!$I343," ↓",""))</f>
        <v>40</v>
      </c>
      <c r="J343" s="7" t="str" cm="1">
        <f t="array" ref="J343">INDEX(Changed!$J:$J,ROW())&amp;IF(Changed!$J343&gt;Base!$J343,"↑",IF(Changed!$J343&lt;Base!$J343," ↓",""))</f>
        <v>55</v>
      </c>
      <c r="K343" s="7" t="str" cm="1">
        <f t="array" ref="K343">INDEX(Changed!$K:$K,ROW())&amp;IF(Changed!$K343&gt;Base!$K343,"↑",IF(Changed!$K343&lt;Base!$K343," ↓",""))</f>
        <v>40</v>
      </c>
      <c r="L343" s="7" t="str" cm="1">
        <f t="array" ref="L343">INDEX(Changed!$L:$L,ROW())&amp;IF(Changed!$L343&gt;Base!$L343,"↑",IF(Changed!$L343&lt;Base!$L343," ↓",""))</f>
        <v>55</v>
      </c>
      <c r="M343" s="7" t="str" cm="1">
        <f t="array" ref="M343">INDEX(Changed!$M:$M,ROW())&amp;IF(Changed!$M343&gt;Base!$M343,"↑",IF(Changed!$M343&lt;Base!$M343," ↓",""))</f>
        <v>60</v>
      </c>
      <c r="N343" s="19">
        <f>Changed!G343-Base!G343</f>
        <v>0</v>
      </c>
    </row>
    <row r="344" spans="1:14" ht="15.75" customHeight="1" x14ac:dyDescent="0.2">
      <c r="A344" s="4">
        <v>343</v>
      </c>
      <c r="B344" s="5" t="s">
        <v>343</v>
      </c>
      <c r="C344" s="6" t="str">
        <f>IF(Changed!C344&lt;&gt;"", Changed!C344, "")</f>
        <v>Fighting</v>
      </c>
      <c r="D344" s="6" t="str">
        <f>IF(Changed!D344&lt;&gt;"", Changed!D344, "")</f>
        <v>Psychic</v>
      </c>
      <c r="E344" s="6" t="str">
        <f>IF(Changed!E344&lt;&gt;"", Changed!E344, "")</f>
        <v>Pure Power</v>
      </c>
      <c r="F344" s="6" t="str">
        <f>IF(Changed!F344&lt;&gt;"", Changed!F344, "")</f>
        <v/>
      </c>
      <c r="G344" s="7" t="str" cm="1">
        <f t="array" ref="G344">INDEX(Changed!$G:$G,ROW())&amp;IF(Changed!$G344&gt;Base!$G344,"↑",IF(Changed!$G344&lt;Base!$G344," ↓",""))</f>
        <v>410</v>
      </c>
      <c r="H344" s="7" t="str" cm="1">
        <f t="array" ref="H344">INDEX(Changed!$H:$H,ROW())&amp;IF(Changed!$H344&gt;Base!$H344,"↑",IF(Changed!$H344&lt;Base!$H344," ↓",""))</f>
        <v>60</v>
      </c>
      <c r="I344" s="7" t="str" cm="1">
        <f t="array" ref="I344">INDEX(Changed!$I:$I,ROW())&amp;IF(Changed!$I344&gt;Base!$I344,"↑",IF(Changed!$I344&lt;Base!$I344," ↓",""))</f>
        <v>60</v>
      </c>
      <c r="J344" s="7" t="str" cm="1">
        <f t="array" ref="J344">INDEX(Changed!$J:$J,ROW())&amp;IF(Changed!$J344&gt;Base!$J344,"↑",IF(Changed!$J344&lt;Base!$J344," ↓",""))</f>
        <v>75</v>
      </c>
      <c r="K344" s="7" t="str" cm="1">
        <f t="array" ref="K344">INDEX(Changed!$K:$K,ROW())&amp;IF(Changed!$K344&gt;Base!$K344,"↑",IF(Changed!$K344&lt;Base!$K344," ↓",""))</f>
        <v>60</v>
      </c>
      <c r="L344" s="7" t="str" cm="1">
        <f t="array" ref="L344">INDEX(Changed!$L:$L,ROW())&amp;IF(Changed!$L344&gt;Base!$L344,"↑",IF(Changed!$L344&lt;Base!$L344," ↓",""))</f>
        <v>75</v>
      </c>
      <c r="M344" s="7" t="str" cm="1">
        <f t="array" ref="M344">INDEX(Changed!$M:$M,ROW())&amp;IF(Changed!$M344&gt;Base!$M344,"↑",IF(Changed!$M344&lt;Base!$M344," ↓",""))</f>
        <v>80</v>
      </c>
      <c r="N344" s="19">
        <f>Changed!G344-Base!G344</f>
        <v>0</v>
      </c>
    </row>
    <row r="345" spans="1:14" ht="15.75" customHeight="1" x14ac:dyDescent="0.2">
      <c r="A345" s="4">
        <v>344</v>
      </c>
      <c r="B345" s="5" t="s">
        <v>344</v>
      </c>
      <c r="C345" s="6" t="str">
        <f>IF(Changed!C345&lt;&gt;"", Changed!C345, "")</f>
        <v>Electric</v>
      </c>
      <c r="D345" s="6" t="str">
        <f>IF(Changed!D345&lt;&gt;"", Changed!D345, "")</f>
        <v>Grass</v>
      </c>
      <c r="E345" s="6" t="str">
        <f>IF(Changed!E345&lt;&gt;"", Changed!E345, "")</f>
        <v>Static</v>
      </c>
      <c r="F345" s="6" t="str">
        <f>IF(Changed!F345&lt;&gt;"", Changed!F345, "")</f>
        <v>Lightning Rod</v>
      </c>
      <c r="G345" s="7" t="str" cm="1">
        <f t="array" ref="G345">INDEX(Changed!$G:$G,ROW())&amp;IF(Changed!$G345&gt;Base!$G345,"↑",IF(Changed!$G345&lt;Base!$G345," ↓",""))</f>
        <v>295</v>
      </c>
      <c r="H345" s="7" t="str" cm="1">
        <f t="array" ref="H345">INDEX(Changed!$H:$H,ROW())&amp;IF(Changed!$H345&gt;Base!$H345,"↑",IF(Changed!$H345&lt;Base!$H345," ↓",""))</f>
        <v>40</v>
      </c>
      <c r="I345" s="7" t="str" cm="1">
        <f t="array" ref="I345">INDEX(Changed!$I:$I,ROW())&amp;IF(Changed!$I345&gt;Base!$I345,"↑",IF(Changed!$I345&lt;Base!$I345," ↓",""))</f>
        <v>45</v>
      </c>
      <c r="J345" s="7" t="str" cm="1">
        <f t="array" ref="J345">INDEX(Changed!$J:$J,ROW())&amp;IF(Changed!$J345&gt;Base!$J345,"↑",IF(Changed!$J345&lt;Base!$J345," ↓",""))</f>
        <v>40</v>
      </c>
      <c r="K345" s="7" t="str" cm="1">
        <f t="array" ref="K345">INDEX(Changed!$K:$K,ROW())&amp;IF(Changed!$K345&gt;Base!$K345,"↑",IF(Changed!$K345&lt;Base!$K345," ↓",""))</f>
        <v>65</v>
      </c>
      <c r="L345" s="7" t="str" cm="1">
        <f t="array" ref="L345">INDEX(Changed!$L:$L,ROW())&amp;IF(Changed!$L345&gt;Base!$L345,"↑",IF(Changed!$L345&lt;Base!$L345," ↓",""))</f>
        <v>40</v>
      </c>
      <c r="M345" s="7" t="str" cm="1">
        <f t="array" ref="M345">INDEX(Changed!$M:$M,ROW())&amp;IF(Changed!$M345&gt;Base!$M345,"↑",IF(Changed!$M345&lt;Base!$M345," ↓",""))</f>
        <v>65</v>
      </c>
      <c r="N345" s="19">
        <f>Changed!G345-Base!G345</f>
        <v>0</v>
      </c>
    </row>
    <row r="346" spans="1:14" ht="15.75" customHeight="1" x14ac:dyDescent="0.2">
      <c r="A346" s="4">
        <v>345</v>
      </c>
      <c r="B346" s="5" t="s">
        <v>345</v>
      </c>
      <c r="C346" s="6" t="str">
        <f>IF(Changed!C346&lt;&gt;"", Changed!C346, "")</f>
        <v>Electric</v>
      </c>
      <c r="D346" s="6" t="str">
        <f>IF(Changed!D346&lt;&gt;"", Changed!D346, "")</f>
        <v>Grass</v>
      </c>
      <c r="E346" s="6" t="str">
        <f>IF(Changed!E346&lt;&gt;"", Changed!E346, "")</f>
        <v>Static</v>
      </c>
      <c r="F346" s="6" t="str">
        <f>IF(Changed!F346&lt;&gt;"", Changed!F346, "")</f>
        <v>Lightning Rod</v>
      </c>
      <c r="G346" s="7" t="str" cm="1">
        <f t="array" ref="G346">INDEX(Changed!$G:$G,ROW())&amp;IF(Changed!$G346&gt;Base!$G346,"↑",IF(Changed!$G346&lt;Base!$G346," ↓",""))</f>
        <v>475</v>
      </c>
      <c r="H346" s="7" t="str" cm="1">
        <f t="array" ref="H346">INDEX(Changed!$H:$H,ROW())&amp;IF(Changed!$H346&gt;Base!$H346,"↑",IF(Changed!$H346&lt;Base!$H346," ↓",""))</f>
        <v>70</v>
      </c>
      <c r="I346" s="7" t="str" cm="1">
        <f t="array" ref="I346">INDEX(Changed!$I:$I,ROW())&amp;IF(Changed!$I346&gt;Base!$I346,"↑",IF(Changed!$I346&lt;Base!$I346," ↓",""))</f>
        <v>75</v>
      </c>
      <c r="J346" s="7" t="str" cm="1">
        <f t="array" ref="J346">INDEX(Changed!$J:$J,ROW())&amp;IF(Changed!$J346&gt;Base!$J346,"↑",IF(Changed!$J346&lt;Base!$J346," ↓",""))</f>
        <v>60</v>
      </c>
      <c r="K346" s="7" t="str" cm="1">
        <f t="array" ref="K346">INDEX(Changed!$K:$K,ROW())&amp;IF(Changed!$K346&gt;Base!$K346,"↑",IF(Changed!$K346&lt;Base!$K346," ↓",""))</f>
        <v>105</v>
      </c>
      <c r="L346" s="7" t="str" cm="1">
        <f t="array" ref="L346">INDEX(Changed!$L:$L,ROW())&amp;IF(Changed!$L346&gt;Base!$L346,"↑",IF(Changed!$L346&lt;Base!$L346," ↓",""))</f>
        <v>60</v>
      </c>
      <c r="M346" s="7" t="str" cm="1">
        <f t="array" ref="M346">INDEX(Changed!$M:$M,ROW())&amp;IF(Changed!$M346&gt;Base!$M346,"↑",IF(Changed!$M346&lt;Base!$M346," ↓",""))</f>
        <v>105</v>
      </c>
      <c r="N346" s="19">
        <f>Changed!G346-Base!G346</f>
        <v>0</v>
      </c>
    </row>
    <row r="347" spans="1:14" ht="15.75" customHeight="1" x14ac:dyDescent="0.2">
      <c r="A347" s="4">
        <v>346</v>
      </c>
      <c r="B347" s="5" t="s">
        <v>346</v>
      </c>
      <c r="C347" s="6" t="str">
        <f>IF(Changed!C347&lt;&gt;"", Changed!C347, "")</f>
        <v>Electric</v>
      </c>
      <c r="D347" s="6" t="str">
        <f>IF(Changed!D347&lt;&gt;"", Changed!D347, "")</f>
        <v/>
      </c>
      <c r="E347" s="6" t="str">
        <f>IF(Changed!E347&lt;&gt;"", Changed!E347, "")</f>
        <v>Plus</v>
      </c>
      <c r="F347" s="6" t="str">
        <f>IF(Changed!F347&lt;&gt;"", Changed!F347, "")</f>
        <v/>
      </c>
      <c r="G347" s="7" t="str" cm="1">
        <f t="array" ref="G347">INDEX(Changed!$G:$G,ROW())&amp;IF(Changed!$G347&gt;Base!$G347,"↑",IF(Changed!$G347&lt;Base!$G347," ↓",""))</f>
        <v>405</v>
      </c>
      <c r="H347" s="7" t="str" cm="1">
        <f t="array" ref="H347">INDEX(Changed!$H:$H,ROW())&amp;IF(Changed!$H347&gt;Base!$H347,"↑",IF(Changed!$H347&lt;Base!$H347," ↓",""))</f>
        <v>60</v>
      </c>
      <c r="I347" s="7" t="str" cm="1">
        <f t="array" ref="I347">INDEX(Changed!$I:$I,ROW())&amp;IF(Changed!$I347&gt;Base!$I347,"↑",IF(Changed!$I347&lt;Base!$I347," ↓",""))</f>
        <v>50</v>
      </c>
      <c r="J347" s="7" t="str" cm="1">
        <f t="array" ref="J347">INDEX(Changed!$J:$J,ROW())&amp;IF(Changed!$J347&gt;Base!$J347,"↑",IF(Changed!$J347&lt;Base!$J347," ↓",""))</f>
        <v>40</v>
      </c>
      <c r="K347" s="7" t="str" cm="1">
        <f t="array" ref="K347">INDEX(Changed!$K:$K,ROW())&amp;IF(Changed!$K347&gt;Base!$K347,"↑",IF(Changed!$K347&lt;Base!$K347," ↓",""))</f>
        <v>85</v>
      </c>
      <c r="L347" s="7" t="str" cm="1">
        <f t="array" ref="L347">INDEX(Changed!$L:$L,ROW())&amp;IF(Changed!$L347&gt;Base!$L347,"↑",IF(Changed!$L347&lt;Base!$L347," ↓",""))</f>
        <v>75</v>
      </c>
      <c r="M347" s="7" t="str" cm="1">
        <f t="array" ref="M347">INDEX(Changed!$M:$M,ROW())&amp;IF(Changed!$M347&gt;Base!$M347,"↑",IF(Changed!$M347&lt;Base!$M347," ↓",""))</f>
        <v>95</v>
      </c>
      <c r="N347" s="19">
        <f>Changed!G347-Base!G347</f>
        <v>0</v>
      </c>
    </row>
    <row r="348" spans="1:14" ht="15.75" customHeight="1" x14ac:dyDescent="0.2">
      <c r="A348" s="4">
        <v>347</v>
      </c>
      <c r="B348" s="5" t="s">
        <v>347</v>
      </c>
      <c r="C348" s="6" t="str">
        <f>IF(Changed!C348&lt;&gt;"", Changed!C348, "")</f>
        <v>Electric</v>
      </c>
      <c r="D348" s="6" t="str">
        <f>IF(Changed!D348&lt;&gt;"", Changed!D348, "")</f>
        <v/>
      </c>
      <c r="E348" s="6" t="str">
        <f>IF(Changed!E348&lt;&gt;"", Changed!E348, "")</f>
        <v>Minus</v>
      </c>
      <c r="F348" s="6" t="str">
        <f>IF(Changed!F348&lt;&gt;"", Changed!F348, "")</f>
        <v/>
      </c>
      <c r="G348" s="7" t="str" cm="1">
        <f t="array" ref="G348">INDEX(Changed!$G:$G,ROW())&amp;IF(Changed!$G348&gt;Base!$G348,"↑",IF(Changed!$G348&lt;Base!$G348," ↓",""))</f>
        <v>405</v>
      </c>
      <c r="H348" s="7" t="str" cm="1">
        <f t="array" ref="H348">INDEX(Changed!$H:$H,ROW())&amp;IF(Changed!$H348&gt;Base!$H348,"↑",IF(Changed!$H348&lt;Base!$H348," ↓",""))</f>
        <v>60</v>
      </c>
      <c r="I348" s="7" t="str" cm="1">
        <f t="array" ref="I348">INDEX(Changed!$I:$I,ROW())&amp;IF(Changed!$I348&gt;Base!$I348,"↑",IF(Changed!$I348&lt;Base!$I348," ↓",""))</f>
        <v>40</v>
      </c>
      <c r="J348" s="7" t="str" cm="1">
        <f t="array" ref="J348">INDEX(Changed!$J:$J,ROW())&amp;IF(Changed!$J348&gt;Base!$J348,"↑",IF(Changed!$J348&lt;Base!$J348," ↓",""))</f>
        <v>50</v>
      </c>
      <c r="K348" s="7" t="str" cm="1">
        <f t="array" ref="K348">INDEX(Changed!$K:$K,ROW())&amp;IF(Changed!$K348&gt;Base!$K348,"↑",IF(Changed!$K348&lt;Base!$K348," ↓",""))</f>
        <v>75</v>
      </c>
      <c r="L348" s="7" t="str" cm="1">
        <f t="array" ref="L348">INDEX(Changed!$L:$L,ROW())&amp;IF(Changed!$L348&gt;Base!$L348,"↑",IF(Changed!$L348&lt;Base!$L348," ↓",""))</f>
        <v>85</v>
      </c>
      <c r="M348" s="7" t="str" cm="1">
        <f t="array" ref="M348">INDEX(Changed!$M:$M,ROW())&amp;IF(Changed!$M348&gt;Base!$M348,"↑",IF(Changed!$M348&lt;Base!$M348," ↓",""))</f>
        <v>95</v>
      </c>
      <c r="N348" s="19">
        <f>Changed!G348-Base!G348</f>
        <v>0</v>
      </c>
    </row>
    <row r="349" spans="1:14" ht="15.75" customHeight="1" x14ac:dyDescent="0.2">
      <c r="A349" s="4">
        <v>348</v>
      </c>
      <c r="B349" s="5" t="s">
        <v>348</v>
      </c>
      <c r="C349" s="6" t="str">
        <f>IF(Changed!C349&lt;&gt;"", Changed!C349, "")</f>
        <v>Bug</v>
      </c>
      <c r="D349" s="6" t="str">
        <f>IF(Changed!D349&lt;&gt;"", Changed!D349, "")</f>
        <v/>
      </c>
      <c r="E349" s="6" t="str">
        <f>IF(Changed!E349&lt;&gt;"", Changed!E349, "")</f>
        <v>Minus</v>
      </c>
      <c r="F349" s="6" t="str">
        <f>IF(Changed!F349&lt;&gt;"", Changed!F349, "")</f>
        <v>Swarm</v>
      </c>
      <c r="G349" s="7" t="str" cm="1">
        <f t="array" ref="G349">INDEX(Changed!$G:$G,ROW())&amp;IF(Changed!$G349&gt;Base!$G349,"↑",IF(Changed!$G349&lt;Base!$G349," ↓",""))</f>
        <v>430</v>
      </c>
      <c r="H349" s="7" t="str" cm="1">
        <f t="array" ref="H349">INDEX(Changed!$H:$H,ROW())&amp;IF(Changed!$H349&gt;Base!$H349,"↑",IF(Changed!$H349&lt;Base!$H349," ↓",""))</f>
        <v>65</v>
      </c>
      <c r="I349" s="7" t="str" cm="1">
        <f t="array" ref="I349">INDEX(Changed!$I:$I,ROW())&amp;IF(Changed!$I349&gt;Base!$I349,"↑",IF(Changed!$I349&lt;Base!$I349," ↓",""))</f>
        <v>73</v>
      </c>
      <c r="J349" s="7" t="str" cm="1">
        <f t="array" ref="J349">INDEX(Changed!$J:$J,ROW())&amp;IF(Changed!$J349&gt;Base!$J349,"↑",IF(Changed!$J349&lt;Base!$J349," ↓",""))</f>
        <v>75</v>
      </c>
      <c r="K349" s="7" t="str" cm="1">
        <f t="array" ref="K349">INDEX(Changed!$K:$K,ROW())&amp;IF(Changed!$K349&gt;Base!$K349,"↑",IF(Changed!$K349&lt;Base!$K349," ↓",""))</f>
        <v>47</v>
      </c>
      <c r="L349" s="7" t="str" cm="1">
        <f t="array" ref="L349">INDEX(Changed!$L:$L,ROW())&amp;IF(Changed!$L349&gt;Base!$L349,"↑",IF(Changed!$L349&lt;Base!$L349," ↓",""))</f>
        <v>85</v>
      </c>
      <c r="M349" s="7" t="str" cm="1">
        <f t="array" ref="M349">INDEX(Changed!$M:$M,ROW())&amp;IF(Changed!$M349&gt;Base!$M349,"↑",IF(Changed!$M349&lt;Base!$M349," ↓",""))</f>
        <v>85</v>
      </c>
      <c r="N349" s="19">
        <f>Changed!G349-Base!G349</f>
        <v>0</v>
      </c>
    </row>
    <row r="350" spans="1:14" ht="15.75" customHeight="1" x14ac:dyDescent="0.2">
      <c r="A350" s="4">
        <v>349</v>
      </c>
      <c r="B350" s="5" t="s">
        <v>349</v>
      </c>
      <c r="C350" s="6" t="str">
        <f>IF(Changed!C350&lt;&gt;"", Changed!C350, "")</f>
        <v>Bug</v>
      </c>
      <c r="D350" s="6" t="str">
        <f>IF(Changed!D350&lt;&gt;"", Changed!D350, "")</f>
        <v/>
      </c>
      <c r="E350" s="6" t="str">
        <f>IF(Changed!E350&lt;&gt;"", Changed!E350, "")</f>
        <v>Oblivious</v>
      </c>
      <c r="F350" s="6" t="str">
        <f>IF(Changed!F350&lt;&gt;"", Changed!F350, "")</f>
        <v>Tinted Lens</v>
      </c>
      <c r="G350" s="7" t="str" cm="1">
        <f t="array" ref="G350">INDEX(Changed!$G:$G,ROW())&amp;IF(Changed!$G350&gt;Base!$G350,"↑",IF(Changed!$G350&lt;Base!$G350," ↓",""))</f>
        <v>430</v>
      </c>
      <c r="H350" s="7" t="str" cm="1">
        <f t="array" ref="H350">INDEX(Changed!$H:$H,ROW())&amp;IF(Changed!$H350&gt;Base!$H350,"↑",IF(Changed!$H350&lt;Base!$H350," ↓",""))</f>
        <v>65</v>
      </c>
      <c r="I350" s="7" t="str" cm="1">
        <f t="array" ref="I350">INDEX(Changed!$I:$I,ROW())&amp;IF(Changed!$I350&gt;Base!$I350,"↑",IF(Changed!$I350&lt;Base!$I350," ↓",""))</f>
        <v>47</v>
      </c>
      <c r="J350" s="7" t="str" cm="1">
        <f t="array" ref="J350">INDEX(Changed!$J:$J,ROW())&amp;IF(Changed!$J350&gt;Base!$J350,"↑",IF(Changed!$J350&lt;Base!$J350," ↓",""))</f>
        <v>75</v>
      </c>
      <c r="K350" s="7" t="str" cm="1">
        <f t="array" ref="K350">INDEX(Changed!$K:$K,ROW())&amp;IF(Changed!$K350&gt;Base!$K350,"↑",IF(Changed!$K350&lt;Base!$K350," ↓",""))</f>
        <v>73</v>
      </c>
      <c r="L350" s="7" t="str" cm="1">
        <f t="array" ref="L350">INDEX(Changed!$L:$L,ROW())&amp;IF(Changed!$L350&gt;Base!$L350,"↑",IF(Changed!$L350&lt;Base!$L350," ↓",""))</f>
        <v>85</v>
      </c>
      <c r="M350" s="7" t="str" cm="1">
        <f t="array" ref="M350">INDEX(Changed!$M:$M,ROW())&amp;IF(Changed!$M350&gt;Base!$M350,"↑",IF(Changed!$M350&lt;Base!$M350," ↓",""))</f>
        <v>85</v>
      </c>
      <c r="N350" s="19">
        <f>Changed!G350-Base!G350</f>
        <v>0</v>
      </c>
    </row>
    <row r="351" spans="1:14" ht="15.75" customHeight="1" x14ac:dyDescent="0.2">
      <c r="A351" s="4">
        <v>350</v>
      </c>
      <c r="B351" s="5" t="s">
        <v>441</v>
      </c>
      <c r="C351" s="6" t="str">
        <f>IF(Changed!C351&lt;&gt;"", Changed!C351, "")</f>
        <v>Grass</v>
      </c>
      <c r="D351" s="6" t="str">
        <f>IF(Changed!D351&lt;&gt;"", Changed!D351, "")</f>
        <v>Poison</v>
      </c>
      <c r="E351" s="6" t="str">
        <f>IF(Changed!E351&lt;&gt;"", Changed!E351, "")</f>
        <v>Natural Cure</v>
      </c>
      <c r="F351" s="6" t="str">
        <f>IF(Changed!F351&lt;&gt;"", Changed!F351, "")</f>
        <v>Poison Point</v>
      </c>
      <c r="G351" s="7" t="str" cm="1">
        <f t="array" ref="G351">INDEX(Changed!$G:$G,ROW())&amp;IF(Changed!$G351&gt;Base!$G351,"↑",IF(Changed!$G351&lt;Base!$G351," ↓",""))</f>
        <v>280</v>
      </c>
      <c r="H351" s="7" t="str" cm="1">
        <f t="array" ref="H351">INDEX(Changed!$H:$H,ROW())&amp;IF(Changed!$H351&gt;Base!$H351,"↑",IF(Changed!$H351&lt;Base!$H351," ↓",""))</f>
        <v>40</v>
      </c>
      <c r="I351" s="7" t="str" cm="1">
        <f t="array" ref="I351">INDEX(Changed!$I:$I,ROW())&amp;IF(Changed!$I351&gt;Base!$I351,"↑",IF(Changed!$I351&lt;Base!$I351," ↓",""))</f>
        <v>30</v>
      </c>
      <c r="J351" s="7" t="str" cm="1">
        <f t="array" ref="J351">INDEX(Changed!$J:$J,ROW())&amp;IF(Changed!$J351&gt;Base!$J351,"↑",IF(Changed!$J351&lt;Base!$J351," ↓",""))</f>
        <v>35</v>
      </c>
      <c r="K351" s="7" t="str" cm="1">
        <f t="array" ref="K351">INDEX(Changed!$K:$K,ROW())&amp;IF(Changed!$K351&gt;Base!$K351,"↑",IF(Changed!$K351&lt;Base!$K351," ↓",""))</f>
        <v>50</v>
      </c>
      <c r="L351" s="7" t="str" cm="1">
        <f t="array" ref="L351">INDEX(Changed!$L:$L,ROW())&amp;IF(Changed!$L351&gt;Base!$L351,"↑",IF(Changed!$L351&lt;Base!$L351," ↓",""))</f>
        <v>70</v>
      </c>
      <c r="M351" s="7" t="str" cm="1">
        <f t="array" ref="M351">INDEX(Changed!$M:$M,ROW())&amp;IF(Changed!$M351&gt;Base!$M351,"↑",IF(Changed!$M351&lt;Base!$M351," ↓",""))</f>
        <v>55</v>
      </c>
      <c r="N351" s="19">
        <f>Changed!G351-Base!G351</f>
        <v>0</v>
      </c>
    </row>
    <row r="352" spans="1:14" ht="15.75" customHeight="1" x14ac:dyDescent="0.2">
      <c r="A352" s="4">
        <v>351</v>
      </c>
      <c r="B352" s="5" t="s">
        <v>350</v>
      </c>
      <c r="C352" s="6" t="str">
        <f>IF(Changed!C352&lt;&gt;"", Changed!C352, "")</f>
        <v>Grass</v>
      </c>
      <c r="D352" s="6" t="str">
        <f>IF(Changed!D352&lt;&gt;"", Changed!D352, "")</f>
        <v>Poison</v>
      </c>
      <c r="E352" s="6" t="str">
        <f>IF(Changed!E352&lt;&gt;"", Changed!E352, "")</f>
        <v>Natural Cure</v>
      </c>
      <c r="F352" s="6" t="str">
        <f>IF(Changed!F352&lt;&gt;"", Changed!F352, "")</f>
        <v>Poison Point</v>
      </c>
      <c r="G352" s="7" t="str" cm="1">
        <f t="array" ref="G352">INDEX(Changed!$G:$G,ROW())&amp;IF(Changed!$G352&gt;Base!$G352,"↑",IF(Changed!$G352&lt;Base!$G352," ↓",""))</f>
        <v>400</v>
      </c>
      <c r="H352" s="7" t="str" cm="1">
        <f t="array" ref="H352">INDEX(Changed!$H:$H,ROW())&amp;IF(Changed!$H352&gt;Base!$H352,"↑",IF(Changed!$H352&lt;Base!$H352," ↓",""))</f>
        <v>50</v>
      </c>
      <c r="I352" s="7" t="str" cm="1">
        <f t="array" ref="I352">INDEX(Changed!$I:$I,ROW())&amp;IF(Changed!$I352&gt;Base!$I352,"↑",IF(Changed!$I352&lt;Base!$I352," ↓",""))</f>
        <v>60</v>
      </c>
      <c r="J352" s="7" t="str" cm="1">
        <f t="array" ref="J352">INDEX(Changed!$J:$J,ROW())&amp;IF(Changed!$J352&gt;Base!$J352,"↑",IF(Changed!$J352&lt;Base!$J352," ↓",""))</f>
        <v>45</v>
      </c>
      <c r="K352" s="7" t="str" cm="1">
        <f t="array" ref="K352">INDEX(Changed!$K:$K,ROW())&amp;IF(Changed!$K352&gt;Base!$K352,"↑",IF(Changed!$K352&lt;Base!$K352," ↓",""))</f>
        <v>100</v>
      </c>
      <c r="L352" s="7" t="str" cm="1">
        <f t="array" ref="L352">INDEX(Changed!$L:$L,ROW())&amp;IF(Changed!$L352&gt;Base!$L352,"↑",IF(Changed!$L352&lt;Base!$L352," ↓",""))</f>
        <v>80</v>
      </c>
      <c r="M352" s="7" t="str" cm="1">
        <f t="array" ref="M352">INDEX(Changed!$M:$M,ROW())&amp;IF(Changed!$M352&gt;Base!$M352,"↑",IF(Changed!$M352&lt;Base!$M352," ↓",""))</f>
        <v>65</v>
      </c>
      <c r="N352" s="19">
        <f>Changed!G352-Base!G352</f>
        <v>0</v>
      </c>
    </row>
    <row r="353" spans="1:14" ht="15.75" customHeight="1" x14ac:dyDescent="0.2">
      <c r="A353" s="4">
        <v>352</v>
      </c>
      <c r="B353" s="5" t="s">
        <v>442</v>
      </c>
      <c r="C353" s="6" t="str">
        <f>IF(Changed!C353&lt;&gt;"", Changed!C353, "")</f>
        <v>Grass</v>
      </c>
      <c r="D353" s="6" t="str">
        <f>IF(Changed!D353&lt;&gt;"", Changed!D353, "")</f>
        <v>Poison</v>
      </c>
      <c r="E353" s="6" t="str">
        <f>IF(Changed!E353&lt;&gt;"", Changed!E353, "")</f>
        <v>Natural Cure</v>
      </c>
      <c r="F353" s="6" t="str">
        <f>IF(Changed!F353&lt;&gt;"", Changed!F353, "")</f>
        <v>Poison Point</v>
      </c>
      <c r="G353" s="7" t="str" cm="1">
        <f t="array" ref="G353">INDEX(Changed!$G:$G,ROW())&amp;IF(Changed!$G353&gt;Base!$G353,"↑",IF(Changed!$G353&lt;Base!$G353," ↓",""))</f>
        <v>525↑</v>
      </c>
      <c r="H353" s="7" t="str" cm="1">
        <f t="array" ref="H353">INDEX(Changed!$H:$H,ROW())&amp;IF(Changed!$H353&gt;Base!$H353,"↑",IF(Changed!$H353&lt;Base!$H353," ↓",""))</f>
        <v>60</v>
      </c>
      <c r="I353" s="7" t="str" cm="1">
        <f t="array" ref="I353">INDEX(Changed!$I:$I,ROW())&amp;IF(Changed!$I353&gt;Base!$I353,"↑",IF(Changed!$I353&lt;Base!$I353," ↓",""))</f>
        <v>120↑</v>
      </c>
      <c r="J353" s="7" t="str" cm="1">
        <f t="array" ref="J353">INDEX(Changed!$J:$J,ROW())&amp;IF(Changed!$J353&gt;Base!$J353,"↑",IF(Changed!$J353&lt;Base!$J353," ↓",""))</f>
        <v>55</v>
      </c>
      <c r="K353" s="7" t="str" cm="1">
        <f t="array" ref="K353">INDEX(Changed!$K:$K,ROW())&amp;IF(Changed!$K353&gt;Base!$K353,"↑",IF(Changed!$K353&lt;Base!$K353," ↓",""))</f>
        <v>110 ↓</v>
      </c>
      <c r="L353" s="7" t="str" cm="1">
        <f t="array" ref="L353">INDEX(Changed!$L:$L,ROW())&amp;IF(Changed!$L353&gt;Base!$L353,"↑",IF(Changed!$L353&lt;Base!$L353," ↓",""))</f>
        <v>85 ↓</v>
      </c>
      <c r="M353" s="7" t="str" cm="1">
        <f t="array" ref="M353">INDEX(Changed!$M:$M,ROW())&amp;IF(Changed!$M353&gt;Base!$M353,"↑",IF(Changed!$M353&lt;Base!$M353," ↓",""))</f>
        <v>95↑</v>
      </c>
      <c r="N353" s="19">
        <f>Changed!G353-Base!G353</f>
        <v>20</v>
      </c>
    </row>
    <row r="354" spans="1:14" ht="15.75" customHeight="1" x14ac:dyDescent="0.2">
      <c r="A354" s="4">
        <v>353</v>
      </c>
      <c r="B354" s="5" t="s">
        <v>351</v>
      </c>
      <c r="C354" s="6" t="str">
        <f>IF(Changed!C354&lt;&gt;"", Changed!C354, "")</f>
        <v>Poison</v>
      </c>
      <c r="D354" s="6" t="str">
        <f>IF(Changed!D354&lt;&gt;"", Changed!D354, "")</f>
        <v/>
      </c>
      <c r="E354" s="6" t="str">
        <f>IF(Changed!E354&lt;&gt;"", Changed!E354, "")</f>
        <v>Liquid Ooze</v>
      </c>
      <c r="F354" s="6" t="str">
        <f>IF(Changed!F354&lt;&gt;"", Changed!F354, "")</f>
        <v>Sticky Hold</v>
      </c>
      <c r="G354" s="7" t="str" cm="1">
        <f t="array" ref="G354">INDEX(Changed!$G:$G,ROW())&amp;IF(Changed!$G354&gt;Base!$G354,"↑",IF(Changed!$G354&lt;Base!$G354," ↓",""))</f>
        <v>302</v>
      </c>
      <c r="H354" s="7" t="str" cm="1">
        <f t="array" ref="H354">INDEX(Changed!$H:$H,ROW())&amp;IF(Changed!$H354&gt;Base!$H354,"↑",IF(Changed!$H354&lt;Base!$H354," ↓",""))</f>
        <v>70</v>
      </c>
      <c r="I354" s="7" t="str" cm="1">
        <f t="array" ref="I354">INDEX(Changed!$I:$I,ROW())&amp;IF(Changed!$I354&gt;Base!$I354,"↑",IF(Changed!$I354&lt;Base!$I354," ↓",""))</f>
        <v>43</v>
      </c>
      <c r="J354" s="7" t="str" cm="1">
        <f t="array" ref="J354">INDEX(Changed!$J:$J,ROW())&amp;IF(Changed!$J354&gt;Base!$J354,"↑",IF(Changed!$J354&lt;Base!$J354," ↓",""))</f>
        <v>53</v>
      </c>
      <c r="K354" s="7" t="str" cm="1">
        <f t="array" ref="K354">INDEX(Changed!$K:$K,ROW())&amp;IF(Changed!$K354&gt;Base!$K354,"↑",IF(Changed!$K354&lt;Base!$K354," ↓",""))</f>
        <v>43</v>
      </c>
      <c r="L354" s="7" t="str" cm="1">
        <f t="array" ref="L354">INDEX(Changed!$L:$L,ROW())&amp;IF(Changed!$L354&gt;Base!$L354,"↑",IF(Changed!$L354&lt;Base!$L354," ↓",""))</f>
        <v>53</v>
      </c>
      <c r="M354" s="7" t="str" cm="1">
        <f t="array" ref="M354">INDEX(Changed!$M:$M,ROW())&amp;IF(Changed!$M354&gt;Base!$M354,"↑",IF(Changed!$M354&lt;Base!$M354," ↓",""))</f>
        <v>40</v>
      </c>
      <c r="N354" s="19">
        <f>Changed!G354-Base!G354</f>
        <v>0</v>
      </c>
    </row>
    <row r="355" spans="1:14" ht="15.75" customHeight="1" x14ac:dyDescent="0.2">
      <c r="A355" s="4">
        <v>354</v>
      </c>
      <c r="B355" s="5" t="s">
        <v>352</v>
      </c>
      <c r="C355" s="6" t="str">
        <f>IF(Changed!C355&lt;&gt;"", Changed!C355, "")</f>
        <v>Poison</v>
      </c>
      <c r="D355" s="6" t="str">
        <f>IF(Changed!D355&lt;&gt;"", Changed!D355, "")</f>
        <v/>
      </c>
      <c r="E355" s="6" t="str">
        <f>IF(Changed!E355&lt;&gt;"", Changed!E355, "")</f>
        <v>Liquid Ooze</v>
      </c>
      <c r="F355" s="6" t="str">
        <f>IF(Changed!F355&lt;&gt;"", Changed!F355, "")</f>
        <v>Sticky Hold</v>
      </c>
      <c r="G355" s="7" t="str" cm="1">
        <f t="array" ref="G355">INDEX(Changed!$G:$G,ROW())&amp;IF(Changed!$G355&gt;Base!$G355,"↑",IF(Changed!$G355&lt;Base!$G355," ↓",""))</f>
        <v>467</v>
      </c>
      <c r="H355" s="7" t="str" cm="1">
        <f t="array" ref="H355">INDEX(Changed!$H:$H,ROW())&amp;IF(Changed!$H355&gt;Base!$H355,"↑",IF(Changed!$H355&lt;Base!$H355," ↓",""))</f>
        <v>100</v>
      </c>
      <c r="I355" s="7" t="str" cm="1">
        <f t="array" ref="I355">INDEX(Changed!$I:$I,ROW())&amp;IF(Changed!$I355&gt;Base!$I355,"↑",IF(Changed!$I355&lt;Base!$I355," ↓",""))</f>
        <v>73</v>
      </c>
      <c r="J355" s="7" t="str" cm="1">
        <f t="array" ref="J355">INDEX(Changed!$J:$J,ROW())&amp;IF(Changed!$J355&gt;Base!$J355,"↑",IF(Changed!$J355&lt;Base!$J355," ↓",""))</f>
        <v>83</v>
      </c>
      <c r="K355" s="7" t="str" cm="1">
        <f t="array" ref="K355">INDEX(Changed!$K:$K,ROW())&amp;IF(Changed!$K355&gt;Base!$K355,"↑",IF(Changed!$K355&lt;Base!$K355," ↓",""))</f>
        <v>73</v>
      </c>
      <c r="L355" s="7" t="str" cm="1">
        <f t="array" ref="L355">INDEX(Changed!$L:$L,ROW())&amp;IF(Changed!$L355&gt;Base!$L355,"↑",IF(Changed!$L355&lt;Base!$L355," ↓",""))</f>
        <v>83</v>
      </c>
      <c r="M355" s="7" t="str" cm="1">
        <f t="array" ref="M355">INDEX(Changed!$M:$M,ROW())&amp;IF(Changed!$M355&gt;Base!$M355,"↑",IF(Changed!$M355&lt;Base!$M355," ↓",""))</f>
        <v>55</v>
      </c>
      <c r="N355" s="19">
        <f>Changed!G355-Base!G355</f>
        <v>0</v>
      </c>
    </row>
    <row r="356" spans="1:14" ht="15.75" customHeight="1" x14ac:dyDescent="0.2">
      <c r="A356" s="4">
        <v>355</v>
      </c>
      <c r="B356" s="5" t="s">
        <v>353</v>
      </c>
      <c r="C356" s="6" t="str">
        <f>IF(Changed!C356&lt;&gt;"", Changed!C356, "")</f>
        <v>Water</v>
      </c>
      <c r="D356" s="6" t="str">
        <f>IF(Changed!D356&lt;&gt;"", Changed!D356, "")</f>
        <v>Dark</v>
      </c>
      <c r="E356" s="6" t="str">
        <f>IF(Changed!E356&lt;&gt;"", Changed!E356, "")</f>
        <v>Rough Skin</v>
      </c>
      <c r="F356" s="6" t="str">
        <f>IF(Changed!F356&lt;&gt;"", Changed!F356, "")</f>
        <v>Speed Boost</v>
      </c>
      <c r="G356" s="7" t="str" cm="1">
        <f t="array" ref="G356">INDEX(Changed!$G:$G,ROW())&amp;IF(Changed!$G356&gt;Base!$G356,"↑",IF(Changed!$G356&lt;Base!$G356," ↓",""))</f>
        <v>305</v>
      </c>
      <c r="H356" s="7" t="str" cm="1">
        <f t="array" ref="H356">INDEX(Changed!$H:$H,ROW())&amp;IF(Changed!$H356&gt;Base!$H356,"↑",IF(Changed!$H356&lt;Base!$H356," ↓",""))</f>
        <v>45</v>
      </c>
      <c r="I356" s="7" t="str" cm="1">
        <f t="array" ref="I356">INDEX(Changed!$I:$I,ROW())&amp;IF(Changed!$I356&gt;Base!$I356,"↑",IF(Changed!$I356&lt;Base!$I356," ↓",""))</f>
        <v>90</v>
      </c>
      <c r="J356" s="7" t="str" cm="1">
        <f t="array" ref="J356">INDEX(Changed!$J:$J,ROW())&amp;IF(Changed!$J356&gt;Base!$J356,"↑",IF(Changed!$J356&lt;Base!$J356," ↓",""))</f>
        <v>20</v>
      </c>
      <c r="K356" s="7" t="str" cm="1">
        <f t="array" ref="K356">INDEX(Changed!$K:$K,ROW())&amp;IF(Changed!$K356&gt;Base!$K356,"↑",IF(Changed!$K356&lt;Base!$K356," ↓",""))</f>
        <v>65</v>
      </c>
      <c r="L356" s="7" t="str" cm="1">
        <f t="array" ref="L356">INDEX(Changed!$L:$L,ROW())&amp;IF(Changed!$L356&gt;Base!$L356,"↑",IF(Changed!$L356&lt;Base!$L356," ↓",""))</f>
        <v>20</v>
      </c>
      <c r="M356" s="7" t="str" cm="1">
        <f t="array" ref="M356">INDEX(Changed!$M:$M,ROW())&amp;IF(Changed!$M356&gt;Base!$M356,"↑",IF(Changed!$M356&lt;Base!$M356," ↓",""))</f>
        <v>65</v>
      </c>
      <c r="N356" s="19">
        <f>Changed!G356-Base!G356</f>
        <v>0</v>
      </c>
    </row>
    <row r="357" spans="1:14" ht="15.75" customHeight="1" x14ac:dyDescent="0.2">
      <c r="A357" s="4">
        <v>356</v>
      </c>
      <c r="B357" s="5" t="s">
        <v>354</v>
      </c>
      <c r="C357" s="6" t="str">
        <f>IF(Changed!C357&lt;&gt;"", Changed!C357, "")</f>
        <v>Water</v>
      </c>
      <c r="D357" s="6" t="str">
        <f>IF(Changed!D357&lt;&gt;"", Changed!D357, "")</f>
        <v>Dark</v>
      </c>
      <c r="E357" s="6" t="str">
        <f>IF(Changed!E357&lt;&gt;"", Changed!E357, "")</f>
        <v>Rough Skin</v>
      </c>
      <c r="F357" s="6" t="str">
        <f>IF(Changed!F357&lt;&gt;"", Changed!F357, "")</f>
        <v>Speed Boost</v>
      </c>
      <c r="G357" s="7" t="str" cm="1">
        <f t="array" ref="G357">INDEX(Changed!$G:$G,ROW())&amp;IF(Changed!$G357&gt;Base!$G357,"↑",IF(Changed!$G357&lt;Base!$G357," ↓",""))</f>
        <v>460</v>
      </c>
      <c r="H357" s="7" t="str" cm="1">
        <f t="array" ref="H357">INDEX(Changed!$H:$H,ROW())&amp;IF(Changed!$H357&gt;Base!$H357,"↑",IF(Changed!$H357&lt;Base!$H357," ↓",""))</f>
        <v>70</v>
      </c>
      <c r="I357" s="7" t="str" cm="1">
        <f t="array" ref="I357">INDEX(Changed!$I:$I,ROW())&amp;IF(Changed!$I357&gt;Base!$I357,"↑",IF(Changed!$I357&lt;Base!$I357," ↓",""))</f>
        <v>120</v>
      </c>
      <c r="J357" s="7" t="str" cm="1">
        <f t="array" ref="J357">INDEX(Changed!$J:$J,ROW())&amp;IF(Changed!$J357&gt;Base!$J357,"↑",IF(Changed!$J357&lt;Base!$J357," ↓",""))</f>
        <v>40</v>
      </c>
      <c r="K357" s="7" t="str" cm="1">
        <f t="array" ref="K357">INDEX(Changed!$K:$K,ROW())&amp;IF(Changed!$K357&gt;Base!$K357,"↑",IF(Changed!$K357&lt;Base!$K357," ↓",""))</f>
        <v>95</v>
      </c>
      <c r="L357" s="7" t="str" cm="1">
        <f t="array" ref="L357">INDEX(Changed!$L:$L,ROW())&amp;IF(Changed!$L357&gt;Base!$L357,"↑",IF(Changed!$L357&lt;Base!$L357," ↓",""))</f>
        <v>40</v>
      </c>
      <c r="M357" s="7" t="str" cm="1">
        <f t="array" ref="M357">INDEX(Changed!$M:$M,ROW())&amp;IF(Changed!$M357&gt;Base!$M357,"↑",IF(Changed!$M357&lt;Base!$M357," ↓",""))</f>
        <v>95</v>
      </c>
      <c r="N357" s="19">
        <f>Changed!G357-Base!G357</f>
        <v>0</v>
      </c>
    </row>
    <row r="358" spans="1:14" ht="15.75" customHeight="1" x14ac:dyDescent="0.2">
      <c r="A358" s="4">
        <v>357</v>
      </c>
      <c r="B358" s="5" t="s">
        <v>355</v>
      </c>
      <c r="C358" s="6" t="str">
        <f>IF(Changed!C358&lt;&gt;"", Changed!C358, "")</f>
        <v>Water</v>
      </c>
      <c r="D358" s="6" t="str">
        <f>IF(Changed!D358&lt;&gt;"", Changed!D358, "")</f>
        <v/>
      </c>
      <c r="E358" s="6" t="str">
        <f>IF(Changed!E358&lt;&gt;"", Changed!E358, "")</f>
        <v>Water Veil</v>
      </c>
      <c r="F358" s="6" t="str">
        <f>IF(Changed!F358&lt;&gt;"", Changed!F358, "")</f>
        <v>Oblivious</v>
      </c>
      <c r="G358" s="7" t="str" cm="1">
        <f t="array" ref="G358">INDEX(Changed!$G:$G,ROW())&amp;IF(Changed!$G358&gt;Base!$G358,"↑",IF(Changed!$G358&lt;Base!$G358," ↓",""))</f>
        <v>400</v>
      </c>
      <c r="H358" s="7" t="str" cm="1">
        <f t="array" ref="H358">INDEX(Changed!$H:$H,ROW())&amp;IF(Changed!$H358&gt;Base!$H358,"↑",IF(Changed!$H358&lt;Base!$H358," ↓",""))</f>
        <v>150↑</v>
      </c>
      <c r="I358" s="7" t="str" cm="1">
        <f t="array" ref="I358">INDEX(Changed!$I:$I,ROW())&amp;IF(Changed!$I358&gt;Base!$I358,"↑",IF(Changed!$I358&lt;Base!$I358," ↓",""))</f>
        <v>70</v>
      </c>
      <c r="J358" s="7" t="str" cm="1">
        <f t="array" ref="J358">INDEX(Changed!$J:$J,ROW())&amp;IF(Changed!$J358&gt;Base!$J358,"↑",IF(Changed!$J358&lt;Base!$J358," ↓",""))</f>
        <v>35</v>
      </c>
      <c r="K358" s="7" t="str" cm="1">
        <f t="array" ref="K358">INDEX(Changed!$K:$K,ROW())&amp;IF(Changed!$K358&gt;Base!$K358,"↑",IF(Changed!$K358&lt;Base!$K358," ↓",""))</f>
        <v>70</v>
      </c>
      <c r="L358" s="7" t="str" cm="1">
        <f t="array" ref="L358">INDEX(Changed!$L:$L,ROW())&amp;IF(Changed!$L358&gt;Base!$L358,"↑",IF(Changed!$L358&lt;Base!$L358," ↓",""))</f>
        <v>35</v>
      </c>
      <c r="M358" s="7" t="str" cm="1">
        <f t="array" ref="M358">INDEX(Changed!$M:$M,ROW())&amp;IF(Changed!$M358&gt;Base!$M358,"↑",IF(Changed!$M358&lt;Base!$M358," ↓",""))</f>
        <v>40 ↓</v>
      </c>
      <c r="N358" s="19">
        <f>Changed!G358-Base!G358</f>
        <v>0</v>
      </c>
    </row>
    <row r="359" spans="1:14" ht="15.75" customHeight="1" x14ac:dyDescent="0.2">
      <c r="A359" s="4">
        <v>358</v>
      </c>
      <c r="B359" s="5" t="s">
        <v>356</v>
      </c>
      <c r="C359" s="6" t="str">
        <f>IF(Changed!C359&lt;&gt;"", Changed!C359, "")</f>
        <v>Water</v>
      </c>
      <c r="D359" s="6" t="str">
        <f>IF(Changed!D359&lt;&gt;"", Changed!D359, "")</f>
        <v/>
      </c>
      <c r="E359" s="6" t="str">
        <f>IF(Changed!E359&lt;&gt;"", Changed!E359, "")</f>
        <v>Water Veil</v>
      </c>
      <c r="F359" s="6" t="str">
        <f>IF(Changed!F359&lt;&gt;"", Changed!F359, "")</f>
        <v>Oblivious</v>
      </c>
      <c r="G359" s="7" t="str" cm="1">
        <f t="array" ref="G359">INDEX(Changed!$G:$G,ROW())&amp;IF(Changed!$G359&gt;Base!$G359,"↑",IF(Changed!$G359&lt;Base!$G359," ↓",""))</f>
        <v>520↑</v>
      </c>
      <c r="H359" s="7" t="str" cm="1">
        <f t="array" ref="H359">INDEX(Changed!$H:$H,ROW())&amp;IF(Changed!$H359&gt;Base!$H359,"↑",IF(Changed!$H359&lt;Base!$H359," ↓",""))</f>
        <v>190↑</v>
      </c>
      <c r="I359" s="7" t="str" cm="1">
        <f t="array" ref="I359">INDEX(Changed!$I:$I,ROW())&amp;IF(Changed!$I359&gt;Base!$I359,"↑",IF(Changed!$I359&lt;Base!$I359," ↓",""))</f>
        <v>90</v>
      </c>
      <c r="J359" s="7" t="str" cm="1">
        <f t="array" ref="J359">INDEX(Changed!$J:$J,ROW())&amp;IF(Changed!$J359&gt;Base!$J359,"↑",IF(Changed!$J359&lt;Base!$J359," ↓",""))</f>
        <v>45</v>
      </c>
      <c r="K359" s="7" t="str" cm="1">
        <f t="array" ref="K359">INDEX(Changed!$K:$K,ROW())&amp;IF(Changed!$K359&gt;Base!$K359,"↑",IF(Changed!$K359&lt;Base!$K359," ↓",""))</f>
        <v>90</v>
      </c>
      <c r="L359" s="7" t="str" cm="1">
        <f t="array" ref="L359">INDEX(Changed!$L:$L,ROW())&amp;IF(Changed!$L359&gt;Base!$L359,"↑",IF(Changed!$L359&lt;Base!$L359," ↓",""))</f>
        <v>45</v>
      </c>
      <c r="M359" s="7" t="str" cm="1">
        <f t="array" ref="M359">INDEX(Changed!$M:$M,ROW())&amp;IF(Changed!$M359&gt;Base!$M359,"↑",IF(Changed!$M359&lt;Base!$M359," ↓",""))</f>
        <v>60</v>
      </c>
      <c r="N359" s="19">
        <f>Changed!G359-Base!G359</f>
        <v>20</v>
      </c>
    </row>
    <row r="360" spans="1:14" ht="15.75" customHeight="1" x14ac:dyDescent="0.2">
      <c r="A360" s="4">
        <v>359</v>
      </c>
      <c r="B360" s="5" t="s">
        <v>357</v>
      </c>
      <c r="C360" s="6" t="str">
        <f>IF(Changed!C360&lt;&gt;"", Changed!C360, "")</f>
        <v>Fire</v>
      </c>
      <c r="D360" s="6" t="str">
        <f>IF(Changed!D360&lt;&gt;"", Changed!D360, "")</f>
        <v>Ground</v>
      </c>
      <c r="E360" s="6" t="str">
        <f>IF(Changed!E360&lt;&gt;"", Changed!E360, "")</f>
        <v>Simple</v>
      </c>
      <c r="F360" s="6" t="str">
        <f>IF(Changed!F360&lt;&gt;"", Changed!F360, "")</f>
        <v>Oblivious</v>
      </c>
      <c r="G360" s="7" t="str" cm="1">
        <f t="array" ref="G360">INDEX(Changed!$G:$G,ROW())&amp;IF(Changed!$G360&gt;Base!$G360,"↑",IF(Changed!$G360&lt;Base!$G360," ↓",""))</f>
        <v>305</v>
      </c>
      <c r="H360" s="7" t="str" cm="1">
        <f t="array" ref="H360">INDEX(Changed!$H:$H,ROW())&amp;IF(Changed!$H360&gt;Base!$H360,"↑",IF(Changed!$H360&lt;Base!$H360," ↓",""))</f>
        <v>60</v>
      </c>
      <c r="I360" s="7" t="str" cm="1">
        <f t="array" ref="I360">INDEX(Changed!$I:$I,ROW())&amp;IF(Changed!$I360&gt;Base!$I360,"↑",IF(Changed!$I360&lt;Base!$I360," ↓",""))</f>
        <v>60</v>
      </c>
      <c r="J360" s="7" t="str" cm="1">
        <f t="array" ref="J360">INDEX(Changed!$J:$J,ROW())&amp;IF(Changed!$J360&gt;Base!$J360,"↑",IF(Changed!$J360&lt;Base!$J360," ↓",""))</f>
        <v>40</v>
      </c>
      <c r="K360" s="7" t="str" cm="1">
        <f t="array" ref="K360">INDEX(Changed!$K:$K,ROW())&amp;IF(Changed!$K360&gt;Base!$K360,"↑",IF(Changed!$K360&lt;Base!$K360," ↓",""))</f>
        <v>65</v>
      </c>
      <c r="L360" s="7" t="str" cm="1">
        <f t="array" ref="L360">INDEX(Changed!$L:$L,ROW())&amp;IF(Changed!$L360&gt;Base!$L360,"↑",IF(Changed!$L360&lt;Base!$L360," ↓",""))</f>
        <v>45</v>
      </c>
      <c r="M360" s="7" t="str" cm="1">
        <f t="array" ref="M360">INDEX(Changed!$M:$M,ROW())&amp;IF(Changed!$M360&gt;Base!$M360,"↑",IF(Changed!$M360&lt;Base!$M360," ↓",""))</f>
        <v>35</v>
      </c>
      <c r="N360" s="19">
        <f>Changed!G360-Base!G360</f>
        <v>0</v>
      </c>
    </row>
    <row r="361" spans="1:14" ht="15.75" customHeight="1" x14ac:dyDescent="0.2">
      <c r="A361" s="4">
        <v>360</v>
      </c>
      <c r="B361" s="5" t="s">
        <v>358</v>
      </c>
      <c r="C361" s="6" t="str">
        <f>IF(Changed!C361&lt;&gt;"", Changed!C361, "")</f>
        <v>Fire</v>
      </c>
      <c r="D361" s="6" t="str">
        <f>IF(Changed!D361&lt;&gt;"", Changed!D361, "")</f>
        <v>Ground</v>
      </c>
      <c r="E361" s="6" t="str">
        <f>IF(Changed!E361&lt;&gt;"", Changed!E361, "")</f>
        <v>Magma Armor</v>
      </c>
      <c r="F361" s="6" t="str">
        <f>IF(Changed!F361&lt;&gt;"", Changed!F361, "")</f>
        <v>Mold Breaker</v>
      </c>
      <c r="G361" s="7" t="str" cm="1">
        <f t="array" ref="G361">INDEX(Changed!$G:$G,ROW())&amp;IF(Changed!$G361&gt;Base!$G361,"↑",IF(Changed!$G361&lt;Base!$G361," ↓",""))</f>
        <v>460</v>
      </c>
      <c r="H361" s="7" t="str" cm="1">
        <f t="array" ref="H361">INDEX(Changed!$H:$H,ROW())&amp;IF(Changed!$H361&gt;Base!$H361,"↑",IF(Changed!$H361&lt;Base!$H361," ↓",""))</f>
        <v>70</v>
      </c>
      <c r="I361" s="7" t="str" cm="1">
        <f t="array" ref="I361">INDEX(Changed!$I:$I,ROW())&amp;IF(Changed!$I361&gt;Base!$I361,"↑",IF(Changed!$I361&lt;Base!$I361," ↓",""))</f>
        <v>100</v>
      </c>
      <c r="J361" s="7" t="str" cm="1">
        <f t="array" ref="J361">INDEX(Changed!$J:$J,ROW())&amp;IF(Changed!$J361&gt;Base!$J361,"↑",IF(Changed!$J361&lt;Base!$J361," ↓",""))</f>
        <v>70</v>
      </c>
      <c r="K361" s="7" t="str" cm="1">
        <f t="array" ref="K361">INDEX(Changed!$K:$K,ROW())&amp;IF(Changed!$K361&gt;Base!$K361,"↑",IF(Changed!$K361&lt;Base!$K361," ↓",""))</f>
        <v>105</v>
      </c>
      <c r="L361" s="7" t="str" cm="1">
        <f t="array" ref="L361">INDEX(Changed!$L:$L,ROW())&amp;IF(Changed!$L361&gt;Base!$L361,"↑",IF(Changed!$L361&lt;Base!$L361," ↓",""))</f>
        <v>75</v>
      </c>
      <c r="M361" s="7" t="str" cm="1">
        <f t="array" ref="M361">INDEX(Changed!$M:$M,ROW())&amp;IF(Changed!$M361&gt;Base!$M361,"↑",IF(Changed!$M361&lt;Base!$M361," ↓",""))</f>
        <v>40</v>
      </c>
      <c r="N361" s="19">
        <f>Changed!G361-Base!G361</f>
        <v>0</v>
      </c>
    </row>
    <row r="362" spans="1:14" ht="15.75" customHeight="1" x14ac:dyDescent="0.2">
      <c r="A362" s="4">
        <v>361</v>
      </c>
      <c r="B362" s="5" t="s">
        <v>359</v>
      </c>
      <c r="C362" s="6" t="str">
        <f>IF(Changed!C362&lt;&gt;"", Changed!C362, "")</f>
        <v>Fire</v>
      </c>
      <c r="D362" s="6" t="str">
        <f>IF(Changed!D362&lt;&gt;"", Changed!D362, "")</f>
        <v/>
      </c>
      <c r="E362" s="6" t="str">
        <f>IF(Changed!E362&lt;&gt;"", Changed!E362, "")</f>
        <v>White Smoke</v>
      </c>
      <c r="F362" s="6" t="str">
        <f>IF(Changed!F362&lt;&gt;"", Changed!F362, "")</f>
        <v>Drought</v>
      </c>
      <c r="G362" s="7" t="str" cm="1">
        <f t="array" ref="G362">INDEX(Changed!$G:$G,ROW())&amp;IF(Changed!$G362&gt;Base!$G362,"↑",IF(Changed!$G362&lt;Base!$G362," ↓",""))</f>
        <v>470</v>
      </c>
      <c r="H362" s="7" t="str" cm="1">
        <f t="array" ref="H362">INDEX(Changed!$H:$H,ROW())&amp;IF(Changed!$H362&gt;Base!$H362,"↑",IF(Changed!$H362&lt;Base!$H362," ↓",""))</f>
        <v>70</v>
      </c>
      <c r="I362" s="7" t="str" cm="1">
        <f t="array" ref="I362">INDEX(Changed!$I:$I,ROW())&amp;IF(Changed!$I362&gt;Base!$I362,"↑",IF(Changed!$I362&lt;Base!$I362," ↓",""))</f>
        <v>85</v>
      </c>
      <c r="J362" s="7" t="str" cm="1">
        <f t="array" ref="J362">INDEX(Changed!$J:$J,ROW())&amp;IF(Changed!$J362&gt;Base!$J362,"↑",IF(Changed!$J362&lt;Base!$J362," ↓",""))</f>
        <v>140</v>
      </c>
      <c r="K362" s="7" t="str" cm="1">
        <f t="array" ref="K362">INDEX(Changed!$K:$K,ROW())&amp;IF(Changed!$K362&gt;Base!$K362,"↑",IF(Changed!$K362&lt;Base!$K362," ↓",""))</f>
        <v>85</v>
      </c>
      <c r="L362" s="7" t="str" cm="1">
        <f t="array" ref="L362">INDEX(Changed!$L:$L,ROW())&amp;IF(Changed!$L362&gt;Base!$L362,"↑",IF(Changed!$L362&lt;Base!$L362," ↓",""))</f>
        <v>70</v>
      </c>
      <c r="M362" s="7" t="str" cm="1">
        <f t="array" ref="M362">INDEX(Changed!$M:$M,ROW())&amp;IF(Changed!$M362&gt;Base!$M362,"↑",IF(Changed!$M362&lt;Base!$M362," ↓",""))</f>
        <v>20</v>
      </c>
      <c r="N362" s="19">
        <f>Changed!G362-Base!G362</f>
        <v>0</v>
      </c>
    </row>
    <row r="363" spans="1:14" ht="15.75" customHeight="1" x14ac:dyDescent="0.2">
      <c r="A363" s="4">
        <v>362</v>
      </c>
      <c r="B363" s="5" t="s">
        <v>360</v>
      </c>
      <c r="C363" s="6" t="str">
        <f>IF(Changed!C363&lt;&gt;"", Changed!C363, "")</f>
        <v>Psychic</v>
      </c>
      <c r="D363" s="6" t="str">
        <f>IF(Changed!D363&lt;&gt;"", Changed!D363, "")</f>
        <v>Dark</v>
      </c>
      <c r="E363" s="6" t="str">
        <f>IF(Changed!E363&lt;&gt;"", Changed!E363, "")</f>
        <v>Thick Fat</v>
      </c>
      <c r="F363" s="6" t="str">
        <f>IF(Changed!F363&lt;&gt;"", Changed!F363, "")</f>
        <v>Own Tempo</v>
      </c>
      <c r="G363" s="7" t="str" cm="1">
        <f t="array" ref="G363">INDEX(Changed!$G:$G,ROW())&amp;IF(Changed!$G363&gt;Base!$G363,"↑",IF(Changed!$G363&lt;Base!$G363," ↓",""))</f>
        <v>330</v>
      </c>
      <c r="H363" s="7" t="str" cm="1">
        <f t="array" ref="H363">INDEX(Changed!$H:$H,ROW())&amp;IF(Changed!$H363&gt;Base!$H363,"↑",IF(Changed!$H363&lt;Base!$H363," ↓",""))</f>
        <v>60</v>
      </c>
      <c r="I363" s="7" t="str" cm="1">
        <f t="array" ref="I363">INDEX(Changed!$I:$I,ROW())&amp;IF(Changed!$I363&gt;Base!$I363,"↑",IF(Changed!$I363&lt;Base!$I363," ↓",""))</f>
        <v>25</v>
      </c>
      <c r="J363" s="7" t="str" cm="1">
        <f t="array" ref="J363">INDEX(Changed!$J:$J,ROW())&amp;IF(Changed!$J363&gt;Base!$J363,"↑",IF(Changed!$J363&lt;Base!$J363," ↓",""))</f>
        <v>35</v>
      </c>
      <c r="K363" s="7" t="str" cm="1">
        <f t="array" ref="K363">INDEX(Changed!$K:$K,ROW())&amp;IF(Changed!$K363&gt;Base!$K363,"↑",IF(Changed!$K363&lt;Base!$K363," ↓",""))</f>
        <v>70</v>
      </c>
      <c r="L363" s="7" t="str" cm="1">
        <f t="array" ref="L363">INDEX(Changed!$L:$L,ROW())&amp;IF(Changed!$L363&gt;Base!$L363,"↑",IF(Changed!$L363&lt;Base!$L363," ↓",""))</f>
        <v>80</v>
      </c>
      <c r="M363" s="7" t="str" cm="1">
        <f t="array" ref="M363">INDEX(Changed!$M:$M,ROW())&amp;IF(Changed!$M363&gt;Base!$M363,"↑",IF(Changed!$M363&lt;Base!$M363," ↓",""))</f>
        <v>60</v>
      </c>
      <c r="N363" s="19">
        <f>Changed!G363-Base!G363</f>
        <v>0</v>
      </c>
    </row>
    <row r="364" spans="1:14" ht="15.75" customHeight="1" x14ac:dyDescent="0.2">
      <c r="A364" s="4">
        <v>363</v>
      </c>
      <c r="B364" s="5" t="s">
        <v>361</v>
      </c>
      <c r="C364" s="6" t="str">
        <f>IF(Changed!C364&lt;&gt;"", Changed!C364, "")</f>
        <v>Psychic</v>
      </c>
      <c r="D364" s="6" t="str">
        <f>IF(Changed!D364&lt;&gt;"", Changed!D364, "")</f>
        <v>Dark</v>
      </c>
      <c r="E364" s="6" t="str">
        <f>IF(Changed!E364&lt;&gt;"", Changed!E364, "")</f>
        <v>Thick Fat</v>
      </c>
      <c r="F364" s="6" t="str">
        <f>IF(Changed!F364&lt;&gt;"", Changed!F364, "")</f>
        <v>Own Tempo</v>
      </c>
      <c r="G364" s="7" t="str" cm="1">
        <f t="array" ref="G364">INDEX(Changed!$G:$G,ROW())&amp;IF(Changed!$G364&gt;Base!$G364,"↑",IF(Changed!$G364&lt;Base!$G364," ↓",""))</f>
        <v>470</v>
      </c>
      <c r="H364" s="7" t="str" cm="1">
        <f t="array" ref="H364">INDEX(Changed!$H:$H,ROW())&amp;IF(Changed!$H364&gt;Base!$H364,"↑",IF(Changed!$H364&lt;Base!$H364," ↓",""))</f>
        <v>80</v>
      </c>
      <c r="I364" s="7" t="str" cm="1">
        <f t="array" ref="I364">INDEX(Changed!$I:$I,ROW())&amp;IF(Changed!$I364&gt;Base!$I364,"↑",IF(Changed!$I364&lt;Base!$I364," ↓",""))</f>
        <v>45</v>
      </c>
      <c r="J364" s="7" t="str" cm="1">
        <f t="array" ref="J364">INDEX(Changed!$J:$J,ROW())&amp;IF(Changed!$J364&gt;Base!$J364,"↑",IF(Changed!$J364&lt;Base!$J364," ↓",""))</f>
        <v>65</v>
      </c>
      <c r="K364" s="7" t="str" cm="1">
        <f t="array" ref="K364">INDEX(Changed!$K:$K,ROW())&amp;IF(Changed!$K364&gt;Base!$K364,"↑",IF(Changed!$K364&lt;Base!$K364," ↓",""))</f>
        <v>90</v>
      </c>
      <c r="L364" s="7" t="str" cm="1">
        <f t="array" ref="L364">INDEX(Changed!$L:$L,ROW())&amp;IF(Changed!$L364&gt;Base!$L364,"↑",IF(Changed!$L364&lt;Base!$L364," ↓",""))</f>
        <v>110</v>
      </c>
      <c r="M364" s="7" t="str" cm="1">
        <f t="array" ref="M364">INDEX(Changed!$M:$M,ROW())&amp;IF(Changed!$M364&gt;Base!$M364,"↑",IF(Changed!$M364&lt;Base!$M364," ↓",""))</f>
        <v>80</v>
      </c>
      <c r="N364" s="19">
        <f>Changed!G364-Base!G364</f>
        <v>0</v>
      </c>
    </row>
    <row r="365" spans="1:14" ht="15.75" customHeight="1" x14ac:dyDescent="0.2">
      <c r="A365" s="4">
        <v>364</v>
      </c>
      <c r="B365" s="5" t="s">
        <v>362</v>
      </c>
      <c r="C365" s="6" t="str">
        <f>IF(Changed!C365&lt;&gt;"", Changed!C365, "")</f>
        <v>Normal</v>
      </c>
      <c r="D365" s="6" t="str">
        <f>IF(Changed!D365&lt;&gt;"", Changed!D365, "")</f>
        <v/>
      </c>
      <c r="E365" s="6" t="str">
        <f>IF(Changed!E365&lt;&gt;"", Changed!E365, "")</f>
        <v>Own Tempo</v>
      </c>
      <c r="F365" s="6" t="str">
        <f>IF(Changed!F365&lt;&gt;"", Changed!F365, "")</f>
        <v>Tangled Feet</v>
      </c>
      <c r="G365" s="7" t="str" cm="1">
        <f t="array" ref="G365">INDEX(Changed!$G:$G,ROW())&amp;IF(Changed!$G365&gt;Base!$G365,"↑",IF(Changed!$G365&lt;Base!$G365," ↓",""))</f>
        <v>360</v>
      </c>
      <c r="H365" s="7" t="str" cm="1">
        <f t="array" ref="H365">INDEX(Changed!$H:$H,ROW())&amp;IF(Changed!$H365&gt;Base!$H365,"↑",IF(Changed!$H365&lt;Base!$H365," ↓",""))</f>
        <v>60</v>
      </c>
      <c r="I365" s="7" t="str" cm="1">
        <f t="array" ref="I365">INDEX(Changed!$I:$I,ROW())&amp;IF(Changed!$I365&gt;Base!$I365,"↑",IF(Changed!$I365&lt;Base!$I365," ↓",""))</f>
        <v>60</v>
      </c>
      <c r="J365" s="7" t="str" cm="1">
        <f t="array" ref="J365">INDEX(Changed!$J:$J,ROW())&amp;IF(Changed!$J365&gt;Base!$J365,"↑",IF(Changed!$J365&lt;Base!$J365," ↓",""))</f>
        <v>60</v>
      </c>
      <c r="K365" s="7" t="str" cm="1">
        <f t="array" ref="K365">INDEX(Changed!$K:$K,ROW())&amp;IF(Changed!$K365&gt;Base!$K365,"↑",IF(Changed!$K365&lt;Base!$K365," ↓",""))</f>
        <v>60</v>
      </c>
      <c r="L365" s="7" t="str" cm="1">
        <f t="array" ref="L365">INDEX(Changed!$L:$L,ROW())&amp;IF(Changed!$L365&gt;Base!$L365,"↑",IF(Changed!$L365&lt;Base!$L365," ↓",""))</f>
        <v>60</v>
      </c>
      <c r="M365" s="7" t="str" cm="1">
        <f t="array" ref="M365">INDEX(Changed!$M:$M,ROW())&amp;IF(Changed!$M365&gt;Base!$M365,"↑",IF(Changed!$M365&lt;Base!$M365," ↓",""))</f>
        <v>60</v>
      </c>
      <c r="N365" s="19">
        <f>Changed!G365-Base!G365</f>
        <v>0</v>
      </c>
    </row>
    <row r="366" spans="1:14" ht="15.75" customHeight="1" x14ac:dyDescent="0.2">
      <c r="A366" s="4">
        <v>365</v>
      </c>
      <c r="B366" s="5" t="s">
        <v>363</v>
      </c>
      <c r="C366" s="6" t="str">
        <f>IF(Changed!C366&lt;&gt;"", Changed!C366, "")</f>
        <v>Ground</v>
      </c>
      <c r="D366" s="6" t="str">
        <f>IF(Changed!D366&lt;&gt;"", Changed!D366, "")</f>
        <v/>
      </c>
      <c r="E366" s="6" t="str">
        <f>IF(Changed!E366&lt;&gt;"", Changed!E366, "")</f>
        <v>Hyper Cutter</v>
      </c>
      <c r="F366" s="6" t="str">
        <f>IF(Changed!F366&lt;&gt;"", Changed!F366, "")</f>
        <v>Arena Trap</v>
      </c>
      <c r="G366" s="7" t="str" cm="1">
        <f t="array" ref="G366">INDEX(Changed!$G:$G,ROW())&amp;IF(Changed!$G366&gt;Base!$G366,"↑",IF(Changed!$G366&lt;Base!$G366," ↓",""))</f>
        <v>290</v>
      </c>
      <c r="H366" s="7" t="str" cm="1">
        <f t="array" ref="H366">INDEX(Changed!$H:$H,ROW())&amp;IF(Changed!$H366&gt;Base!$H366,"↑",IF(Changed!$H366&lt;Base!$H366," ↓",""))</f>
        <v>45</v>
      </c>
      <c r="I366" s="7" t="str" cm="1">
        <f t="array" ref="I366">INDEX(Changed!$I:$I,ROW())&amp;IF(Changed!$I366&gt;Base!$I366,"↑",IF(Changed!$I366&lt;Base!$I366," ↓",""))</f>
        <v>100</v>
      </c>
      <c r="J366" s="7" t="str" cm="1">
        <f t="array" ref="J366">INDEX(Changed!$J:$J,ROW())&amp;IF(Changed!$J366&gt;Base!$J366,"↑",IF(Changed!$J366&lt;Base!$J366," ↓",""))</f>
        <v>45</v>
      </c>
      <c r="K366" s="7" t="str" cm="1">
        <f t="array" ref="K366">INDEX(Changed!$K:$K,ROW())&amp;IF(Changed!$K366&gt;Base!$K366,"↑",IF(Changed!$K366&lt;Base!$K366," ↓",""))</f>
        <v>45</v>
      </c>
      <c r="L366" s="7" t="str" cm="1">
        <f t="array" ref="L366">INDEX(Changed!$L:$L,ROW())&amp;IF(Changed!$L366&gt;Base!$L366,"↑",IF(Changed!$L366&lt;Base!$L366," ↓",""))</f>
        <v>45</v>
      </c>
      <c r="M366" s="7" t="str" cm="1">
        <f t="array" ref="M366">INDEX(Changed!$M:$M,ROW())&amp;IF(Changed!$M366&gt;Base!$M366,"↑",IF(Changed!$M366&lt;Base!$M366," ↓",""))</f>
        <v>10</v>
      </c>
      <c r="N366" s="19">
        <f>Changed!G366-Base!G366</f>
        <v>0</v>
      </c>
    </row>
    <row r="367" spans="1:14" ht="15.75" customHeight="1" x14ac:dyDescent="0.2">
      <c r="A367" s="4">
        <v>366</v>
      </c>
      <c r="B367" s="5" t="s">
        <v>364</v>
      </c>
      <c r="C367" s="6" t="str">
        <f>IF(Changed!C367&lt;&gt;"", Changed!C367, "")</f>
        <v>Ground</v>
      </c>
      <c r="D367" s="6" t="str">
        <f>IF(Changed!D367&lt;&gt;"", Changed!D367, "")</f>
        <v>Dragon</v>
      </c>
      <c r="E367" s="6" t="str">
        <f>IF(Changed!E367&lt;&gt;"", Changed!E367, "")</f>
        <v>Levitate</v>
      </c>
      <c r="F367" s="6" t="str">
        <f>IF(Changed!F367&lt;&gt;"", Changed!F367, "")</f>
        <v/>
      </c>
      <c r="G367" s="7" t="str" cm="1">
        <f t="array" ref="G367">INDEX(Changed!$G:$G,ROW())&amp;IF(Changed!$G367&gt;Base!$G367,"↑",IF(Changed!$G367&lt;Base!$G367," ↓",""))</f>
        <v>340</v>
      </c>
      <c r="H367" s="7" t="str" cm="1">
        <f t="array" ref="H367">INDEX(Changed!$H:$H,ROW())&amp;IF(Changed!$H367&gt;Base!$H367,"↑",IF(Changed!$H367&lt;Base!$H367," ↓",""))</f>
        <v>50</v>
      </c>
      <c r="I367" s="7" t="str" cm="1">
        <f t="array" ref="I367">INDEX(Changed!$I:$I,ROW())&amp;IF(Changed!$I367&gt;Base!$I367,"↑",IF(Changed!$I367&lt;Base!$I367," ↓",""))</f>
        <v>70</v>
      </c>
      <c r="J367" s="7" t="str" cm="1">
        <f t="array" ref="J367">INDEX(Changed!$J:$J,ROW())&amp;IF(Changed!$J367&gt;Base!$J367,"↑",IF(Changed!$J367&lt;Base!$J367," ↓",""))</f>
        <v>50</v>
      </c>
      <c r="K367" s="7" t="str" cm="1">
        <f t="array" ref="K367">INDEX(Changed!$K:$K,ROW())&amp;IF(Changed!$K367&gt;Base!$K367,"↑",IF(Changed!$K367&lt;Base!$K367," ↓",""))</f>
        <v>50</v>
      </c>
      <c r="L367" s="7" t="str" cm="1">
        <f t="array" ref="L367">INDEX(Changed!$L:$L,ROW())&amp;IF(Changed!$L367&gt;Base!$L367,"↑",IF(Changed!$L367&lt;Base!$L367," ↓",""))</f>
        <v>50</v>
      </c>
      <c r="M367" s="7" t="str" cm="1">
        <f t="array" ref="M367">INDEX(Changed!$M:$M,ROW())&amp;IF(Changed!$M367&gt;Base!$M367,"↑",IF(Changed!$M367&lt;Base!$M367," ↓",""))</f>
        <v>70</v>
      </c>
      <c r="N367" s="19">
        <f>Changed!G367-Base!G367</f>
        <v>0</v>
      </c>
    </row>
    <row r="368" spans="1:14" ht="15.75" customHeight="1" x14ac:dyDescent="0.2">
      <c r="A368" s="4">
        <v>367</v>
      </c>
      <c r="B368" s="5" t="s">
        <v>365</v>
      </c>
      <c r="C368" s="6" t="str">
        <f>IF(Changed!C368&lt;&gt;"", Changed!C368, "")</f>
        <v>Ground</v>
      </c>
      <c r="D368" s="6" t="str">
        <f>IF(Changed!D368&lt;&gt;"", Changed!D368, "")</f>
        <v>Dragon</v>
      </c>
      <c r="E368" s="6" t="str">
        <f>IF(Changed!E368&lt;&gt;"", Changed!E368, "")</f>
        <v>Levitate</v>
      </c>
      <c r="F368" s="6" t="str">
        <f>IF(Changed!F368&lt;&gt;"", Changed!F368, "")</f>
        <v>Sand Stream</v>
      </c>
      <c r="G368" s="7" t="str" cm="1">
        <f t="array" ref="G368">INDEX(Changed!$G:$G,ROW())&amp;IF(Changed!$G368&gt;Base!$G368,"↑",IF(Changed!$G368&lt;Base!$G368," ↓",""))</f>
        <v>520</v>
      </c>
      <c r="H368" s="7" t="str" cm="1">
        <f t="array" ref="H368">INDEX(Changed!$H:$H,ROW())&amp;IF(Changed!$H368&gt;Base!$H368,"↑",IF(Changed!$H368&lt;Base!$H368," ↓",""))</f>
        <v>80</v>
      </c>
      <c r="I368" s="7" t="str" cm="1">
        <f t="array" ref="I368">INDEX(Changed!$I:$I,ROW())&amp;IF(Changed!$I368&gt;Base!$I368,"↑",IF(Changed!$I368&lt;Base!$I368," ↓",""))</f>
        <v>60 ↓</v>
      </c>
      <c r="J368" s="7" t="str" cm="1">
        <f t="array" ref="J368">INDEX(Changed!$J:$J,ROW())&amp;IF(Changed!$J368&gt;Base!$J368,"↑",IF(Changed!$J368&lt;Base!$J368," ↓",""))</f>
        <v>80</v>
      </c>
      <c r="K368" s="7" t="str" cm="1">
        <f t="array" ref="K368">INDEX(Changed!$K:$K,ROW())&amp;IF(Changed!$K368&gt;Base!$K368,"↑",IF(Changed!$K368&lt;Base!$K368," ↓",""))</f>
        <v>100↑</v>
      </c>
      <c r="L368" s="7" t="str" cm="1">
        <f t="array" ref="L368">INDEX(Changed!$L:$L,ROW())&amp;IF(Changed!$L368&gt;Base!$L368,"↑",IF(Changed!$L368&lt;Base!$L368," ↓",""))</f>
        <v>100↑</v>
      </c>
      <c r="M368" s="7" t="str" cm="1">
        <f t="array" ref="M368">INDEX(Changed!$M:$M,ROW())&amp;IF(Changed!$M368&gt;Base!$M368,"↑",IF(Changed!$M368&lt;Base!$M368," ↓",""))</f>
        <v>100</v>
      </c>
      <c r="N368" s="19">
        <f>Changed!G368-Base!G368</f>
        <v>0</v>
      </c>
    </row>
    <row r="369" spans="1:14" ht="15.75" customHeight="1" x14ac:dyDescent="0.2">
      <c r="A369" s="4">
        <v>368</v>
      </c>
      <c r="B369" s="5" t="s">
        <v>366</v>
      </c>
      <c r="C369" s="6" t="str">
        <f>IF(Changed!C369&lt;&gt;"", Changed!C369, "")</f>
        <v>Grass</v>
      </c>
      <c r="D369" s="6" t="str">
        <f>IF(Changed!D369&lt;&gt;"", Changed!D369, "")</f>
        <v/>
      </c>
      <c r="E369" s="6" t="str">
        <f>IF(Changed!E369&lt;&gt;"", Changed!E369, "")</f>
        <v>Sand Veil</v>
      </c>
      <c r="F369" s="6" t="str">
        <f>IF(Changed!F369&lt;&gt;"", Changed!F369, "")</f>
        <v/>
      </c>
      <c r="G369" s="7" t="str" cm="1">
        <f t="array" ref="G369">INDEX(Changed!$G:$G,ROW())&amp;IF(Changed!$G369&gt;Base!$G369,"↑",IF(Changed!$G369&lt;Base!$G369," ↓",""))</f>
        <v>335</v>
      </c>
      <c r="H369" s="7" t="str" cm="1">
        <f t="array" ref="H369">INDEX(Changed!$H:$H,ROW())&amp;IF(Changed!$H369&gt;Base!$H369,"↑",IF(Changed!$H369&lt;Base!$H369," ↓",""))</f>
        <v>50</v>
      </c>
      <c r="I369" s="7" t="str" cm="1">
        <f t="array" ref="I369">INDEX(Changed!$I:$I,ROW())&amp;IF(Changed!$I369&gt;Base!$I369,"↑",IF(Changed!$I369&lt;Base!$I369," ↓",""))</f>
        <v>85</v>
      </c>
      <c r="J369" s="7" t="str" cm="1">
        <f t="array" ref="J369">INDEX(Changed!$J:$J,ROW())&amp;IF(Changed!$J369&gt;Base!$J369,"↑",IF(Changed!$J369&lt;Base!$J369," ↓",""))</f>
        <v>40</v>
      </c>
      <c r="K369" s="7" t="str" cm="1">
        <f t="array" ref="K369">INDEX(Changed!$K:$K,ROW())&amp;IF(Changed!$K369&gt;Base!$K369,"↑",IF(Changed!$K369&lt;Base!$K369," ↓",""))</f>
        <v>85</v>
      </c>
      <c r="L369" s="7" t="str" cm="1">
        <f t="array" ref="L369">INDEX(Changed!$L:$L,ROW())&amp;IF(Changed!$L369&gt;Base!$L369,"↑",IF(Changed!$L369&lt;Base!$L369," ↓",""))</f>
        <v>40</v>
      </c>
      <c r="M369" s="7" t="str" cm="1">
        <f t="array" ref="M369">INDEX(Changed!$M:$M,ROW())&amp;IF(Changed!$M369&gt;Base!$M369,"↑",IF(Changed!$M369&lt;Base!$M369," ↓",""))</f>
        <v>35</v>
      </c>
      <c r="N369" s="19">
        <f>Changed!G369-Base!G369</f>
        <v>0</v>
      </c>
    </row>
    <row r="370" spans="1:14" ht="15.75" customHeight="1" x14ac:dyDescent="0.2">
      <c r="A370" s="4">
        <v>369</v>
      </c>
      <c r="B370" s="5" t="s">
        <v>367</v>
      </c>
      <c r="C370" s="6" t="str">
        <f>IF(Changed!C370&lt;&gt;"", Changed!C370, "")</f>
        <v>Grass</v>
      </c>
      <c r="D370" s="6" t="str">
        <f>IF(Changed!D370&lt;&gt;"", Changed!D370, "")</f>
        <v>Dark</v>
      </c>
      <c r="E370" s="6" t="str">
        <f>IF(Changed!E370&lt;&gt;"", Changed!E370, "")</f>
        <v>Sand Veil</v>
      </c>
      <c r="F370" s="6" t="str">
        <f>IF(Changed!F370&lt;&gt;"", Changed!F370, "")</f>
        <v/>
      </c>
      <c r="G370" s="7" t="str" cm="1">
        <f t="array" ref="G370">INDEX(Changed!$G:$G,ROW())&amp;IF(Changed!$G370&gt;Base!$G370,"↑",IF(Changed!$G370&lt;Base!$G370," ↓",""))</f>
        <v>475</v>
      </c>
      <c r="H370" s="7" t="str" cm="1">
        <f t="array" ref="H370">INDEX(Changed!$H:$H,ROW())&amp;IF(Changed!$H370&gt;Base!$H370,"↑",IF(Changed!$H370&lt;Base!$H370," ↓",""))</f>
        <v>70</v>
      </c>
      <c r="I370" s="7" t="str" cm="1">
        <f t="array" ref="I370">INDEX(Changed!$I:$I,ROW())&amp;IF(Changed!$I370&gt;Base!$I370,"↑",IF(Changed!$I370&lt;Base!$I370," ↓",""))</f>
        <v>115</v>
      </c>
      <c r="J370" s="7" t="str" cm="1">
        <f t="array" ref="J370">INDEX(Changed!$J:$J,ROW())&amp;IF(Changed!$J370&gt;Base!$J370,"↑",IF(Changed!$J370&lt;Base!$J370," ↓",""))</f>
        <v>60</v>
      </c>
      <c r="K370" s="7" t="str" cm="1">
        <f t="array" ref="K370">INDEX(Changed!$K:$K,ROW())&amp;IF(Changed!$K370&gt;Base!$K370,"↑",IF(Changed!$K370&lt;Base!$K370," ↓",""))</f>
        <v>115</v>
      </c>
      <c r="L370" s="7" t="str" cm="1">
        <f t="array" ref="L370">INDEX(Changed!$L:$L,ROW())&amp;IF(Changed!$L370&gt;Base!$L370,"↑",IF(Changed!$L370&lt;Base!$L370," ↓",""))</f>
        <v>60</v>
      </c>
      <c r="M370" s="7" t="str" cm="1">
        <f t="array" ref="M370">INDEX(Changed!$M:$M,ROW())&amp;IF(Changed!$M370&gt;Base!$M370,"↑",IF(Changed!$M370&lt;Base!$M370," ↓",""))</f>
        <v>55</v>
      </c>
      <c r="N370" s="19">
        <f>Changed!G370-Base!G370</f>
        <v>0</v>
      </c>
    </row>
    <row r="371" spans="1:14" ht="15.75" customHeight="1" x14ac:dyDescent="0.2">
      <c r="A371" s="4">
        <v>370</v>
      </c>
      <c r="B371" s="5" t="s">
        <v>368</v>
      </c>
      <c r="C371" s="6" t="str">
        <f>IF(Changed!C371&lt;&gt;"", Changed!C371, "")</f>
        <v>Normal</v>
      </c>
      <c r="D371" s="6" t="str">
        <f>IF(Changed!D371&lt;&gt;"", Changed!D371, "")</f>
        <v>None</v>
      </c>
      <c r="E371" s="6" t="str">
        <f>IF(Changed!E371&lt;&gt;"", Changed!E371, "")</f>
        <v>Natural Cure</v>
      </c>
      <c r="F371" s="6" t="str">
        <f>IF(Changed!F371&lt;&gt;"", Changed!F371, "")</f>
        <v>Cloud Nine</v>
      </c>
      <c r="G371" s="7" t="str" cm="1">
        <f t="array" ref="G371">INDEX(Changed!$G:$G,ROW())&amp;IF(Changed!$G371&gt;Base!$G371,"↑",IF(Changed!$G371&lt;Base!$G371," ↓",""))</f>
        <v>310</v>
      </c>
      <c r="H371" s="7" t="str" cm="1">
        <f t="array" ref="H371">INDEX(Changed!$H:$H,ROW())&amp;IF(Changed!$H371&gt;Base!$H371,"↑",IF(Changed!$H371&lt;Base!$H371," ↓",""))</f>
        <v>45</v>
      </c>
      <c r="I371" s="7" t="str" cm="1">
        <f t="array" ref="I371">INDEX(Changed!$I:$I,ROW())&amp;IF(Changed!$I371&gt;Base!$I371,"↑",IF(Changed!$I371&lt;Base!$I371," ↓",""))</f>
        <v>40</v>
      </c>
      <c r="J371" s="7" t="str" cm="1">
        <f t="array" ref="J371">INDEX(Changed!$J:$J,ROW())&amp;IF(Changed!$J371&gt;Base!$J371,"↑",IF(Changed!$J371&lt;Base!$J371," ↓",""))</f>
        <v>60</v>
      </c>
      <c r="K371" s="7" t="str" cm="1">
        <f t="array" ref="K371">INDEX(Changed!$K:$K,ROW())&amp;IF(Changed!$K371&gt;Base!$K371,"↑",IF(Changed!$K371&lt;Base!$K371," ↓",""))</f>
        <v>40</v>
      </c>
      <c r="L371" s="7" t="str" cm="1">
        <f t="array" ref="L371">INDEX(Changed!$L:$L,ROW())&amp;IF(Changed!$L371&gt;Base!$L371,"↑",IF(Changed!$L371&lt;Base!$L371," ↓",""))</f>
        <v>75</v>
      </c>
      <c r="M371" s="7" t="str" cm="1">
        <f t="array" ref="M371">INDEX(Changed!$M:$M,ROW())&amp;IF(Changed!$M371&gt;Base!$M371,"↑",IF(Changed!$M371&lt;Base!$M371," ↓",""))</f>
        <v>50</v>
      </c>
      <c r="N371" s="19">
        <f>Changed!G371-Base!G371</f>
        <v>0</v>
      </c>
    </row>
    <row r="372" spans="1:14" ht="15.75" customHeight="1" x14ac:dyDescent="0.2">
      <c r="A372" s="4">
        <v>371</v>
      </c>
      <c r="B372" s="5" t="s">
        <v>369</v>
      </c>
      <c r="C372" s="6" t="str">
        <f>IF(Changed!C372&lt;&gt;"", Changed!C372, "")</f>
        <v>Dragon</v>
      </c>
      <c r="D372" s="6" t="str">
        <f>IF(Changed!D372&lt;&gt;"", Changed!D372, "")</f>
        <v>None</v>
      </c>
      <c r="E372" s="6" t="str">
        <f>IF(Changed!E372&lt;&gt;"", Changed!E372, "")</f>
        <v>Natural Cure</v>
      </c>
      <c r="F372" s="6" t="str">
        <f>IF(Changed!F372&lt;&gt;"", Changed!F372, "")</f>
        <v>Cloud Nine</v>
      </c>
      <c r="G372" s="7" t="str" cm="1">
        <f t="array" ref="G372">INDEX(Changed!$G:$G,ROW())&amp;IF(Changed!$G372&gt;Base!$G372,"↑",IF(Changed!$G372&lt;Base!$G372," ↓",""))</f>
        <v>490</v>
      </c>
      <c r="H372" s="7" t="str" cm="1">
        <f t="array" ref="H372">INDEX(Changed!$H:$H,ROW())&amp;IF(Changed!$H372&gt;Base!$H372,"↑",IF(Changed!$H372&lt;Base!$H372," ↓",""))</f>
        <v>75</v>
      </c>
      <c r="I372" s="7" t="str" cm="1">
        <f t="array" ref="I372">INDEX(Changed!$I:$I,ROW())&amp;IF(Changed!$I372&gt;Base!$I372,"↑",IF(Changed!$I372&lt;Base!$I372," ↓",""))</f>
        <v>70</v>
      </c>
      <c r="J372" s="7" t="str" cm="1">
        <f t="array" ref="J372">INDEX(Changed!$J:$J,ROW())&amp;IF(Changed!$J372&gt;Base!$J372,"↑",IF(Changed!$J372&lt;Base!$J372," ↓",""))</f>
        <v>90</v>
      </c>
      <c r="K372" s="7" t="str" cm="1">
        <f t="array" ref="K372">INDEX(Changed!$K:$K,ROW())&amp;IF(Changed!$K372&gt;Base!$K372,"↑",IF(Changed!$K372&lt;Base!$K372," ↓",""))</f>
        <v>70</v>
      </c>
      <c r="L372" s="7" t="str" cm="1">
        <f t="array" ref="L372">INDEX(Changed!$L:$L,ROW())&amp;IF(Changed!$L372&gt;Base!$L372,"↑",IF(Changed!$L372&lt;Base!$L372," ↓",""))</f>
        <v>105</v>
      </c>
      <c r="M372" s="7" t="str" cm="1">
        <f t="array" ref="M372">INDEX(Changed!$M:$M,ROW())&amp;IF(Changed!$M372&gt;Base!$M372,"↑",IF(Changed!$M372&lt;Base!$M372," ↓",""))</f>
        <v>80</v>
      </c>
      <c r="N372" s="19">
        <f>Changed!G372-Base!G372</f>
        <v>0</v>
      </c>
    </row>
    <row r="373" spans="1:14" ht="15.75" customHeight="1" x14ac:dyDescent="0.2">
      <c r="A373" s="4">
        <v>372</v>
      </c>
      <c r="B373" s="5" t="s">
        <v>370</v>
      </c>
      <c r="C373" s="6" t="str">
        <f>IF(Changed!C373&lt;&gt;"", Changed!C373, "")</f>
        <v>Normal</v>
      </c>
      <c r="D373" s="6" t="str">
        <f>IF(Changed!D373&lt;&gt;"", Changed!D373, "")</f>
        <v/>
      </c>
      <c r="E373" s="6" t="str">
        <f>IF(Changed!E373&lt;&gt;"", Changed!E373, "")</f>
        <v>Immunity</v>
      </c>
      <c r="F373" s="6" t="str">
        <f>IF(Changed!F373&lt;&gt;"", Changed!F373, "")</f>
        <v/>
      </c>
      <c r="G373" s="7" t="str" cm="1">
        <f t="array" ref="G373">INDEX(Changed!$G:$G,ROW())&amp;IF(Changed!$G373&gt;Base!$G373,"↑",IF(Changed!$G373&lt;Base!$G373," ↓",""))</f>
        <v>458</v>
      </c>
      <c r="H373" s="7" t="str" cm="1">
        <f t="array" ref="H373">INDEX(Changed!$H:$H,ROW())&amp;IF(Changed!$H373&gt;Base!$H373,"↑",IF(Changed!$H373&lt;Base!$H373," ↓",""))</f>
        <v>73</v>
      </c>
      <c r="I373" s="7" t="str" cm="1">
        <f t="array" ref="I373">INDEX(Changed!$I:$I,ROW())&amp;IF(Changed!$I373&gt;Base!$I373,"↑",IF(Changed!$I373&lt;Base!$I373," ↓",""))</f>
        <v>115</v>
      </c>
      <c r="J373" s="7" t="str" cm="1">
        <f t="array" ref="J373">INDEX(Changed!$J:$J,ROW())&amp;IF(Changed!$J373&gt;Base!$J373,"↑",IF(Changed!$J373&lt;Base!$J373," ↓",""))</f>
        <v>60</v>
      </c>
      <c r="K373" s="7" t="str" cm="1">
        <f t="array" ref="K373">INDEX(Changed!$K:$K,ROW())&amp;IF(Changed!$K373&gt;Base!$K373,"↑",IF(Changed!$K373&lt;Base!$K373," ↓",""))</f>
        <v>60</v>
      </c>
      <c r="L373" s="7" t="str" cm="1">
        <f t="array" ref="L373">INDEX(Changed!$L:$L,ROW())&amp;IF(Changed!$L373&gt;Base!$L373,"↑",IF(Changed!$L373&lt;Base!$L373," ↓",""))</f>
        <v>60</v>
      </c>
      <c r="M373" s="7" t="str" cm="1">
        <f t="array" ref="M373">INDEX(Changed!$M:$M,ROW())&amp;IF(Changed!$M373&gt;Base!$M373,"↑",IF(Changed!$M373&lt;Base!$M373," ↓",""))</f>
        <v>90</v>
      </c>
      <c r="N373" s="19">
        <f>Changed!G373-Base!G373</f>
        <v>0</v>
      </c>
    </row>
    <row r="374" spans="1:14" ht="15.75" customHeight="1" x14ac:dyDescent="0.2">
      <c r="A374" s="4">
        <v>373</v>
      </c>
      <c r="B374" s="5" t="s">
        <v>371</v>
      </c>
      <c r="C374" s="6" t="str">
        <f>IF(Changed!C374&lt;&gt;"", Changed!C374, "")</f>
        <v>Poison</v>
      </c>
      <c r="D374" s="6" t="str">
        <f>IF(Changed!D374&lt;&gt;"", Changed!D374, "")</f>
        <v/>
      </c>
      <c r="E374" s="6" t="str">
        <f>IF(Changed!E374&lt;&gt;"", Changed!E374, "")</f>
        <v>Shed Skin</v>
      </c>
      <c r="F374" s="6" t="str">
        <f>IF(Changed!F374&lt;&gt;"", Changed!F374, "")</f>
        <v/>
      </c>
      <c r="G374" s="7" t="str" cm="1">
        <f t="array" ref="G374">INDEX(Changed!$G:$G,ROW())&amp;IF(Changed!$G374&gt;Base!$G374,"↑",IF(Changed!$G374&lt;Base!$G374," ↓",""))</f>
        <v>458</v>
      </c>
      <c r="H374" s="7" t="str" cm="1">
        <f t="array" ref="H374">INDEX(Changed!$H:$H,ROW())&amp;IF(Changed!$H374&gt;Base!$H374,"↑",IF(Changed!$H374&lt;Base!$H374," ↓",""))</f>
        <v>73</v>
      </c>
      <c r="I374" s="7" t="str" cm="1">
        <f t="array" ref="I374">INDEX(Changed!$I:$I,ROW())&amp;IF(Changed!$I374&gt;Base!$I374,"↑",IF(Changed!$I374&lt;Base!$I374," ↓",""))</f>
        <v>100</v>
      </c>
      <c r="J374" s="7" t="str" cm="1">
        <f t="array" ref="J374">INDEX(Changed!$J:$J,ROW())&amp;IF(Changed!$J374&gt;Base!$J374,"↑",IF(Changed!$J374&lt;Base!$J374," ↓",""))</f>
        <v>60</v>
      </c>
      <c r="K374" s="7" t="str" cm="1">
        <f t="array" ref="K374">INDEX(Changed!$K:$K,ROW())&amp;IF(Changed!$K374&gt;Base!$K374,"↑",IF(Changed!$K374&lt;Base!$K374," ↓",""))</f>
        <v>100</v>
      </c>
      <c r="L374" s="7" t="str" cm="1">
        <f t="array" ref="L374">INDEX(Changed!$L:$L,ROW())&amp;IF(Changed!$L374&gt;Base!$L374,"↑",IF(Changed!$L374&lt;Base!$L374," ↓",""))</f>
        <v>60</v>
      </c>
      <c r="M374" s="7" t="str" cm="1">
        <f t="array" ref="M374">INDEX(Changed!$M:$M,ROW())&amp;IF(Changed!$M374&gt;Base!$M374,"↑",IF(Changed!$M374&lt;Base!$M374," ↓",""))</f>
        <v>65</v>
      </c>
      <c r="N374" s="19">
        <f>Changed!G374-Base!G374</f>
        <v>0</v>
      </c>
    </row>
    <row r="375" spans="1:14" ht="15.75" customHeight="1" x14ac:dyDescent="0.2">
      <c r="A375" s="4">
        <v>374</v>
      </c>
      <c r="B375" s="5" t="s">
        <v>372</v>
      </c>
      <c r="C375" s="6" t="str">
        <f>IF(Changed!C375&lt;&gt;"", Changed!C375, "")</f>
        <v>Rock</v>
      </c>
      <c r="D375" s="6" t="str">
        <f>IF(Changed!D375&lt;&gt;"", Changed!D375, "")</f>
        <v>Psychic</v>
      </c>
      <c r="E375" s="6" t="str">
        <f>IF(Changed!E375&lt;&gt;"", Changed!E375, "")</f>
        <v>Levitate</v>
      </c>
      <c r="F375" s="6" t="str">
        <f>IF(Changed!F375&lt;&gt;"", Changed!F375, "")</f>
        <v/>
      </c>
      <c r="G375" s="7" t="str" cm="1">
        <f t="array" ref="G375">INDEX(Changed!$G:$G,ROW())&amp;IF(Changed!$G375&gt;Base!$G375,"↑",IF(Changed!$G375&lt;Base!$G375," ↓",""))</f>
        <v>460</v>
      </c>
      <c r="H375" s="7" t="str" cm="1">
        <f t="array" ref="H375">INDEX(Changed!$H:$H,ROW())&amp;IF(Changed!$H375&gt;Base!$H375,"↑",IF(Changed!$H375&lt;Base!$H375," ↓",""))</f>
        <v>90</v>
      </c>
      <c r="I375" s="7" t="str" cm="1">
        <f t="array" ref="I375">INDEX(Changed!$I:$I,ROW())&amp;IF(Changed!$I375&gt;Base!$I375,"↑",IF(Changed!$I375&lt;Base!$I375," ↓",""))</f>
        <v>55</v>
      </c>
      <c r="J375" s="7" t="str" cm="1">
        <f t="array" ref="J375">INDEX(Changed!$J:$J,ROW())&amp;IF(Changed!$J375&gt;Base!$J375,"↑",IF(Changed!$J375&lt;Base!$J375," ↓",""))</f>
        <v>65</v>
      </c>
      <c r="K375" s="7" t="str" cm="1">
        <f t="array" ref="K375">INDEX(Changed!$K:$K,ROW())&amp;IF(Changed!$K375&gt;Base!$K375,"↑",IF(Changed!$K375&lt;Base!$K375," ↓",""))</f>
        <v>95</v>
      </c>
      <c r="L375" s="7" t="str" cm="1">
        <f t="array" ref="L375">INDEX(Changed!$L:$L,ROW())&amp;IF(Changed!$L375&gt;Base!$L375,"↑",IF(Changed!$L375&lt;Base!$L375," ↓",""))</f>
        <v>85</v>
      </c>
      <c r="M375" s="7" t="str" cm="1">
        <f t="array" ref="M375">INDEX(Changed!$M:$M,ROW())&amp;IF(Changed!$M375&gt;Base!$M375,"↑",IF(Changed!$M375&lt;Base!$M375," ↓",""))</f>
        <v>70</v>
      </c>
      <c r="N375" s="19">
        <f>Changed!G375-Base!G375</f>
        <v>0</v>
      </c>
    </row>
    <row r="376" spans="1:14" ht="15.75" customHeight="1" x14ac:dyDescent="0.2">
      <c r="A376" s="4">
        <v>375</v>
      </c>
      <c r="B376" s="5" t="s">
        <v>373</v>
      </c>
      <c r="C376" s="6" t="str">
        <f>IF(Changed!C376&lt;&gt;"", Changed!C376, "")</f>
        <v>Rock</v>
      </c>
      <c r="D376" s="6" t="str">
        <f>IF(Changed!D376&lt;&gt;"", Changed!D376, "")</f>
        <v>Fire</v>
      </c>
      <c r="E376" s="6" t="str">
        <f>IF(Changed!E376&lt;&gt;"", Changed!E376, "")</f>
        <v>Levitate</v>
      </c>
      <c r="F376" s="6" t="str">
        <f>IF(Changed!F376&lt;&gt;"", Changed!F376, "")</f>
        <v/>
      </c>
      <c r="G376" s="7" t="str" cm="1">
        <f t="array" ref="G376">INDEX(Changed!$G:$G,ROW())&amp;IF(Changed!$G376&gt;Base!$G376,"↑",IF(Changed!$G376&lt;Base!$G376," ↓",""))</f>
        <v>460</v>
      </c>
      <c r="H376" s="7" t="str" cm="1">
        <f t="array" ref="H376">INDEX(Changed!$H:$H,ROW())&amp;IF(Changed!$H376&gt;Base!$H376,"↑",IF(Changed!$H376&lt;Base!$H376," ↓",""))</f>
        <v>90</v>
      </c>
      <c r="I376" s="7" t="str" cm="1">
        <f t="array" ref="I376">INDEX(Changed!$I:$I,ROW())&amp;IF(Changed!$I376&gt;Base!$I376,"↑",IF(Changed!$I376&lt;Base!$I376," ↓",""))</f>
        <v>95</v>
      </c>
      <c r="J376" s="7" t="str" cm="1">
        <f t="array" ref="J376">INDEX(Changed!$J:$J,ROW())&amp;IF(Changed!$J376&gt;Base!$J376,"↑",IF(Changed!$J376&lt;Base!$J376," ↓",""))</f>
        <v>85</v>
      </c>
      <c r="K376" s="7" t="str" cm="1">
        <f t="array" ref="K376">INDEX(Changed!$K:$K,ROW())&amp;IF(Changed!$K376&gt;Base!$K376,"↑",IF(Changed!$K376&lt;Base!$K376," ↓",""))</f>
        <v>55</v>
      </c>
      <c r="L376" s="7" t="str" cm="1">
        <f t="array" ref="L376">INDEX(Changed!$L:$L,ROW())&amp;IF(Changed!$L376&gt;Base!$L376,"↑",IF(Changed!$L376&lt;Base!$L376," ↓",""))</f>
        <v>65</v>
      </c>
      <c r="M376" s="7" t="str" cm="1">
        <f t="array" ref="M376">INDEX(Changed!$M:$M,ROW())&amp;IF(Changed!$M376&gt;Base!$M376,"↑",IF(Changed!$M376&lt;Base!$M376," ↓",""))</f>
        <v>70</v>
      </c>
      <c r="N376" s="19">
        <f>Changed!G376-Base!G376</f>
        <v>0</v>
      </c>
    </row>
    <row r="377" spans="1:14" ht="15.75" customHeight="1" x14ac:dyDescent="0.2">
      <c r="A377" s="4">
        <v>376</v>
      </c>
      <c r="B377" s="5" t="s">
        <v>374</v>
      </c>
      <c r="C377" s="6" t="str">
        <f>IF(Changed!C377&lt;&gt;"", Changed!C377, "")</f>
        <v>Electric</v>
      </c>
      <c r="D377" s="6" t="str">
        <f>IF(Changed!D377&lt;&gt;"", Changed!D377, "")</f>
        <v>Ground</v>
      </c>
      <c r="E377" s="6" t="str">
        <f>IF(Changed!E377&lt;&gt;"", Changed!E377, "")</f>
        <v>Oblivious</v>
      </c>
      <c r="F377" s="6" t="str">
        <f>IF(Changed!F377&lt;&gt;"", Changed!F377, "")</f>
        <v>Anticipation</v>
      </c>
      <c r="G377" s="7" t="str" cm="1">
        <f t="array" ref="G377">INDEX(Changed!$G:$G,ROW())&amp;IF(Changed!$G377&gt;Base!$G377,"↑",IF(Changed!$G377&lt;Base!$G377," ↓",""))</f>
        <v>288</v>
      </c>
      <c r="H377" s="7" t="str" cm="1">
        <f t="array" ref="H377">INDEX(Changed!$H:$H,ROW())&amp;IF(Changed!$H377&gt;Base!$H377,"↑",IF(Changed!$H377&lt;Base!$H377," ↓",""))</f>
        <v>50</v>
      </c>
      <c r="I377" s="7" t="str" cm="1">
        <f t="array" ref="I377">INDEX(Changed!$I:$I,ROW())&amp;IF(Changed!$I377&gt;Base!$I377,"↑",IF(Changed!$I377&lt;Base!$I377," ↓",""))</f>
        <v>48</v>
      </c>
      <c r="J377" s="7" t="str" cm="1">
        <f t="array" ref="J377">INDEX(Changed!$J:$J,ROW())&amp;IF(Changed!$J377&gt;Base!$J377,"↑",IF(Changed!$J377&lt;Base!$J377," ↓",""))</f>
        <v>43</v>
      </c>
      <c r="K377" s="7" t="str" cm="1">
        <f t="array" ref="K377">INDEX(Changed!$K:$K,ROW())&amp;IF(Changed!$K377&gt;Base!$K377,"↑",IF(Changed!$K377&lt;Base!$K377," ↓",""))</f>
        <v>46</v>
      </c>
      <c r="L377" s="7" t="str" cm="1">
        <f t="array" ref="L377">INDEX(Changed!$L:$L,ROW())&amp;IF(Changed!$L377&gt;Base!$L377,"↑",IF(Changed!$L377&lt;Base!$L377," ↓",""))</f>
        <v>41</v>
      </c>
      <c r="M377" s="7" t="str" cm="1">
        <f t="array" ref="M377">INDEX(Changed!$M:$M,ROW())&amp;IF(Changed!$M377&gt;Base!$M377,"↑",IF(Changed!$M377&lt;Base!$M377," ↓",""))</f>
        <v>60</v>
      </c>
      <c r="N377" s="19">
        <f>Changed!G377-Base!G377</f>
        <v>0</v>
      </c>
    </row>
    <row r="378" spans="1:14" ht="15.75" customHeight="1" x14ac:dyDescent="0.2">
      <c r="A378" s="4">
        <v>377</v>
      </c>
      <c r="B378" s="5" t="s">
        <v>375</v>
      </c>
      <c r="C378" s="6" t="str">
        <f>IF(Changed!C378&lt;&gt;"", Changed!C378, "")</f>
        <v>Electric</v>
      </c>
      <c r="D378" s="6" t="str">
        <f>IF(Changed!D378&lt;&gt;"", Changed!D378, "")</f>
        <v>Ground</v>
      </c>
      <c r="E378" s="6" t="str">
        <f>IF(Changed!E378&lt;&gt;"", Changed!E378, "")</f>
        <v>Oblivious</v>
      </c>
      <c r="F378" s="6" t="str">
        <f>IF(Changed!F378&lt;&gt;"", Changed!F378, "")</f>
        <v>Anticipation</v>
      </c>
      <c r="G378" s="7" t="str" cm="1">
        <f t="array" ref="G378">INDEX(Changed!$G:$G,ROW())&amp;IF(Changed!$G378&gt;Base!$G378,"↑",IF(Changed!$G378&lt;Base!$G378," ↓",""))</f>
        <v>468</v>
      </c>
      <c r="H378" s="7" t="str" cm="1">
        <f t="array" ref="H378">INDEX(Changed!$H:$H,ROW())&amp;IF(Changed!$H378&gt;Base!$H378,"↑",IF(Changed!$H378&lt;Base!$H378," ↓",""))</f>
        <v>110</v>
      </c>
      <c r="I378" s="7" t="str" cm="1">
        <f t="array" ref="I378">INDEX(Changed!$I:$I,ROW())&amp;IF(Changed!$I378&gt;Base!$I378,"↑",IF(Changed!$I378&lt;Base!$I378," ↓",""))</f>
        <v>78</v>
      </c>
      <c r="J378" s="7" t="str" cm="1">
        <f t="array" ref="J378">INDEX(Changed!$J:$J,ROW())&amp;IF(Changed!$J378&gt;Base!$J378,"↑",IF(Changed!$J378&lt;Base!$J378," ↓",""))</f>
        <v>73</v>
      </c>
      <c r="K378" s="7" t="str" cm="1">
        <f t="array" ref="K378">INDEX(Changed!$K:$K,ROW())&amp;IF(Changed!$K378&gt;Base!$K378,"↑",IF(Changed!$K378&lt;Base!$K378," ↓",""))</f>
        <v>76</v>
      </c>
      <c r="L378" s="7" t="str" cm="1">
        <f t="array" ref="L378">INDEX(Changed!$L:$L,ROW())&amp;IF(Changed!$L378&gt;Base!$L378,"↑",IF(Changed!$L378&lt;Base!$L378," ↓",""))</f>
        <v>71</v>
      </c>
      <c r="M378" s="7" t="str" cm="1">
        <f t="array" ref="M378">INDEX(Changed!$M:$M,ROW())&amp;IF(Changed!$M378&gt;Base!$M378,"↑",IF(Changed!$M378&lt;Base!$M378," ↓",""))</f>
        <v>60</v>
      </c>
      <c r="N378" s="19">
        <f>Changed!G378-Base!G378</f>
        <v>0</v>
      </c>
    </row>
    <row r="379" spans="1:14" ht="15.75" customHeight="1" x14ac:dyDescent="0.2">
      <c r="A379" s="4">
        <v>378</v>
      </c>
      <c r="B379" s="5" t="s">
        <v>376</v>
      </c>
      <c r="C379" s="6" t="str">
        <f>IF(Changed!C379&lt;&gt;"", Changed!C379, "")</f>
        <v>Water</v>
      </c>
      <c r="D379" s="6" t="str">
        <f>IF(Changed!D379&lt;&gt;"", Changed!D379, "")</f>
        <v/>
      </c>
      <c r="E379" s="6" t="str">
        <f>IF(Changed!E379&lt;&gt;"", Changed!E379, "")</f>
        <v>Hyper Cutter</v>
      </c>
      <c r="F379" s="6" t="str">
        <f>IF(Changed!F379&lt;&gt;"", Changed!F379, "")</f>
        <v>Shell Armor</v>
      </c>
      <c r="G379" s="7" t="str" cm="1">
        <f t="array" ref="G379">INDEX(Changed!$G:$G,ROW())&amp;IF(Changed!$G379&gt;Base!$G379,"↑",IF(Changed!$G379&lt;Base!$G379," ↓",""))</f>
        <v>308</v>
      </c>
      <c r="H379" s="7" t="str" cm="1">
        <f t="array" ref="H379">INDEX(Changed!$H:$H,ROW())&amp;IF(Changed!$H379&gt;Base!$H379,"↑",IF(Changed!$H379&lt;Base!$H379," ↓",""))</f>
        <v>43</v>
      </c>
      <c r="I379" s="7" t="str" cm="1">
        <f t="array" ref="I379">INDEX(Changed!$I:$I,ROW())&amp;IF(Changed!$I379&gt;Base!$I379,"↑",IF(Changed!$I379&lt;Base!$I379," ↓",""))</f>
        <v>80</v>
      </c>
      <c r="J379" s="7" t="str" cm="1">
        <f t="array" ref="J379">INDEX(Changed!$J:$J,ROW())&amp;IF(Changed!$J379&gt;Base!$J379,"↑",IF(Changed!$J379&lt;Base!$J379," ↓",""))</f>
        <v>65</v>
      </c>
      <c r="K379" s="7" t="str" cm="1">
        <f t="array" ref="K379">INDEX(Changed!$K:$K,ROW())&amp;IF(Changed!$K379&gt;Base!$K379,"↑",IF(Changed!$K379&lt;Base!$K379," ↓",""))</f>
        <v>50</v>
      </c>
      <c r="L379" s="7" t="str" cm="1">
        <f t="array" ref="L379">INDEX(Changed!$L:$L,ROW())&amp;IF(Changed!$L379&gt;Base!$L379,"↑",IF(Changed!$L379&lt;Base!$L379," ↓",""))</f>
        <v>35</v>
      </c>
      <c r="M379" s="7" t="str" cm="1">
        <f t="array" ref="M379">INDEX(Changed!$M:$M,ROW())&amp;IF(Changed!$M379&gt;Base!$M379,"↑",IF(Changed!$M379&lt;Base!$M379," ↓",""))</f>
        <v>35</v>
      </c>
      <c r="N379" s="19">
        <f>Changed!G379-Base!G379</f>
        <v>0</v>
      </c>
    </row>
    <row r="380" spans="1:14" ht="15.75" customHeight="1" x14ac:dyDescent="0.2">
      <c r="A380" s="4">
        <v>379</v>
      </c>
      <c r="B380" s="5" t="s">
        <v>377</v>
      </c>
      <c r="C380" s="6" t="str">
        <f>IF(Changed!C380&lt;&gt;"", Changed!C380, "")</f>
        <v>Water</v>
      </c>
      <c r="D380" s="6" t="str">
        <f>IF(Changed!D380&lt;&gt;"", Changed!D380, "")</f>
        <v>Dark</v>
      </c>
      <c r="E380" s="6" t="str">
        <f>IF(Changed!E380&lt;&gt;"", Changed!E380, "")</f>
        <v>Hyper Cutter</v>
      </c>
      <c r="F380" s="6" t="str">
        <f>IF(Changed!F380&lt;&gt;"", Changed!F380, "")</f>
        <v>Shell Armor</v>
      </c>
      <c r="G380" s="7" t="str" cm="1">
        <f t="array" ref="G380">INDEX(Changed!$G:$G,ROW())&amp;IF(Changed!$G380&gt;Base!$G380,"↑",IF(Changed!$G380&lt;Base!$G380," ↓",""))</f>
        <v>468</v>
      </c>
      <c r="H380" s="7" t="str" cm="1">
        <f t="array" ref="H380">INDEX(Changed!$H:$H,ROW())&amp;IF(Changed!$H380&gt;Base!$H380,"↑",IF(Changed!$H380&lt;Base!$H380," ↓",""))</f>
        <v>63</v>
      </c>
      <c r="I380" s="7" t="str" cm="1">
        <f t="array" ref="I380">INDEX(Changed!$I:$I,ROW())&amp;IF(Changed!$I380&gt;Base!$I380,"↑",IF(Changed!$I380&lt;Base!$I380," ↓",""))</f>
        <v>120</v>
      </c>
      <c r="J380" s="7" t="str" cm="1">
        <f t="array" ref="J380">INDEX(Changed!$J:$J,ROW())&amp;IF(Changed!$J380&gt;Base!$J380,"↑",IF(Changed!$J380&lt;Base!$J380," ↓",""))</f>
        <v>85</v>
      </c>
      <c r="K380" s="7" t="str" cm="1">
        <f t="array" ref="K380">INDEX(Changed!$K:$K,ROW())&amp;IF(Changed!$K380&gt;Base!$K380,"↑",IF(Changed!$K380&lt;Base!$K380," ↓",""))</f>
        <v>90</v>
      </c>
      <c r="L380" s="7" t="str" cm="1">
        <f t="array" ref="L380">INDEX(Changed!$L:$L,ROW())&amp;IF(Changed!$L380&gt;Base!$L380,"↑",IF(Changed!$L380&lt;Base!$L380," ↓",""))</f>
        <v>55</v>
      </c>
      <c r="M380" s="7" t="str" cm="1">
        <f t="array" ref="M380">INDEX(Changed!$M:$M,ROW())&amp;IF(Changed!$M380&gt;Base!$M380,"↑",IF(Changed!$M380&lt;Base!$M380," ↓",""))</f>
        <v>55</v>
      </c>
      <c r="N380" s="19">
        <f>Changed!G380-Base!G380</f>
        <v>0</v>
      </c>
    </row>
    <row r="381" spans="1:14" ht="15.75" customHeight="1" x14ac:dyDescent="0.2">
      <c r="A381" s="4">
        <v>380</v>
      </c>
      <c r="B381" s="5" t="s">
        <v>378</v>
      </c>
      <c r="C381" s="6" t="str">
        <f>IF(Changed!C381&lt;&gt;"", Changed!C381, "")</f>
        <v>Ground</v>
      </c>
      <c r="D381" s="6" t="str">
        <f>IF(Changed!D381&lt;&gt;"", Changed!D381, "")</f>
        <v>Psychic</v>
      </c>
      <c r="E381" s="6" t="str">
        <f>IF(Changed!E381&lt;&gt;"", Changed!E381, "")</f>
        <v>Levitate</v>
      </c>
      <c r="F381" s="6" t="str">
        <f>IF(Changed!F381&lt;&gt;"", Changed!F381, "")</f>
        <v/>
      </c>
      <c r="G381" s="7" t="str" cm="1">
        <f t="array" ref="G381">INDEX(Changed!$G:$G,ROW())&amp;IF(Changed!$G381&gt;Base!$G381,"↑",IF(Changed!$G381&lt;Base!$G381," ↓",""))</f>
        <v>300</v>
      </c>
      <c r="H381" s="7" t="str" cm="1">
        <f t="array" ref="H381">INDEX(Changed!$H:$H,ROW())&amp;IF(Changed!$H381&gt;Base!$H381,"↑",IF(Changed!$H381&lt;Base!$H381," ↓",""))</f>
        <v>40</v>
      </c>
      <c r="I381" s="7" t="str" cm="1">
        <f t="array" ref="I381">INDEX(Changed!$I:$I,ROW())&amp;IF(Changed!$I381&gt;Base!$I381,"↑",IF(Changed!$I381&lt;Base!$I381," ↓",""))</f>
        <v>40</v>
      </c>
      <c r="J381" s="7" t="str" cm="1">
        <f t="array" ref="J381">INDEX(Changed!$J:$J,ROW())&amp;IF(Changed!$J381&gt;Base!$J381,"↑",IF(Changed!$J381&lt;Base!$J381," ↓",""))</f>
        <v>55</v>
      </c>
      <c r="K381" s="7" t="str" cm="1">
        <f t="array" ref="K381">INDEX(Changed!$K:$K,ROW())&amp;IF(Changed!$K381&gt;Base!$K381,"↑",IF(Changed!$K381&lt;Base!$K381," ↓",""))</f>
        <v>40</v>
      </c>
      <c r="L381" s="7" t="str" cm="1">
        <f t="array" ref="L381">INDEX(Changed!$L:$L,ROW())&amp;IF(Changed!$L381&gt;Base!$L381,"↑",IF(Changed!$L381&lt;Base!$L381," ↓",""))</f>
        <v>70</v>
      </c>
      <c r="M381" s="7" t="str" cm="1">
        <f t="array" ref="M381">INDEX(Changed!$M:$M,ROW())&amp;IF(Changed!$M381&gt;Base!$M381,"↑",IF(Changed!$M381&lt;Base!$M381," ↓",""))</f>
        <v>55</v>
      </c>
      <c r="N381" s="19">
        <f>Changed!G381-Base!G381</f>
        <v>0</v>
      </c>
    </row>
    <row r="382" spans="1:14" ht="15.75" customHeight="1" x14ac:dyDescent="0.2">
      <c r="A382" s="4">
        <v>381</v>
      </c>
      <c r="B382" s="5" t="s">
        <v>379</v>
      </c>
      <c r="C382" s="6" t="str">
        <f>IF(Changed!C382&lt;&gt;"", Changed!C382, "")</f>
        <v>Ground</v>
      </c>
      <c r="D382" s="6" t="str">
        <f>IF(Changed!D382&lt;&gt;"", Changed!D382, "")</f>
        <v>Psychic</v>
      </c>
      <c r="E382" s="6" t="str">
        <f>IF(Changed!E382&lt;&gt;"", Changed!E382, "")</f>
        <v>Levitate</v>
      </c>
      <c r="F382" s="6" t="str">
        <f>IF(Changed!F382&lt;&gt;"", Changed!F382, "")</f>
        <v/>
      </c>
      <c r="G382" s="7" t="str" cm="1">
        <f t="array" ref="G382">INDEX(Changed!$G:$G,ROW())&amp;IF(Changed!$G382&gt;Base!$G382,"↑",IF(Changed!$G382&lt;Base!$G382," ↓",""))</f>
        <v>500</v>
      </c>
      <c r="H382" s="7" t="str" cm="1">
        <f t="array" ref="H382">INDEX(Changed!$H:$H,ROW())&amp;IF(Changed!$H382&gt;Base!$H382,"↑",IF(Changed!$H382&lt;Base!$H382," ↓",""))</f>
        <v>60</v>
      </c>
      <c r="I382" s="7" t="str" cm="1">
        <f t="array" ref="I382">INDEX(Changed!$I:$I,ROW())&amp;IF(Changed!$I382&gt;Base!$I382,"↑",IF(Changed!$I382&lt;Base!$I382," ↓",""))</f>
        <v>70</v>
      </c>
      <c r="J382" s="7" t="str" cm="1">
        <f t="array" ref="J382">INDEX(Changed!$J:$J,ROW())&amp;IF(Changed!$J382&gt;Base!$J382,"↑",IF(Changed!$J382&lt;Base!$J382," ↓",""))</f>
        <v>105</v>
      </c>
      <c r="K382" s="7" t="str" cm="1">
        <f t="array" ref="K382">INDEX(Changed!$K:$K,ROW())&amp;IF(Changed!$K382&gt;Base!$K382,"↑",IF(Changed!$K382&lt;Base!$K382," ↓",""))</f>
        <v>70</v>
      </c>
      <c r="L382" s="7" t="str" cm="1">
        <f t="array" ref="L382">INDEX(Changed!$L:$L,ROW())&amp;IF(Changed!$L382&gt;Base!$L382,"↑",IF(Changed!$L382&lt;Base!$L382," ↓",""))</f>
        <v>120</v>
      </c>
      <c r="M382" s="7" t="str" cm="1">
        <f t="array" ref="M382">INDEX(Changed!$M:$M,ROW())&amp;IF(Changed!$M382&gt;Base!$M382,"↑",IF(Changed!$M382&lt;Base!$M382," ↓",""))</f>
        <v>75</v>
      </c>
      <c r="N382" s="19">
        <f>Changed!G382-Base!G382</f>
        <v>0</v>
      </c>
    </row>
    <row r="383" spans="1:14" ht="15.75" customHeight="1" x14ac:dyDescent="0.2">
      <c r="A383" s="4">
        <v>382</v>
      </c>
      <c r="B383" s="5" t="s">
        <v>380</v>
      </c>
      <c r="C383" s="6" t="str">
        <f>IF(Changed!C383&lt;&gt;"", Changed!C383, "")</f>
        <v>Rock</v>
      </c>
      <c r="D383" s="6" t="str">
        <f>IF(Changed!D383&lt;&gt;"", Changed!D383, "")</f>
        <v>Grass</v>
      </c>
      <c r="E383" s="6" t="str">
        <f>IF(Changed!E383&lt;&gt;"", Changed!E383, "")</f>
        <v>Suction Cups</v>
      </c>
      <c r="F383" s="6" t="str">
        <f>IF(Changed!F383&lt;&gt;"", Changed!F383, "")</f>
        <v/>
      </c>
      <c r="G383" s="7" t="str" cm="1">
        <f t="array" ref="G383">INDEX(Changed!$G:$G,ROW())&amp;IF(Changed!$G383&gt;Base!$G383,"↑",IF(Changed!$G383&lt;Base!$G383," ↓",""))</f>
        <v>355</v>
      </c>
      <c r="H383" s="7" t="str" cm="1">
        <f t="array" ref="H383">INDEX(Changed!$H:$H,ROW())&amp;IF(Changed!$H383&gt;Base!$H383,"↑",IF(Changed!$H383&lt;Base!$H383," ↓",""))</f>
        <v>66</v>
      </c>
      <c r="I383" s="7" t="str" cm="1">
        <f t="array" ref="I383">INDEX(Changed!$I:$I,ROW())&amp;IF(Changed!$I383&gt;Base!$I383,"↑",IF(Changed!$I383&lt;Base!$I383," ↓",""))</f>
        <v>41</v>
      </c>
      <c r="J383" s="7" t="str" cm="1">
        <f t="array" ref="J383">INDEX(Changed!$J:$J,ROW())&amp;IF(Changed!$J383&gt;Base!$J383,"↑",IF(Changed!$J383&lt;Base!$J383," ↓",""))</f>
        <v>77</v>
      </c>
      <c r="K383" s="7" t="str" cm="1">
        <f t="array" ref="K383">INDEX(Changed!$K:$K,ROW())&amp;IF(Changed!$K383&gt;Base!$K383,"↑",IF(Changed!$K383&lt;Base!$K383," ↓",""))</f>
        <v>61</v>
      </c>
      <c r="L383" s="7" t="str" cm="1">
        <f t="array" ref="L383">INDEX(Changed!$L:$L,ROW())&amp;IF(Changed!$L383&gt;Base!$L383,"↑",IF(Changed!$L383&lt;Base!$L383," ↓",""))</f>
        <v>87</v>
      </c>
      <c r="M383" s="7" t="str" cm="1">
        <f t="array" ref="M383">INDEX(Changed!$M:$M,ROW())&amp;IF(Changed!$M383&gt;Base!$M383,"↑",IF(Changed!$M383&lt;Base!$M383," ↓",""))</f>
        <v>23</v>
      </c>
      <c r="N383" s="19">
        <f>Changed!G383-Base!G383</f>
        <v>0</v>
      </c>
    </row>
    <row r="384" spans="1:14" ht="15.75" customHeight="1" x14ac:dyDescent="0.2">
      <c r="A384" s="4">
        <v>383</v>
      </c>
      <c r="B384" s="5" t="s">
        <v>381</v>
      </c>
      <c r="C384" s="6" t="str">
        <f>IF(Changed!C384&lt;&gt;"", Changed!C384, "")</f>
        <v>Rock</v>
      </c>
      <c r="D384" s="6" t="str">
        <f>IF(Changed!D384&lt;&gt;"", Changed!D384, "")</f>
        <v>Grass</v>
      </c>
      <c r="E384" s="6" t="str">
        <f>IF(Changed!E384&lt;&gt;"", Changed!E384, "")</f>
        <v>Suction Cups</v>
      </c>
      <c r="F384" s="6" t="str">
        <f>IF(Changed!F384&lt;&gt;"", Changed!F384, "")</f>
        <v/>
      </c>
      <c r="G384" s="7" t="str" cm="1">
        <f t="array" ref="G384">INDEX(Changed!$G:$G,ROW())&amp;IF(Changed!$G384&gt;Base!$G384,"↑",IF(Changed!$G384&lt;Base!$G384," ↓",""))</f>
        <v>495</v>
      </c>
      <c r="H384" s="7" t="str" cm="1">
        <f t="array" ref="H384">INDEX(Changed!$H:$H,ROW())&amp;IF(Changed!$H384&gt;Base!$H384,"↑",IF(Changed!$H384&lt;Base!$H384," ↓",""))</f>
        <v>86</v>
      </c>
      <c r="I384" s="7" t="str" cm="1">
        <f t="array" ref="I384">INDEX(Changed!$I:$I,ROW())&amp;IF(Changed!$I384&gt;Base!$I384,"↑",IF(Changed!$I384&lt;Base!$I384," ↓",""))</f>
        <v>81</v>
      </c>
      <c r="J384" s="7" t="str" cm="1">
        <f t="array" ref="J384">INDEX(Changed!$J:$J,ROW())&amp;IF(Changed!$J384&gt;Base!$J384,"↑",IF(Changed!$J384&lt;Base!$J384," ↓",""))</f>
        <v>97</v>
      </c>
      <c r="K384" s="7" t="str" cm="1">
        <f t="array" ref="K384">INDEX(Changed!$K:$K,ROW())&amp;IF(Changed!$K384&gt;Base!$K384,"↑",IF(Changed!$K384&lt;Base!$K384," ↓",""))</f>
        <v>81</v>
      </c>
      <c r="L384" s="7" t="str" cm="1">
        <f t="array" ref="L384">INDEX(Changed!$L:$L,ROW())&amp;IF(Changed!$L384&gt;Base!$L384,"↑",IF(Changed!$L384&lt;Base!$L384," ↓",""))</f>
        <v>107</v>
      </c>
      <c r="M384" s="7" t="str" cm="1">
        <f t="array" ref="M384">INDEX(Changed!$M:$M,ROW())&amp;IF(Changed!$M384&gt;Base!$M384,"↑",IF(Changed!$M384&lt;Base!$M384," ↓",""))</f>
        <v>43</v>
      </c>
      <c r="N384" s="19">
        <f>Changed!G384-Base!G384</f>
        <v>0</v>
      </c>
    </row>
    <row r="385" spans="1:14" ht="15.75" customHeight="1" x14ac:dyDescent="0.2">
      <c r="A385" s="4">
        <v>384</v>
      </c>
      <c r="B385" s="5" t="s">
        <v>382</v>
      </c>
      <c r="C385" s="6" t="str">
        <f>IF(Changed!C385&lt;&gt;"", Changed!C385, "")</f>
        <v>Rock</v>
      </c>
      <c r="D385" s="6" t="str">
        <f>IF(Changed!D385&lt;&gt;"", Changed!D385, "")</f>
        <v>Grass</v>
      </c>
      <c r="E385" s="6" t="str">
        <f>IF(Changed!E385&lt;&gt;"", Changed!E385, "")</f>
        <v>Battle Armor</v>
      </c>
      <c r="F385" s="6" t="str">
        <f>IF(Changed!F385&lt;&gt;"", Changed!F385, "")</f>
        <v/>
      </c>
      <c r="G385" s="7" t="str" cm="1">
        <f t="array" ref="G385">INDEX(Changed!$G:$G,ROW())&amp;IF(Changed!$G385&gt;Base!$G385,"↑",IF(Changed!$G385&lt;Base!$G385," ↓",""))</f>
        <v>355</v>
      </c>
      <c r="H385" s="7" t="str" cm="1">
        <f t="array" ref="H385">INDEX(Changed!$H:$H,ROW())&amp;IF(Changed!$H385&gt;Base!$H385,"↑",IF(Changed!$H385&lt;Base!$H385," ↓",""))</f>
        <v>45</v>
      </c>
      <c r="I385" s="7" t="str" cm="1">
        <f t="array" ref="I385">INDEX(Changed!$I:$I,ROW())&amp;IF(Changed!$I385&gt;Base!$I385,"↑",IF(Changed!$I385&lt;Base!$I385," ↓",""))</f>
        <v>95</v>
      </c>
      <c r="J385" s="7" t="str" cm="1">
        <f t="array" ref="J385">INDEX(Changed!$J:$J,ROW())&amp;IF(Changed!$J385&gt;Base!$J385,"↑",IF(Changed!$J385&lt;Base!$J385," ↓",""))</f>
        <v>50</v>
      </c>
      <c r="K385" s="7" t="str" cm="1">
        <f t="array" ref="K385">INDEX(Changed!$K:$K,ROW())&amp;IF(Changed!$K385&gt;Base!$K385,"↑",IF(Changed!$K385&lt;Base!$K385," ↓",""))</f>
        <v>40</v>
      </c>
      <c r="L385" s="7" t="str" cm="1">
        <f t="array" ref="L385">INDEX(Changed!$L:$L,ROW())&amp;IF(Changed!$L385&gt;Base!$L385,"↑",IF(Changed!$L385&lt;Base!$L385," ↓",""))</f>
        <v>50</v>
      </c>
      <c r="M385" s="7" t="str" cm="1">
        <f t="array" ref="M385">INDEX(Changed!$M:$M,ROW())&amp;IF(Changed!$M385&gt;Base!$M385,"↑",IF(Changed!$M385&lt;Base!$M385," ↓",""))</f>
        <v>75</v>
      </c>
      <c r="N385" s="19">
        <f>Changed!G385-Base!G385</f>
        <v>0</v>
      </c>
    </row>
    <row r="386" spans="1:14" ht="15.75" customHeight="1" x14ac:dyDescent="0.2">
      <c r="A386" s="4">
        <v>385</v>
      </c>
      <c r="B386" s="5" t="s">
        <v>383</v>
      </c>
      <c r="C386" s="6" t="str">
        <f>IF(Changed!C386&lt;&gt;"", Changed!C386, "")</f>
        <v>Rock</v>
      </c>
      <c r="D386" s="6" t="str">
        <f>IF(Changed!D386&lt;&gt;"", Changed!D386, "")</f>
        <v>Grass</v>
      </c>
      <c r="E386" s="6" t="str">
        <f>IF(Changed!E386&lt;&gt;"", Changed!E386, "")</f>
        <v>Battle Armor</v>
      </c>
      <c r="F386" s="6" t="str">
        <f>IF(Changed!F386&lt;&gt;"", Changed!F386, "")</f>
        <v/>
      </c>
      <c r="G386" s="7" t="str" cm="1">
        <f t="array" ref="G386">INDEX(Changed!$G:$G,ROW())&amp;IF(Changed!$G386&gt;Base!$G386,"↑",IF(Changed!$G386&lt;Base!$G386," ↓",""))</f>
        <v>495</v>
      </c>
      <c r="H386" s="7" t="str" cm="1">
        <f t="array" ref="H386">INDEX(Changed!$H:$H,ROW())&amp;IF(Changed!$H386&gt;Base!$H386,"↑",IF(Changed!$H386&lt;Base!$H386," ↓",""))</f>
        <v>75</v>
      </c>
      <c r="I386" s="7" t="str" cm="1">
        <f t="array" ref="I386">INDEX(Changed!$I:$I,ROW())&amp;IF(Changed!$I386&gt;Base!$I386,"↑",IF(Changed!$I386&lt;Base!$I386," ↓",""))</f>
        <v>125</v>
      </c>
      <c r="J386" s="7" t="str" cm="1">
        <f t="array" ref="J386">INDEX(Changed!$J:$J,ROW())&amp;IF(Changed!$J386&gt;Base!$J386,"↑",IF(Changed!$J386&lt;Base!$J386," ↓",""))</f>
        <v>100</v>
      </c>
      <c r="K386" s="7" t="str" cm="1">
        <f t="array" ref="K386">INDEX(Changed!$K:$K,ROW())&amp;IF(Changed!$K386&gt;Base!$K386,"↑",IF(Changed!$K386&lt;Base!$K386," ↓",""))</f>
        <v>70</v>
      </c>
      <c r="L386" s="7" t="str" cm="1">
        <f t="array" ref="L386">INDEX(Changed!$L:$L,ROW())&amp;IF(Changed!$L386&gt;Base!$L386,"↑",IF(Changed!$L386&lt;Base!$L386," ↓",""))</f>
        <v>80</v>
      </c>
      <c r="M386" s="7" t="str" cm="1">
        <f t="array" ref="M386">INDEX(Changed!$M:$M,ROW())&amp;IF(Changed!$M386&gt;Base!$M386,"↑",IF(Changed!$M386&lt;Base!$M386," ↓",""))</f>
        <v>45</v>
      </c>
      <c r="N386" s="19">
        <f>Changed!G386-Base!G386</f>
        <v>0</v>
      </c>
    </row>
    <row r="387" spans="1:14" ht="15.75" customHeight="1" x14ac:dyDescent="0.2">
      <c r="A387" s="4">
        <v>386</v>
      </c>
      <c r="B387" s="5" t="s">
        <v>384</v>
      </c>
      <c r="C387" s="6" t="str">
        <f>IF(Changed!C387&lt;&gt;"", Changed!C387, "")</f>
        <v>Water</v>
      </c>
      <c r="D387" s="6" t="str">
        <f>IF(Changed!D387&lt;&gt;"", Changed!D387, "")</f>
        <v/>
      </c>
      <c r="E387" s="6" t="str">
        <f>IF(Changed!E387&lt;&gt;"", Changed!E387, "")</f>
        <v>Swift Swim</v>
      </c>
      <c r="F387" s="6" t="str">
        <f>IF(Changed!F387&lt;&gt;"", Changed!F387, "")</f>
        <v/>
      </c>
      <c r="G387" s="7" t="str" cm="1">
        <f t="array" ref="G387">INDEX(Changed!$G:$G,ROW())&amp;IF(Changed!$G387&gt;Base!$G387,"↑",IF(Changed!$G387&lt;Base!$G387," ↓",""))</f>
        <v>200</v>
      </c>
      <c r="H387" s="7" t="str" cm="1">
        <f t="array" ref="H387">INDEX(Changed!$H:$H,ROW())&amp;IF(Changed!$H387&gt;Base!$H387,"↑",IF(Changed!$H387&lt;Base!$H387," ↓",""))</f>
        <v>20</v>
      </c>
      <c r="I387" s="7" t="str" cm="1">
        <f t="array" ref="I387">INDEX(Changed!$I:$I,ROW())&amp;IF(Changed!$I387&gt;Base!$I387,"↑",IF(Changed!$I387&lt;Base!$I387," ↓",""))</f>
        <v>15</v>
      </c>
      <c r="J387" s="7" t="str" cm="1">
        <f t="array" ref="J387">INDEX(Changed!$J:$J,ROW())&amp;IF(Changed!$J387&gt;Base!$J387,"↑",IF(Changed!$J387&lt;Base!$J387," ↓",""))</f>
        <v>20</v>
      </c>
      <c r="K387" s="7" t="str" cm="1">
        <f t="array" ref="K387">INDEX(Changed!$K:$K,ROW())&amp;IF(Changed!$K387&gt;Base!$K387,"↑",IF(Changed!$K387&lt;Base!$K387," ↓",""))</f>
        <v>10</v>
      </c>
      <c r="L387" s="7" t="str" cm="1">
        <f t="array" ref="L387">INDEX(Changed!$L:$L,ROW())&amp;IF(Changed!$L387&gt;Base!$L387,"↑",IF(Changed!$L387&lt;Base!$L387," ↓",""))</f>
        <v>55</v>
      </c>
      <c r="M387" s="7" t="str" cm="1">
        <f t="array" ref="M387">INDEX(Changed!$M:$M,ROW())&amp;IF(Changed!$M387&gt;Base!$M387,"↑",IF(Changed!$M387&lt;Base!$M387," ↓",""))</f>
        <v>80</v>
      </c>
      <c r="N387" s="19">
        <f>Changed!G387-Base!G387</f>
        <v>0</v>
      </c>
    </row>
    <row r="388" spans="1:14" ht="15.75" customHeight="1" x14ac:dyDescent="0.2">
      <c r="A388" s="4">
        <v>387</v>
      </c>
      <c r="B388" s="5" t="s">
        <v>385</v>
      </c>
      <c r="C388" s="6" t="str">
        <f>IF(Changed!C388&lt;&gt;"", Changed!C388, "")</f>
        <v>Water</v>
      </c>
      <c r="D388" s="6" t="str">
        <f>IF(Changed!D388&lt;&gt;"", Changed!D388, "")</f>
        <v>Dragon</v>
      </c>
      <c r="E388" s="6" t="str">
        <f>IF(Changed!E388&lt;&gt;"", Changed!E388, "")</f>
        <v>Marvel Scale</v>
      </c>
      <c r="F388" s="6" t="str">
        <f>IF(Changed!F388&lt;&gt;"", Changed!F388, "")</f>
        <v/>
      </c>
      <c r="G388" s="7" t="str" cm="1">
        <f t="array" ref="G388">INDEX(Changed!$G:$G,ROW())&amp;IF(Changed!$G388&gt;Base!$G388,"↑",IF(Changed!$G388&lt;Base!$G388," ↓",""))</f>
        <v>540</v>
      </c>
      <c r="H388" s="7" t="str" cm="1">
        <f t="array" ref="H388">INDEX(Changed!$H:$H,ROW())&amp;IF(Changed!$H388&gt;Base!$H388,"↑",IF(Changed!$H388&lt;Base!$H388," ↓",""))</f>
        <v>95</v>
      </c>
      <c r="I388" s="7" t="str" cm="1">
        <f t="array" ref="I388">INDEX(Changed!$I:$I,ROW())&amp;IF(Changed!$I388&gt;Base!$I388,"↑",IF(Changed!$I388&lt;Base!$I388," ↓",""))</f>
        <v>60</v>
      </c>
      <c r="J388" s="7" t="str" cm="1">
        <f t="array" ref="J388">INDEX(Changed!$J:$J,ROW())&amp;IF(Changed!$J388&gt;Base!$J388,"↑",IF(Changed!$J388&lt;Base!$J388," ↓",""))</f>
        <v>79</v>
      </c>
      <c r="K388" s="7" t="str" cm="1">
        <f t="array" ref="K388">INDEX(Changed!$K:$K,ROW())&amp;IF(Changed!$K388&gt;Base!$K388,"↑",IF(Changed!$K388&lt;Base!$K388," ↓",""))</f>
        <v>100</v>
      </c>
      <c r="L388" s="7" t="str" cm="1">
        <f t="array" ref="L388">INDEX(Changed!$L:$L,ROW())&amp;IF(Changed!$L388&gt;Base!$L388,"↑",IF(Changed!$L388&lt;Base!$L388," ↓",""))</f>
        <v>125</v>
      </c>
      <c r="M388" s="7" t="str" cm="1">
        <f t="array" ref="M388">INDEX(Changed!$M:$M,ROW())&amp;IF(Changed!$M388&gt;Base!$M388,"↑",IF(Changed!$M388&lt;Base!$M388," ↓",""))</f>
        <v>81</v>
      </c>
      <c r="N388" s="19">
        <f>Changed!G388-Base!G388</f>
        <v>0</v>
      </c>
    </row>
    <row r="389" spans="1:14" ht="15.75" customHeight="1" x14ac:dyDescent="0.2">
      <c r="A389" s="4">
        <v>388</v>
      </c>
      <c r="B389" s="5" t="s">
        <v>386</v>
      </c>
      <c r="C389" s="6" t="str">
        <f>IF(Changed!C389&lt;&gt;"", Changed!C389, "")</f>
        <v>Normal</v>
      </c>
      <c r="D389" s="6" t="str">
        <f>IF(Changed!D389&lt;&gt;"", Changed!D389, "")</f>
        <v/>
      </c>
      <c r="E389" s="6" t="str">
        <f>IF(Changed!E389&lt;&gt;"", Changed!E389, "")</f>
        <v>Forecast</v>
      </c>
      <c r="F389" s="6" t="str">
        <f>IF(Changed!F389&lt;&gt;"", Changed!F389, "")</f>
        <v/>
      </c>
      <c r="G389" s="7" t="str" cm="1">
        <f t="array" ref="G389">INDEX(Changed!$G:$G,ROW())&amp;IF(Changed!$G389&gt;Base!$G389,"↑",IF(Changed!$G389&lt;Base!$G389," ↓",""))</f>
        <v>420</v>
      </c>
      <c r="H389" s="7" t="str" cm="1">
        <f t="array" ref="H389">INDEX(Changed!$H:$H,ROW())&amp;IF(Changed!$H389&gt;Base!$H389,"↑",IF(Changed!$H389&lt;Base!$H389," ↓",""))</f>
        <v>70</v>
      </c>
      <c r="I389" s="7" t="str" cm="1">
        <f t="array" ref="I389">INDEX(Changed!$I:$I,ROW())&amp;IF(Changed!$I389&gt;Base!$I389,"↑",IF(Changed!$I389&lt;Base!$I389," ↓",""))</f>
        <v>70</v>
      </c>
      <c r="J389" s="7" t="str" cm="1">
        <f t="array" ref="J389">INDEX(Changed!$J:$J,ROW())&amp;IF(Changed!$J389&gt;Base!$J389,"↑",IF(Changed!$J389&lt;Base!$J389," ↓",""))</f>
        <v>70</v>
      </c>
      <c r="K389" s="7" t="str" cm="1">
        <f t="array" ref="K389">INDEX(Changed!$K:$K,ROW())&amp;IF(Changed!$K389&gt;Base!$K389,"↑",IF(Changed!$K389&lt;Base!$K389," ↓",""))</f>
        <v>70</v>
      </c>
      <c r="L389" s="7" t="str" cm="1">
        <f t="array" ref="L389">INDEX(Changed!$L:$L,ROW())&amp;IF(Changed!$L389&gt;Base!$L389,"↑",IF(Changed!$L389&lt;Base!$L389," ↓",""))</f>
        <v>70</v>
      </c>
      <c r="M389" s="7" t="str" cm="1">
        <f t="array" ref="M389">INDEX(Changed!$M:$M,ROW())&amp;IF(Changed!$M389&gt;Base!$M389,"↑",IF(Changed!$M389&lt;Base!$M389," ↓",""))</f>
        <v>70</v>
      </c>
      <c r="N389" s="19"/>
    </row>
    <row r="390" spans="1:14" ht="15.75" customHeight="1" x14ac:dyDescent="0.2">
      <c r="A390" s="4">
        <v>389</v>
      </c>
      <c r="B390" s="5" t="s">
        <v>387</v>
      </c>
      <c r="C390" s="6" t="str">
        <f>IF(Changed!C390&lt;&gt;"", Changed!C390, "")</f>
        <v>Normal</v>
      </c>
      <c r="D390" s="6" t="str">
        <f>IF(Changed!D390&lt;&gt;"", Changed!D390, "")</f>
        <v>Ghost</v>
      </c>
      <c r="E390" s="6" t="str">
        <f>IF(Changed!E390&lt;&gt;"", Changed!E390, "")</f>
        <v>Color Change</v>
      </c>
      <c r="F390" s="6" t="str">
        <f>IF(Changed!F390&lt;&gt;"", Changed!F390, "")</f>
        <v>Protean</v>
      </c>
      <c r="G390" s="7" t="str" cm="1">
        <f t="array" ref="G390">INDEX(Changed!$G:$G,ROW())&amp;IF(Changed!$G390&gt;Base!$G390,"↑",IF(Changed!$G390&lt;Base!$G390," ↓",""))</f>
        <v>440</v>
      </c>
      <c r="H390" s="7" t="str" cm="1">
        <f t="array" ref="H390">INDEX(Changed!$H:$H,ROW())&amp;IF(Changed!$H390&gt;Base!$H390,"↑",IF(Changed!$H390&lt;Base!$H390," ↓",""))</f>
        <v>60</v>
      </c>
      <c r="I390" s="7" t="str" cm="1">
        <f t="array" ref="I390">INDEX(Changed!$I:$I,ROW())&amp;IF(Changed!$I390&gt;Base!$I390,"↑",IF(Changed!$I390&lt;Base!$I390," ↓",""))</f>
        <v>90</v>
      </c>
      <c r="J390" s="7" t="str" cm="1">
        <f t="array" ref="J390">INDEX(Changed!$J:$J,ROW())&amp;IF(Changed!$J390&gt;Base!$J390,"↑",IF(Changed!$J390&lt;Base!$J390," ↓",""))</f>
        <v>70</v>
      </c>
      <c r="K390" s="7" t="str" cm="1">
        <f t="array" ref="K390">INDEX(Changed!$K:$K,ROW())&amp;IF(Changed!$K390&gt;Base!$K390,"↑",IF(Changed!$K390&lt;Base!$K390," ↓",""))</f>
        <v>60</v>
      </c>
      <c r="L390" s="7" t="str" cm="1">
        <f t="array" ref="L390">INDEX(Changed!$L:$L,ROW())&amp;IF(Changed!$L390&gt;Base!$L390,"↑",IF(Changed!$L390&lt;Base!$L390," ↓",""))</f>
        <v>120</v>
      </c>
      <c r="M390" s="7" t="str" cm="1">
        <f t="array" ref="M390">INDEX(Changed!$M:$M,ROW())&amp;IF(Changed!$M390&gt;Base!$M390,"↑",IF(Changed!$M390&lt;Base!$M390," ↓",""))</f>
        <v>40</v>
      </c>
      <c r="N390" s="19">
        <f>Changed!G390-Base!G390</f>
        <v>0</v>
      </c>
    </row>
    <row r="391" spans="1:14" ht="15.75" customHeight="1" x14ac:dyDescent="0.2">
      <c r="A391" s="4">
        <v>390</v>
      </c>
      <c r="B391" s="5" t="s">
        <v>388</v>
      </c>
      <c r="C391" s="6" t="str">
        <f>IF(Changed!C391&lt;&gt;"", Changed!C391, "")</f>
        <v>Ghost</v>
      </c>
      <c r="D391" s="6" t="str">
        <f>IF(Changed!D391&lt;&gt;"", Changed!D391, "")</f>
        <v/>
      </c>
      <c r="E391" s="6" t="str">
        <f>IF(Changed!E391&lt;&gt;"", Changed!E391, "")</f>
        <v>Cursed Body</v>
      </c>
      <c r="F391" s="6" t="str">
        <f>IF(Changed!F391&lt;&gt;"", Changed!F391, "")</f>
        <v>Prankster</v>
      </c>
      <c r="G391" s="7" t="str" cm="1">
        <f t="array" ref="G391">INDEX(Changed!$G:$G,ROW())&amp;IF(Changed!$G391&gt;Base!$G391,"↑",IF(Changed!$G391&lt;Base!$G391," ↓",""))</f>
        <v>295</v>
      </c>
      <c r="H391" s="7" t="str" cm="1">
        <f t="array" ref="H391">INDEX(Changed!$H:$H,ROW())&amp;IF(Changed!$H391&gt;Base!$H391,"↑",IF(Changed!$H391&lt;Base!$H391," ↓",""))</f>
        <v>44</v>
      </c>
      <c r="I391" s="7" t="str" cm="1">
        <f t="array" ref="I391">INDEX(Changed!$I:$I,ROW())&amp;IF(Changed!$I391&gt;Base!$I391,"↑",IF(Changed!$I391&lt;Base!$I391," ↓",""))</f>
        <v>75</v>
      </c>
      <c r="J391" s="7" t="str" cm="1">
        <f t="array" ref="J391">INDEX(Changed!$J:$J,ROW())&amp;IF(Changed!$J391&gt;Base!$J391,"↑",IF(Changed!$J391&lt;Base!$J391," ↓",""))</f>
        <v>35</v>
      </c>
      <c r="K391" s="7" t="str" cm="1">
        <f t="array" ref="K391">INDEX(Changed!$K:$K,ROW())&amp;IF(Changed!$K391&gt;Base!$K391,"↑",IF(Changed!$K391&lt;Base!$K391," ↓",""))</f>
        <v>63</v>
      </c>
      <c r="L391" s="7" t="str" cm="1">
        <f t="array" ref="L391">INDEX(Changed!$L:$L,ROW())&amp;IF(Changed!$L391&gt;Base!$L391,"↑",IF(Changed!$L391&lt;Base!$L391," ↓",""))</f>
        <v>33</v>
      </c>
      <c r="M391" s="7" t="str" cm="1">
        <f t="array" ref="M391">INDEX(Changed!$M:$M,ROW())&amp;IF(Changed!$M391&gt;Base!$M391,"↑",IF(Changed!$M391&lt;Base!$M391," ↓",""))</f>
        <v>45</v>
      </c>
      <c r="N391" s="19">
        <f>Changed!G391-Base!G391</f>
        <v>0</v>
      </c>
    </row>
    <row r="392" spans="1:14" ht="15.75" customHeight="1" x14ac:dyDescent="0.2">
      <c r="A392" s="4">
        <v>391</v>
      </c>
      <c r="B392" s="5" t="s">
        <v>389</v>
      </c>
      <c r="C392" s="6" t="str">
        <f>IF(Changed!C392&lt;&gt;"", Changed!C392, "")</f>
        <v>Ghost</v>
      </c>
      <c r="D392" s="6" t="str">
        <f>IF(Changed!D392&lt;&gt;"", Changed!D392, "")</f>
        <v>Dark</v>
      </c>
      <c r="E392" s="6" t="str">
        <f>IF(Changed!E392&lt;&gt;"", Changed!E392, "")</f>
        <v>Tough Claws</v>
      </c>
      <c r="F392" s="6" t="str">
        <f>IF(Changed!F392&lt;&gt;"", Changed!F392, "")</f>
        <v>Prankster</v>
      </c>
      <c r="G392" s="7" t="str" cm="1">
        <f t="array" ref="G392">INDEX(Changed!$G:$G,ROW())&amp;IF(Changed!$G392&gt;Base!$G392,"↑",IF(Changed!$G392&lt;Base!$G392," ↓",""))</f>
        <v>455</v>
      </c>
      <c r="H392" s="7" t="str" cm="1">
        <f t="array" ref="H392">INDEX(Changed!$H:$H,ROW())&amp;IF(Changed!$H392&gt;Base!$H392,"↑",IF(Changed!$H392&lt;Base!$H392," ↓",""))</f>
        <v>64</v>
      </c>
      <c r="I392" s="7" t="str" cm="1">
        <f t="array" ref="I392">INDEX(Changed!$I:$I,ROW())&amp;IF(Changed!$I392&gt;Base!$I392,"↑",IF(Changed!$I392&lt;Base!$I392," ↓",""))</f>
        <v>115</v>
      </c>
      <c r="J392" s="7" t="str" cm="1">
        <f t="array" ref="J392">INDEX(Changed!$J:$J,ROW())&amp;IF(Changed!$J392&gt;Base!$J392,"↑",IF(Changed!$J392&lt;Base!$J392," ↓",""))</f>
        <v>65</v>
      </c>
      <c r="K392" s="7" t="str" cm="1">
        <f t="array" ref="K392">INDEX(Changed!$K:$K,ROW())&amp;IF(Changed!$K392&gt;Base!$K392,"↑",IF(Changed!$K392&lt;Base!$K392," ↓",""))</f>
        <v>83</v>
      </c>
      <c r="L392" s="7" t="str" cm="1">
        <f t="array" ref="L392">INDEX(Changed!$L:$L,ROW())&amp;IF(Changed!$L392&gt;Base!$L392,"↑",IF(Changed!$L392&lt;Base!$L392," ↓",""))</f>
        <v>63</v>
      </c>
      <c r="M392" s="7" t="str" cm="1">
        <f t="array" ref="M392">INDEX(Changed!$M:$M,ROW())&amp;IF(Changed!$M392&gt;Base!$M392,"↑",IF(Changed!$M392&lt;Base!$M392," ↓",""))</f>
        <v>65</v>
      </c>
      <c r="N392" s="19">
        <f>Changed!G392-Base!G392</f>
        <v>0</v>
      </c>
    </row>
    <row r="393" spans="1:14" ht="15.75" customHeight="1" x14ac:dyDescent="0.2">
      <c r="A393" s="4">
        <v>392</v>
      </c>
      <c r="B393" s="5" t="s">
        <v>390</v>
      </c>
      <c r="C393" s="6" t="str">
        <f>IF(Changed!C393&lt;&gt;"", Changed!C393, "")</f>
        <v>Ghost</v>
      </c>
      <c r="D393" s="6" t="str">
        <f>IF(Changed!D393&lt;&gt;"", Changed!D393, "")</f>
        <v/>
      </c>
      <c r="E393" s="6" t="str">
        <f>IF(Changed!E393&lt;&gt;"", Changed!E393, "")</f>
        <v>Levitate</v>
      </c>
      <c r="F393" s="6" t="str">
        <f>IF(Changed!F393&lt;&gt;"", Changed!F393, "")</f>
        <v/>
      </c>
      <c r="G393" s="7" t="str" cm="1">
        <f t="array" ref="G393">INDEX(Changed!$G:$G,ROW())&amp;IF(Changed!$G393&gt;Base!$G393,"↑",IF(Changed!$G393&lt;Base!$G393," ↓",""))</f>
        <v>295</v>
      </c>
      <c r="H393" s="7" t="str" cm="1">
        <f t="array" ref="H393">INDEX(Changed!$H:$H,ROW())&amp;IF(Changed!$H393&gt;Base!$H393,"↑",IF(Changed!$H393&lt;Base!$H393," ↓",""))</f>
        <v>20</v>
      </c>
      <c r="I393" s="7" t="str" cm="1">
        <f t="array" ref="I393">INDEX(Changed!$I:$I,ROW())&amp;IF(Changed!$I393&gt;Base!$I393,"↑",IF(Changed!$I393&lt;Base!$I393," ↓",""))</f>
        <v>40</v>
      </c>
      <c r="J393" s="7" t="str" cm="1">
        <f t="array" ref="J393">INDEX(Changed!$J:$J,ROW())&amp;IF(Changed!$J393&gt;Base!$J393,"↑",IF(Changed!$J393&lt;Base!$J393," ↓",""))</f>
        <v>90</v>
      </c>
      <c r="K393" s="7" t="str" cm="1">
        <f t="array" ref="K393">INDEX(Changed!$K:$K,ROW())&amp;IF(Changed!$K393&gt;Base!$K393,"↑",IF(Changed!$K393&lt;Base!$K393," ↓",""))</f>
        <v>30</v>
      </c>
      <c r="L393" s="7" t="str" cm="1">
        <f t="array" ref="L393">INDEX(Changed!$L:$L,ROW())&amp;IF(Changed!$L393&gt;Base!$L393,"↑",IF(Changed!$L393&lt;Base!$L393," ↓",""))</f>
        <v>90</v>
      </c>
      <c r="M393" s="7" t="str" cm="1">
        <f t="array" ref="M393">INDEX(Changed!$M:$M,ROW())&amp;IF(Changed!$M393&gt;Base!$M393,"↑",IF(Changed!$M393&lt;Base!$M393," ↓",""))</f>
        <v>25</v>
      </c>
      <c r="N393" s="19">
        <f>Changed!G393-Base!G393</f>
        <v>0</v>
      </c>
    </row>
    <row r="394" spans="1:14" ht="15.75" customHeight="1" x14ac:dyDescent="0.2">
      <c r="A394" s="4">
        <v>393</v>
      </c>
      <c r="B394" s="5" t="s">
        <v>391</v>
      </c>
      <c r="C394" s="6" t="str">
        <f>IF(Changed!C394&lt;&gt;"", Changed!C394, "")</f>
        <v>Ghost</v>
      </c>
      <c r="D394" s="6" t="str">
        <f>IF(Changed!D394&lt;&gt;"", Changed!D394, "")</f>
        <v/>
      </c>
      <c r="E394" s="6" t="str">
        <f>IF(Changed!E394&lt;&gt;"", Changed!E394, "")</f>
        <v>Pressure</v>
      </c>
      <c r="F394" s="6" t="str">
        <f>IF(Changed!F394&lt;&gt;"", Changed!F394, "")</f>
        <v/>
      </c>
      <c r="G394" s="7" t="str" cm="1">
        <f t="array" ref="G394">INDEX(Changed!$G:$G,ROW())&amp;IF(Changed!$G394&gt;Base!$G394,"↑",IF(Changed!$G394&lt;Base!$G394," ↓",""))</f>
        <v>455</v>
      </c>
      <c r="H394" s="7" t="str" cm="1">
        <f t="array" ref="H394">INDEX(Changed!$H:$H,ROW())&amp;IF(Changed!$H394&gt;Base!$H394,"↑",IF(Changed!$H394&lt;Base!$H394," ↓",""))</f>
        <v>40</v>
      </c>
      <c r="I394" s="7" t="str" cm="1">
        <f t="array" ref="I394">INDEX(Changed!$I:$I,ROW())&amp;IF(Changed!$I394&gt;Base!$I394,"↑",IF(Changed!$I394&lt;Base!$I394," ↓",""))</f>
        <v>70</v>
      </c>
      <c r="J394" s="7" t="str" cm="1">
        <f t="array" ref="J394">INDEX(Changed!$J:$J,ROW())&amp;IF(Changed!$J394&gt;Base!$J394,"↑",IF(Changed!$J394&lt;Base!$J394," ↓",""))</f>
        <v>130</v>
      </c>
      <c r="K394" s="7" t="str" cm="1">
        <f t="array" ref="K394">INDEX(Changed!$K:$K,ROW())&amp;IF(Changed!$K394&gt;Base!$K394,"↑",IF(Changed!$K394&lt;Base!$K394," ↓",""))</f>
        <v>60</v>
      </c>
      <c r="L394" s="7" t="str" cm="1">
        <f t="array" ref="L394">INDEX(Changed!$L:$L,ROW())&amp;IF(Changed!$L394&gt;Base!$L394,"↑",IF(Changed!$L394&lt;Base!$L394," ↓",""))</f>
        <v>130</v>
      </c>
      <c r="M394" s="7" t="str" cm="1">
        <f t="array" ref="M394">INDEX(Changed!$M:$M,ROW())&amp;IF(Changed!$M394&gt;Base!$M394,"↑",IF(Changed!$M394&lt;Base!$M394," ↓",""))</f>
        <v>25</v>
      </c>
      <c r="N394" s="19">
        <f>Changed!G394-Base!G394</f>
        <v>0</v>
      </c>
    </row>
    <row r="395" spans="1:14" ht="15.75" customHeight="1" x14ac:dyDescent="0.2">
      <c r="A395" s="4">
        <v>394</v>
      </c>
      <c r="B395" s="5" t="s">
        <v>512</v>
      </c>
      <c r="C395" s="6" t="str">
        <f>IF(Changed!C395&lt;&gt;"", Changed!C395, "")</f>
        <v>Ghost</v>
      </c>
      <c r="D395" s="6" t="str">
        <f>IF(Changed!D395&lt;&gt;"", Changed!D395, "")</f>
        <v/>
      </c>
      <c r="E395" s="6" t="str">
        <f>IF(Changed!E395&lt;&gt;"", Changed!E395, "")</f>
        <v>Pressure</v>
      </c>
      <c r="F395" s="6" t="str">
        <f>IF(Changed!F395&lt;&gt;"", Changed!F395, "")</f>
        <v/>
      </c>
      <c r="G395" s="7" t="str" cm="1">
        <f t="array" ref="G395">INDEX(Changed!$G:$G,ROW())&amp;IF(Changed!$G395&gt;Base!$G395,"↑",IF(Changed!$G395&lt;Base!$G395," ↓",""))</f>
        <v>525</v>
      </c>
      <c r="H395" s="7" t="str" cm="1">
        <f t="array" ref="H395">INDEX(Changed!$H:$H,ROW())&amp;IF(Changed!$H395&gt;Base!$H395,"↑",IF(Changed!$H395&lt;Base!$H395," ↓",""))</f>
        <v>45</v>
      </c>
      <c r="I395" s="7" t="str" cm="1">
        <f t="array" ref="I395">INDEX(Changed!$I:$I,ROW())&amp;IF(Changed!$I395&gt;Base!$I395,"↑",IF(Changed!$I395&lt;Base!$I395," ↓",""))</f>
        <v>100</v>
      </c>
      <c r="J395" s="7" t="str" cm="1">
        <f t="array" ref="J395">INDEX(Changed!$J:$J,ROW())&amp;IF(Changed!$J395&gt;Base!$J395,"↑",IF(Changed!$J395&lt;Base!$J395," ↓",""))</f>
        <v>135</v>
      </c>
      <c r="K395" s="7" t="str" cm="1">
        <f t="array" ref="K395">INDEX(Changed!$K:$K,ROW())&amp;IF(Changed!$K395&gt;Base!$K395,"↑",IF(Changed!$K395&lt;Base!$K395," ↓",""))</f>
        <v>65</v>
      </c>
      <c r="L395" s="7" t="str" cm="1">
        <f t="array" ref="L395">INDEX(Changed!$L:$L,ROW())&amp;IF(Changed!$L395&gt;Base!$L395,"↑",IF(Changed!$L395&lt;Base!$L395," ↓",""))</f>
        <v>135</v>
      </c>
      <c r="M395" s="7" t="str" cm="1">
        <f t="array" ref="M395">INDEX(Changed!$M:$M,ROW())&amp;IF(Changed!$M395&gt;Base!$M395,"↑",IF(Changed!$M395&lt;Base!$M395," ↓",""))</f>
        <v>45</v>
      </c>
      <c r="N395" s="19">
        <f>Changed!G395-Base!G395</f>
        <v>0</v>
      </c>
    </row>
    <row r="396" spans="1:14" ht="15.75" customHeight="1" x14ac:dyDescent="0.2">
      <c r="A396" s="4">
        <v>395</v>
      </c>
      <c r="B396" s="5" t="s">
        <v>392</v>
      </c>
      <c r="C396" s="6" t="str">
        <f>IF(Changed!C396&lt;&gt;"", Changed!C396, "")</f>
        <v>Grass</v>
      </c>
      <c r="D396" s="6" t="str">
        <f>IF(Changed!D396&lt;&gt;"", Changed!D396, "")</f>
        <v>Flying</v>
      </c>
      <c r="E396" s="6" t="str">
        <f>IF(Changed!E396&lt;&gt;"", Changed!E396, "")</f>
        <v>Chlorophyll</v>
      </c>
      <c r="F396" s="6" t="str">
        <f>IF(Changed!F396&lt;&gt;"", Changed!F396, "")</f>
        <v>Harvest Winds</v>
      </c>
      <c r="G396" s="7" t="str" cm="1">
        <f t="array" ref="G396">INDEX(Changed!$G:$G,ROW())&amp;IF(Changed!$G396&gt;Base!$G396,"↑",IF(Changed!$G396&lt;Base!$G396," ↓",""))</f>
        <v>460</v>
      </c>
      <c r="H396" s="7" t="str" cm="1">
        <f t="array" ref="H396">INDEX(Changed!$H:$H,ROW())&amp;IF(Changed!$H396&gt;Base!$H396,"↑",IF(Changed!$H396&lt;Base!$H396," ↓",""))</f>
        <v>99</v>
      </c>
      <c r="I396" s="7" t="str" cm="1">
        <f t="array" ref="I396">INDEX(Changed!$I:$I,ROW())&amp;IF(Changed!$I396&gt;Base!$I396,"↑",IF(Changed!$I396&lt;Base!$I396," ↓",""))</f>
        <v>68</v>
      </c>
      <c r="J396" s="7" t="str" cm="1">
        <f t="array" ref="J396">INDEX(Changed!$J:$J,ROW())&amp;IF(Changed!$J396&gt;Base!$J396,"↑",IF(Changed!$J396&lt;Base!$J396," ↓",""))</f>
        <v>83</v>
      </c>
      <c r="K396" s="7" t="str" cm="1">
        <f t="array" ref="K396">INDEX(Changed!$K:$K,ROW())&amp;IF(Changed!$K396&gt;Base!$K396,"↑",IF(Changed!$K396&lt;Base!$K396," ↓",""))</f>
        <v>72</v>
      </c>
      <c r="L396" s="7" t="str" cm="1">
        <f t="array" ref="L396">INDEX(Changed!$L:$L,ROW())&amp;IF(Changed!$L396&gt;Base!$L396,"↑",IF(Changed!$L396&lt;Base!$L396," ↓",""))</f>
        <v>87</v>
      </c>
      <c r="M396" s="7" t="str" cm="1">
        <f t="array" ref="M396">INDEX(Changed!$M:$M,ROW())&amp;IF(Changed!$M396&gt;Base!$M396,"↑",IF(Changed!$M396&lt;Base!$M396," ↓",""))</f>
        <v>51</v>
      </c>
      <c r="N396" s="19">
        <f>Changed!G396-Base!G396</f>
        <v>0</v>
      </c>
    </row>
    <row r="397" spans="1:14" ht="15.75" customHeight="1" x14ac:dyDescent="0.2">
      <c r="A397" s="4">
        <v>396</v>
      </c>
      <c r="B397" s="5" t="s">
        <v>468</v>
      </c>
      <c r="C397" s="6" t="str">
        <f>IF(Changed!C397&lt;&gt;"", Changed!C397, "")</f>
        <v>Ghost</v>
      </c>
      <c r="D397" s="6" t="str">
        <f>IF(Changed!D397&lt;&gt;"", Changed!D397, "")</f>
        <v>Steel</v>
      </c>
      <c r="E397" s="6" t="str">
        <f>IF(Changed!E397&lt;&gt;"", Changed!E397, "")</f>
        <v>Levitate</v>
      </c>
      <c r="F397" s="6" t="str">
        <f>IF(Changed!F397&lt;&gt;"", Changed!F397, "")</f>
        <v/>
      </c>
      <c r="G397" s="7" t="str" cm="1">
        <f t="array" ref="G397">INDEX(Changed!$G:$G,ROW())&amp;IF(Changed!$G397&gt;Base!$G397,"↑",IF(Changed!$G397&lt;Base!$G397," ↓",""))</f>
        <v>285</v>
      </c>
      <c r="H397" s="7" t="str" cm="1">
        <f t="array" ref="H397">INDEX(Changed!$H:$H,ROW())&amp;IF(Changed!$H397&gt;Base!$H397,"↑",IF(Changed!$H397&lt;Base!$H397," ↓",""))</f>
        <v>45</v>
      </c>
      <c r="I397" s="7" t="str" cm="1">
        <f t="array" ref="I397">INDEX(Changed!$I:$I,ROW())&amp;IF(Changed!$I397&gt;Base!$I397,"↑",IF(Changed!$I397&lt;Base!$I397," ↓",""))</f>
        <v>30</v>
      </c>
      <c r="J397" s="7" t="str" cm="1">
        <f t="array" ref="J397">INDEX(Changed!$J:$J,ROW())&amp;IF(Changed!$J397&gt;Base!$J397,"↑",IF(Changed!$J397&lt;Base!$J397," ↓",""))</f>
        <v>50</v>
      </c>
      <c r="K397" s="7" t="str" cm="1">
        <f t="array" ref="K397">INDEX(Changed!$K:$K,ROW())&amp;IF(Changed!$K397&gt;Base!$K397,"↑",IF(Changed!$K397&lt;Base!$K397," ↓",""))</f>
        <v>65</v>
      </c>
      <c r="L397" s="7" t="str" cm="1">
        <f t="array" ref="L397">INDEX(Changed!$L:$L,ROW())&amp;IF(Changed!$L397&gt;Base!$L397,"↑",IF(Changed!$L397&lt;Base!$L397," ↓",""))</f>
        <v>50</v>
      </c>
      <c r="M397" s="7" t="str" cm="1">
        <f t="array" ref="M397">INDEX(Changed!$M:$M,ROW())&amp;IF(Changed!$M397&gt;Base!$M397,"↑",IF(Changed!$M397&lt;Base!$M397," ↓",""))</f>
        <v>45</v>
      </c>
      <c r="N397" s="19">
        <f>Changed!G397-Base!G397</f>
        <v>0</v>
      </c>
    </row>
    <row r="398" spans="1:14" ht="15.75" customHeight="1" x14ac:dyDescent="0.2">
      <c r="A398" s="4">
        <v>397</v>
      </c>
      <c r="B398" s="5" t="s">
        <v>393</v>
      </c>
      <c r="C398" s="6" t="str">
        <f>IF(Changed!C398&lt;&gt;"", Changed!C398, "")</f>
        <v>Ghost</v>
      </c>
      <c r="D398" s="6" t="str">
        <f>IF(Changed!D398&lt;&gt;"", Changed!D398, "")</f>
        <v>Steel</v>
      </c>
      <c r="E398" s="6" t="str">
        <f>IF(Changed!E398&lt;&gt;"", Changed!E398, "")</f>
        <v>Levitate</v>
      </c>
      <c r="F398" s="6" t="str">
        <f>IF(Changed!F398&lt;&gt;"", Changed!F398, "")</f>
        <v/>
      </c>
      <c r="G398" s="7" t="str" cm="1">
        <f t="array" ref="G398">INDEX(Changed!$G:$G,ROW())&amp;IF(Changed!$G398&gt;Base!$G398,"↑",IF(Changed!$G398&lt;Base!$G398," ↓",""))</f>
        <v>455</v>
      </c>
      <c r="H398" s="7" t="str" cm="1">
        <f t="array" ref="H398">INDEX(Changed!$H:$H,ROW())&amp;IF(Changed!$H398&gt;Base!$H398,"↑",IF(Changed!$H398&lt;Base!$H398," ↓",""))</f>
        <v>75</v>
      </c>
      <c r="I398" s="7" t="str" cm="1">
        <f t="array" ref="I398">INDEX(Changed!$I:$I,ROW())&amp;IF(Changed!$I398&gt;Base!$I398,"↑",IF(Changed!$I398&lt;Base!$I398," ↓",""))</f>
        <v>50</v>
      </c>
      <c r="J398" s="7" t="str" cm="1">
        <f t="array" ref="J398">INDEX(Changed!$J:$J,ROW())&amp;IF(Changed!$J398&gt;Base!$J398,"↑",IF(Changed!$J398&lt;Base!$J398," ↓",""))</f>
        <v>80</v>
      </c>
      <c r="K398" s="7" t="str" cm="1">
        <f t="array" ref="K398">INDEX(Changed!$K:$K,ROW())&amp;IF(Changed!$K398&gt;Base!$K398,"↑",IF(Changed!$K398&lt;Base!$K398," ↓",""))</f>
        <v>95</v>
      </c>
      <c r="L398" s="7" t="str" cm="1">
        <f t="array" ref="L398">INDEX(Changed!$L:$L,ROW())&amp;IF(Changed!$L398&gt;Base!$L398,"↑",IF(Changed!$L398&lt;Base!$L398," ↓",""))</f>
        <v>90</v>
      </c>
      <c r="M398" s="7" t="str" cm="1">
        <f t="array" ref="M398">INDEX(Changed!$M:$M,ROW())&amp;IF(Changed!$M398&gt;Base!$M398,"↑",IF(Changed!$M398&lt;Base!$M398," ↓",""))</f>
        <v>65</v>
      </c>
      <c r="N398" s="19">
        <f>Changed!G398-Base!G398</f>
        <v>0</v>
      </c>
    </row>
    <row r="399" spans="1:14" ht="15.75" customHeight="1" x14ac:dyDescent="0.2">
      <c r="A399" s="4">
        <v>398</v>
      </c>
      <c r="B399" s="5" t="s">
        <v>394</v>
      </c>
      <c r="C399" s="6" t="str">
        <f>IF(Changed!C399&lt;&gt;"", Changed!C399, "")</f>
        <v>Dark</v>
      </c>
      <c r="D399" s="6" t="str">
        <f>IF(Changed!D399&lt;&gt;"", Changed!D399, "")</f>
        <v/>
      </c>
      <c r="E399" s="6" t="str">
        <f>IF(Changed!E399&lt;&gt;"", Changed!E399, "")</f>
        <v>Pressure</v>
      </c>
      <c r="F399" s="6" t="str">
        <f>IF(Changed!F399&lt;&gt;"", Changed!F399, "")</f>
        <v>Super Luck</v>
      </c>
      <c r="G399" s="7" t="str" cm="1">
        <f t="array" ref="G399">INDEX(Changed!$G:$G,ROW())&amp;IF(Changed!$G399&gt;Base!$G399,"↑",IF(Changed!$G399&lt;Base!$G399," ↓",""))</f>
        <v>465</v>
      </c>
      <c r="H399" s="7" t="str" cm="1">
        <f t="array" ref="H399">INDEX(Changed!$H:$H,ROW())&amp;IF(Changed!$H399&gt;Base!$H399,"↑",IF(Changed!$H399&lt;Base!$H399," ↓",""))</f>
        <v>65</v>
      </c>
      <c r="I399" s="7" t="str" cm="1">
        <f t="array" ref="I399">INDEX(Changed!$I:$I,ROW())&amp;IF(Changed!$I399&gt;Base!$I399,"↑",IF(Changed!$I399&lt;Base!$I399," ↓",""))</f>
        <v>130</v>
      </c>
      <c r="J399" s="7" t="str" cm="1">
        <f t="array" ref="J399">INDEX(Changed!$J:$J,ROW())&amp;IF(Changed!$J399&gt;Base!$J399,"↑",IF(Changed!$J399&lt;Base!$J399," ↓",""))</f>
        <v>60</v>
      </c>
      <c r="K399" s="7" t="str" cm="1">
        <f t="array" ref="K399">INDEX(Changed!$K:$K,ROW())&amp;IF(Changed!$K399&gt;Base!$K399,"↑",IF(Changed!$K399&lt;Base!$K399," ↓",""))</f>
        <v>75</v>
      </c>
      <c r="L399" s="7" t="str" cm="1">
        <f t="array" ref="L399">INDEX(Changed!$L:$L,ROW())&amp;IF(Changed!$L399&gt;Base!$L399,"↑",IF(Changed!$L399&lt;Base!$L399," ↓",""))</f>
        <v>60</v>
      </c>
      <c r="M399" s="7" t="str" cm="1">
        <f t="array" ref="M399">INDEX(Changed!$M:$M,ROW())&amp;IF(Changed!$M399&gt;Base!$M399,"↑",IF(Changed!$M399&lt;Base!$M399," ↓",""))</f>
        <v>75</v>
      </c>
      <c r="N399" s="19">
        <f>Changed!G399-Base!G399</f>
        <v>0</v>
      </c>
    </row>
    <row r="400" spans="1:14" ht="15.75" customHeight="1" x14ac:dyDescent="0.2">
      <c r="A400" s="4">
        <v>399</v>
      </c>
      <c r="B400" s="5" t="s">
        <v>396</v>
      </c>
      <c r="C400" s="6" t="str">
        <f>IF(Changed!C400&lt;&gt;"", Changed!C400, "")</f>
        <v>Ice</v>
      </c>
      <c r="D400" s="6" t="str">
        <f>IF(Changed!D400&lt;&gt;"", Changed!D400, "")</f>
        <v/>
      </c>
      <c r="E400" s="6" t="str">
        <f>IF(Changed!E400&lt;&gt;"", Changed!E400, "")</f>
        <v>Inner Focus</v>
      </c>
      <c r="F400" s="6" t="str">
        <f>IF(Changed!F400&lt;&gt;"", Changed!F400, "")</f>
        <v>Ice Body</v>
      </c>
      <c r="G400" s="7" t="str" cm="1">
        <f t="array" ref="G400">INDEX(Changed!$G:$G,ROW())&amp;IF(Changed!$G400&gt;Base!$G400,"↑",IF(Changed!$G400&lt;Base!$G400," ↓",""))</f>
        <v>300</v>
      </c>
      <c r="H400" s="7" t="str" cm="1">
        <f t="array" ref="H400">INDEX(Changed!$H:$H,ROW())&amp;IF(Changed!$H400&gt;Base!$H400,"↑",IF(Changed!$H400&lt;Base!$H400," ↓",""))</f>
        <v>50</v>
      </c>
      <c r="I400" s="7" t="str" cm="1">
        <f t="array" ref="I400">INDEX(Changed!$I:$I,ROW())&amp;IF(Changed!$I400&gt;Base!$I400,"↑",IF(Changed!$I400&lt;Base!$I400," ↓",""))</f>
        <v>50</v>
      </c>
      <c r="J400" s="7" t="str" cm="1">
        <f t="array" ref="J400">INDEX(Changed!$J:$J,ROW())&amp;IF(Changed!$J400&gt;Base!$J400,"↑",IF(Changed!$J400&lt;Base!$J400," ↓",""))</f>
        <v>50</v>
      </c>
      <c r="K400" s="7" t="str" cm="1">
        <f t="array" ref="K400">INDEX(Changed!$K:$K,ROW())&amp;IF(Changed!$K400&gt;Base!$K400,"↑",IF(Changed!$K400&lt;Base!$K400," ↓",""))</f>
        <v>50</v>
      </c>
      <c r="L400" s="7" t="str" cm="1">
        <f t="array" ref="L400">INDEX(Changed!$L:$L,ROW())&amp;IF(Changed!$L400&gt;Base!$L400,"↑",IF(Changed!$L400&lt;Base!$L400," ↓",""))</f>
        <v>50</v>
      </c>
      <c r="M400" s="7" t="str" cm="1">
        <f t="array" ref="M400">INDEX(Changed!$M:$M,ROW())&amp;IF(Changed!$M400&gt;Base!$M400,"↑",IF(Changed!$M400&lt;Base!$M400," ↓",""))</f>
        <v>50</v>
      </c>
      <c r="N400" s="19">
        <f>Changed!G400-Base!G400</f>
        <v>0</v>
      </c>
    </row>
    <row r="401" spans="1:15" ht="15.75" customHeight="1" x14ac:dyDescent="0.2">
      <c r="A401" s="4">
        <v>400</v>
      </c>
      <c r="B401" s="5" t="s">
        <v>397</v>
      </c>
      <c r="C401" s="6" t="str">
        <f>IF(Changed!C401&lt;&gt;"", Changed!C401, "")</f>
        <v>Ice</v>
      </c>
      <c r="D401" s="6" t="str">
        <f>IF(Changed!D401&lt;&gt;"", Changed!D401, "")</f>
        <v>Steel</v>
      </c>
      <c r="E401" s="6" t="str">
        <f>IF(Changed!E401&lt;&gt;"", Changed!E401, "")</f>
        <v>Inner Focus</v>
      </c>
      <c r="F401" s="6" t="str">
        <f>IF(Changed!F401&lt;&gt;"", Changed!F401, "")</f>
        <v>Snow Warning</v>
      </c>
      <c r="G401" s="7" t="str" cm="1">
        <f t="array" ref="G401">INDEX(Changed!$G:$G,ROW())&amp;IF(Changed!$G401&gt;Base!$G401,"↑",IF(Changed!$G401&lt;Base!$G401," ↓",""))</f>
        <v>480</v>
      </c>
      <c r="H401" s="7" t="str" cm="1">
        <f t="array" ref="H401">INDEX(Changed!$H:$H,ROW())&amp;IF(Changed!$H401&gt;Base!$H401,"↑",IF(Changed!$H401&lt;Base!$H401," ↓",""))</f>
        <v>80</v>
      </c>
      <c r="I401" s="7" t="str" cm="1">
        <f t="array" ref="I401">INDEX(Changed!$I:$I,ROW())&amp;IF(Changed!$I401&gt;Base!$I401,"↑",IF(Changed!$I401&lt;Base!$I401," ↓",""))</f>
        <v>80</v>
      </c>
      <c r="J401" s="7" t="str" cm="1">
        <f t="array" ref="J401">INDEX(Changed!$J:$J,ROW())&amp;IF(Changed!$J401&gt;Base!$J401,"↑",IF(Changed!$J401&lt;Base!$J401," ↓",""))</f>
        <v>80</v>
      </c>
      <c r="K401" s="7" t="str" cm="1">
        <f t="array" ref="K401">INDEX(Changed!$K:$K,ROW())&amp;IF(Changed!$K401&gt;Base!$K401,"↑",IF(Changed!$K401&lt;Base!$K401," ↓",""))</f>
        <v>80</v>
      </c>
      <c r="L401" s="7" t="str" cm="1">
        <f t="array" ref="L401">INDEX(Changed!$L:$L,ROW())&amp;IF(Changed!$L401&gt;Base!$L401,"↑",IF(Changed!$L401&lt;Base!$L401," ↓",""))</f>
        <v>80</v>
      </c>
      <c r="M401" s="7" t="str" cm="1">
        <f t="array" ref="M401">INDEX(Changed!$M:$M,ROW())&amp;IF(Changed!$M401&gt;Base!$M401,"↑",IF(Changed!$M401&lt;Base!$M401," ↓",""))</f>
        <v>80</v>
      </c>
      <c r="N401" s="19">
        <f>Changed!G401-Base!G401</f>
        <v>0</v>
      </c>
    </row>
    <row r="402" spans="1:15" ht="15.75" customHeight="1" x14ac:dyDescent="0.2">
      <c r="A402" s="4">
        <v>401</v>
      </c>
      <c r="B402" s="5" t="s">
        <v>513</v>
      </c>
      <c r="C402" s="6" t="str">
        <f>IF(Changed!C402&lt;&gt;"", Changed!C402, "")</f>
        <v>Ice</v>
      </c>
      <c r="D402" s="6" t="str">
        <f>IF(Changed!D402&lt;&gt;"", Changed!D402, "")</f>
        <v>Ghost</v>
      </c>
      <c r="E402" s="6" t="str">
        <f>IF(Changed!E402&lt;&gt;"", Changed!E402, "")</f>
        <v>Snow Cloak</v>
      </c>
      <c r="F402" s="6" t="str">
        <f>IF(Changed!F402&lt;&gt;"", Changed!F402, "")</f>
        <v/>
      </c>
      <c r="G402" s="7" t="str" cm="1">
        <f t="array" ref="G402">INDEX(Changed!$G:$G,ROW())&amp;IF(Changed!$G402&gt;Base!$G402,"↑",IF(Changed!$G402&lt;Base!$G402," ↓",""))</f>
        <v>480</v>
      </c>
      <c r="H402" s="7" t="str" cm="1">
        <f t="array" ref="H402">INDEX(Changed!$H:$H,ROW())&amp;IF(Changed!$H402&gt;Base!$H402,"↑",IF(Changed!$H402&lt;Base!$H402," ↓",""))</f>
        <v>70</v>
      </c>
      <c r="I402" s="7" t="str" cm="1">
        <f t="array" ref="I402">INDEX(Changed!$I:$I,ROW())&amp;IF(Changed!$I402&gt;Base!$I402,"↑",IF(Changed!$I402&lt;Base!$I402," ↓",""))</f>
        <v>80</v>
      </c>
      <c r="J402" s="7" t="str" cm="1">
        <f t="array" ref="J402">INDEX(Changed!$J:$J,ROW())&amp;IF(Changed!$J402&gt;Base!$J402,"↑",IF(Changed!$J402&lt;Base!$J402," ↓",""))</f>
        <v>70</v>
      </c>
      <c r="K402" s="7" t="str" cm="1">
        <f t="array" ref="K402">INDEX(Changed!$K:$K,ROW())&amp;IF(Changed!$K402&gt;Base!$K402,"↑",IF(Changed!$K402&lt;Base!$K402," ↓",""))</f>
        <v>80</v>
      </c>
      <c r="L402" s="7" t="str" cm="1">
        <f t="array" ref="L402">INDEX(Changed!$L:$L,ROW())&amp;IF(Changed!$L402&gt;Base!$L402,"↑",IF(Changed!$L402&lt;Base!$L402," ↓",""))</f>
        <v>70</v>
      </c>
      <c r="M402" s="7" t="str" cm="1">
        <f t="array" ref="M402">INDEX(Changed!$M:$M,ROW())&amp;IF(Changed!$M402&gt;Base!$M402,"↑",IF(Changed!$M402&lt;Base!$M402," ↓",""))</f>
        <v>110</v>
      </c>
      <c r="N402" s="19">
        <f>Changed!G402-Base!G402</f>
        <v>0</v>
      </c>
    </row>
    <row r="403" spans="1:15" ht="15.75" customHeight="1" x14ac:dyDescent="0.2">
      <c r="A403" s="4">
        <v>402</v>
      </c>
      <c r="B403" s="5" t="s">
        <v>398</v>
      </c>
      <c r="C403" s="6" t="str">
        <f>IF(Changed!C403&lt;&gt;"", Changed!C403, "")</f>
        <v>Ice</v>
      </c>
      <c r="D403" s="6" t="str">
        <f>IF(Changed!D403&lt;&gt;"", Changed!D403, "")</f>
        <v>Water</v>
      </c>
      <c r="E403" s="6" t="str">
        <f>IF(Changed!E403&lt;&gt;"", Changed!E403, "")</f>
        <v>Thermal Exchange</v>
      </c>
      <c r="F403" s="6" t="str">
        <f>IF(Changed!F403&lt;&gt;"", Changed!F403, "")</f>
        <v>Slush Rush</v>
      </c>
      <c r="G403" s="7" t="str" cm="1">
        <f t="array" ref="G403">INDEX(Changed!$G:$G,ROW())&amp;IF(Changed!$G403&gt;Base!$G403,"↑",IF(Changed!$G403&lt;Base!$G403," ↓",""))</f>
        <v>290</v>
      </c>
      <c r="H403" s="7" t="str" cm="1">
        <f t="array" ref="H403">INDEX(Changed!$H:$H,ROW())&amp;IF(Changed!$H403&gt;Base!$H403,"↑",IF(Changed!$H403&lt;Base!$H403," ↓",""))</f>
        <v>70</v>
      </c>
      <c r="I403" s="7" t="str" cm="1">
        <f t="array" ref="I403">INDEX(Changed!$I:$I,ROW())&amp;IF(Changed!$I403&gt;Base!$I403,"↑",IF(Changed!$I403&lt;Base!$I403," ↓",""))</f>
        <v>40</v>
      </c>
      <c r="J403" s="7" t="str" cm="1">
        <f t="array" ref="J403">INDEX(Changed!$J:$J,ROW())&amp;IF(Changed!$J403&gt;Base!$J403,"↑",IF(Changed!$J403&lt;Base!$J403," ↓",""))</f>
        <v>50</v>
      </c>
      <c r="K403" s="7" t="str" cm="1">
        <f t="array" ref="K403">INDEX(Changed!$K:$K,ROW())&amp;IF(Changed!$K403&gt;Base!$K403,"↑",IF(Changed!$K403&lt;Base!$K403," ↓",""))</f>
        <v>55</v>
      </c>
      <c r="L403" s="7" t="str" cm="1">
        <f t="array" ref="L403">INDEX(Changed!$L:$L,ROW())&amp;IF(Changed!$L403&gt;Base!$L403,"↑",IF(Changed!$L403&lt;Base!$L403," ↓",""))</f>
        <v>50</v>
      </c>
      <c r="M403" s="7" t="str" cm="1">
        <f t="array" ref="M403">INDEX(Changed!$M:$M,ROW())&amp;IF(Changed!$M403&gt;Base!$M403,"↑",IF(Changed!$M403&lt;Base!$M403," ↓",""))</f>
        <v>25</v>
      </c>
      <c r="N403" s="19">
        <f>Changed!G403-Base!G403</f>
        <v>0</v>
      </c>
    </row>
    <row r="404" spans="1:15" ht="15.75" customHeight="1" x14ac:dyDescent="0.2">
      <c r="A404" s="4">
        <v>403</v>
      </c>
      <c r="B404" s="5" t="s">
        <v>399</v>
      </c>
      <c r="C404" s="6" t="str">
        <f>IF(Changed!C404&lt;&gt;"", Changed!C404, "")</f>
        <v>Ice</v>
      </c>
      <c r="D404" s="6" t="str">
        <f>IF(Changed!D404&lt;&gt;"", Changed!D404, "")</f>
        <v>Water</v>
      </c>
      <c r="E404" s="6" t="str">
        <f>IF(Changed!E404&lt;&gt;"", Changed!E404, "")</f>
        <v>Thermal Exchange</v>
      </c>
      <c r="F404" s="6" t="str">
        <f>IF(Changed!F404&lt;&gt;"", Changed!F404, "")</f>
        <v>Ice Body</v>
      </c>
      <c r="G404" s="7" t="str" cm="1">
        <f t="array" ref="G404">INDEX(Changed!$G:$G,ROW())&amp;IF(Changed!$G404&gt;Base!$G404,"↑",IF(Changed!$G404&lt;Base!$G404," ↓",""))</f>
        <v>410</v>
      </c>
      <c r="H404" s="7" t="str" cm="1">
        <f t="array" ref="H404">INDEX(Changed!$H:$H,ROW())&amp;IF(Changed!$H404&gt;Base!$H404,"↑",IF(Changed!$H404&lt;Base!$H404," ↓",""))</f>
        <v>90</v>
      </c>
      <c r="I404" s="7" t="str" cm="1">
        <f t="array" ref="I404">INDEX(Changed!$I:$I,ROW())&amp;IF(Changed!$I404&gt;Base!$I404,"↑",IF(Changed!$I404&lt;Base!$I404," ↓",""))</f>
        <v>60</v>
      </c>
      <c r="J404" s="7" t="str" cm="1">
        <f t="array" ref="J404">INDEX(Changed!$J:$J,ROW())&amp;IF(Changed!$J404&gt;Base!$J404,"↑",IF(Changed!$J404&lt;Base!$J404," ↓",""))</f>
        <v>70</v>
      </c>
      <c r="K404" s="7" t="str" cm="1">
        <f t="array" ref="K404">INDEX(Changed!$K:$K,ROW())&amp;IF(Changed!$K404&gt;Base!$K404,"↑",IF(Changed!$K404&lt;Base!$K404," ↓",""))</f>
        <v>75</v>
      </c>
      <c r="L404" s="7" t="str" cm="1">
        <f t="array" ref="L404">INDEX(Changed!$L:$L,ROW())&amp;IF(Changed!$L404&gt;Base!$L404,"↑",IF(Changed!$L404&lt;Base!$L404," ↓",""))</f>
        <v>70</v>
      </c>
      <c r="M404" s="7" t="str" cm="1">
        <f t="array" ref="M404">INDEX(Changed!$M:$M,ROW())&amp;IF(Changed!$M404&gt;Base!$M404,"↑",IF(Changed!$M404&lt;Base!$M404," ↓",""))</f>
        <v>45</v>
      </c>
      <c r="N404" s="19">
        <f>Changed!G404-Base!G404</f>
        <v>0</v>
      </c>
    </row>
    <row r="405" spans="1:15" ht="15.75" customHeight="1" x14ac:dyDescent="0.2">
      <c r="A405" s="4">
        <v>404</v>
      </c>
      <c r="B405" s="5" t="s">
        <v>400</v>
      </c>
      <c r="C405" s="6" t="str">
        <f>IF(Changed!C405&lt;&gt;"", Changed!C405, "")</f>
        <v>Ice</v>
      </c>
      <c r="D405" s="6" t="str">
        <f>IF(Changed!D405&lt;&gt;"", Changed!D405, "")</f>
        <v>Water</v>
      </c>
      <c r="E405" s="6" t="str">
        <f>IF(Changed!E405&lt;&gt;"", Changed!E405, "")</f>
        <v>Thermal Exchange</v>
      </c>
      <c r="F405" s="6" t="str">
        <f>IF(Changed!F405&lt;&gt;"", Changed!F405, "")</f>
        <v>Ice Body</v>
      </c>
      <c r="G405" s="7" t="str" cm="1">
        <f t="array" ref="G405">INDEX(Changed!$G:$G,ROW())&amp;IF(Changed!$G405&gt;Base!$G405,"↑",IF(Changed!$G405&lt;Base!$G405," ↓",""))</f>
        <v>530</v>
      </c>
      <c r="H405" s="7" t="str" cm="1">
        <f t="array" ref="H405">INDEX(Changed!$H:$H,ROW())&amp;IF(Changed!$H405&gt;Base!$H405,"↑",IF(Changed!$H405&lt;Base!$H405," ↓",""))</f>
        <v>110</v>
      </c>
      <c r="I405" s="7" t="str" cm="1">
        <f t="array" ref="I405">INDEX(Changed!$I:$I,ROW())&amp;IF(Changed!$I405&gt;Base!$I405,"↑",IF(Changed!$I405&lt;Base!$I405," ↓",""))</f>
        <v>80</v>
      </c>
      <c r="J405" s="7" t="str" cm="1">
        <f t="array" ref="J405">INDEX(Changed!$J:$J,ROW())&amp;IF(Changed!$J405&gt;Base!$J405,"↑",IF(Changed!$J405&lt;Base!$J405," ↓",""))</f>
        <v>90</v>
      </c>
      <c r="K405" s="7" t="str" cm="1">
        <f t="array" ref="K405">INDEX(Changed!$K:$K,ROW())&amp;IF(Changed!$K405&gt;Base!$K405,"↑",IF(Changed!$K405&lt;Base!$K405," ↓",""))</f>
        <v>95</v>
      </c>
      <c r="L405" s="7" t="str" cm="1">
        <f t="array" ref="L405">INDEX(Changed!$L:$L,ROW())&amp;IF(Changed!$L405&gt;Base!$L405,"↑",IF(Changed!$L405&lt;Base!$L405," ↓",""))</f>
        <v>90</v>
      </c>
      <c r="M405" s="7" t="str" cm="1">
        <f t="array" ref="M405">INDEX(Changed!$M:$M,ROW())&amp;IF(Changed!$M405&gt;Base!$M405,"↑",IF(Changed!$M405&lt;Base!$M405," ↓",""))</f>
        <v>65</v>
      </c>
      <c r="N405" s="19">
        <f>Changed!G405-Base!G405</f>
        <v>0</v>
      </c>
    </row>
    <row r="406" spans="1:15" ht="15.75" customHeight="1" x14ac:dyDescent="0.2">
      <c r="A406" s="4">
        <v>405</v>
      </c>
      <c r="B406" s="5" t="s">
        <v>401</v>
      </c>
      <c r="C406" s="6" t="str">
        <f>IF(Changed!C406&lt;&gt;"", Changed!C406, "")</f>
        <v>Water</v>
      </c>
      <c r="D406" s="6" t="str">
        <f>IF(Changed!D406&lt;&gt;"", Changed!D406, "")</f>
        <v/>
      </c>
      <c r="E406" s="6" t="str">
        <f>IF(Changed!E406&lt;&gt;"", Changed!E406, "")</f>
        <v>Shell Armor</v>
      </c>
      <c r="F406" s="6" t="str">
        <f>IF(Changed!F406&lt;&gt;"", Changed!F406, "")</f>
        <v/>
      </c>
      <c r="G406" s="7" t="str" cm="1">
        <f t="array" ref="G406">INDEX(Changed!$G:$G,ROW())&amp;IF(Changed!$G406&gt;Base!$G406,"↑",IF(Changed!$G406&lt;Base!$G406," ↓",""))</f>
        <v>345</v>
      </c>
      <c r="H406" s="7" t="str" cm="1">
        <f t="array" ref="H406">INDEX(Changed!$H:$H,ROW())&amp;IF(Changed!$H406&gt;Base!$H406,"↑",IF(Changed!$H406&lt;Base!$H406," ↓",""))</f>
        <v>35</v>
      </c>
      <c r="I406" s="7" t="str" cm="1">
        <f t="array" ref="I406">INDEX(Changed!$I:$I,ROW())&amp;IF(Changed!$I406&gt;Base!$I406,"↑",IF(Changed!$I406&lt;Base!$I406," ↓",""))</f>
        <v>64</v>
      </c>
      <c r="J406" s="7" t="str" cm="1">
        <f t="array" ref="J406">INDEX(Changed!$J:$J,ROW())&amp;IF(Changed!$J406&gt;Base!$J406,"↑",IF(Changed!$J406&lt;Base!$J406," ↓",""))</f>
        <v>85</v>
      </c>
      <c r="K406" s="7" t="str" cm="1">
        <f t="array" ref="K406">INDEX(Changed!$K:$K,ROW())&amp;IF(Changed!$K406&gt;Base!$K406,"↑",IF(Changed!$K406&lt;Base!$K406," ↓",""))</f>
        <v>74</v>
      </c>
      <c r="L406" s="7" t="str" cm="1">
        <f t="array" ref="L406">INDEX(Changed!$L:$L,ROW())&amp;IF(Changed!$L406&gt;Base!$L406,"↑",IF(Changed!$L406&lt;Base!$L406," ↓",""))</f>
        <v>55</v>
      </c>
      <c r="M406" s="7" t="str" cm="1">
        <f t="array" ref="M406">INDEX(Changed!$M:$M,ROW())&amp;IF(Changed!$M406&gt;Base!$M406,"↑",IF(Changed!$M406&lt;Base!$M406," ↓",""))</f>
        <v>32</v>
      </c>
      <c r="N406" s="19">
        <f>Changed!G406-Base!G406</f>
        <v>0</v>
      </c>
    </row>
    <row r="407" spans="1:15" ht="15.75" customHeight="1" x14ac:dyDescent="0.2">
      <c r="A407" s="4">
        <v>406</v>
      </c>
      <c r="B407" s="5" t="s">
        <v>402</v>
      </c>
      <c r="C407" s="6" t="str">
        <f>IF(Changed!C407&lt;&gt;"", Changed!C407, "")</f>
        <v>Water</v>
      </c>
      <c r="D407" s="6" t="str">
        <f>IF(Changed!D407&lt;&gt;"", Changed!D407, "")</f>
        <v>Dark</v>
      </c>
      <c r="E407" s="6" t="str">
        <f>IF(Changed!E407&lt;&gt;"", Changed!E407, "")</f>
        <v>Swift Swim</v>
      </c>
      <c r="F407" s="6" t="str">
        <f>IF(Changed!F407&lt;&gt;"", Changed!F407, "")</f>
        <v/>
      </c>
      <c r="G407" s="7" t="str" cm="1">
        <f t="array" ref="G407">INDEX(Changed!$G:$G,ROW())&amp;IF(Changed!$G407&gt;Base!$G407,"↑",IF(Changed!$G407&lt;Base!$G407," ↓",""))</f>
        <v>485</v>
      </c>
      <c r="H407" s="7" t="str" cm="1">
        <f t="array" ref="H407">INDEX(Changed!$H:$H,ROW())&amp;IF(Changed!$H407&gt;Base!$H407,"↑",IF(Changed!$H407&lt;Base!$H407," ↓",""))</f>
        <v>55</v>
      </c>
      <c r="I407" s="7" t="str" cm="1">
        <f t="array" ref="I407">INDEX(Changed!$I:$I,ROW())&amp;IF(Changed!$I407&gt;Base!$I407,"↑",IF(Changed!$I407&lt;Base!$I407," ↓",""))</f>
        <v>104</v>
      </c>
      <c r="J407" s="7" t="str" cm="1">
        <f t="array" ref="J407">INDEX(Changed!$J:$J,ROW())&amp;IF(Changed!$J407&gt;Base!$J407,"↑",IF(Changed!$J407&lt;Base!$J407," ↓",""))</f>
        <v>105</v>
      </c>
      <c r="K407" s="7" t="str" cm="1">
        <f t="array" ref="K407">INDEX(Changed!$K:$K,ROW())&amp;IF(Changed!$K407&gt;Base!$K407,"↑",IF(Changed!$K407&lt;Base!$K407," ↓",""))</f>
        <v>94</v>
      </c>
      <c r="L407" s="7" t="str" cm="1">
        <f t="array" ref="L407">INDEX(Changed!$L:$L,ROW())&amp;IF(Changed!$L407&gt;Base!$L407,"↑",IF(Changed!$L407&lt;Base!$L407," ↓",""))</f>
        <v>75</v>
      </c>
      <c r="M407" s="7" t="str" cm="1">
        <f t="array" ref="M407">INDEX(Changed!$M:$M,ROW())&amp;IF(Changed!$M407&gt;Base!$M407,"↑",IF(Changed!$M407&lt;Base!$M407," ↓",""))</f>
        <v>52</v>
      </c>
      <c r="N407" s="19">
        <f>Changed!G407-Base!G407</f>
        <v>0</v>
      </c>
    </row>
    <row r="408" spans="1:15" ht="15.75" customHeight="1" x14ac:dyDescent="0.2">
      <c r="A408" s="4">
        <v>407</v>
      </c>
      <c r="B408" s="5" t="s">
        <v>403</v>
      </c>
      <c r="C408" s="6" t="str">
        <f>IF(Changed!C408&lt;&gt;"", Changed!C408, "")</f>
        <v>Water</v>
      </c>
      <c r="D408" s="6" t="str">
        <f>IF(Changed!D408&lt;&gt;"", Changed!D408, "")</f>
        <v>Psychic</v>
      </c>
      <c r="E408" s="6" t="str">
        <f>IF(Changed!E408&lt;&gt;"", Changed!E408, "")</f>
        <v>Swift Swim</v>
      </c>
      <c r="F408" s="6" t="str">
        <f>IF(Changed!F408&lt;&gt;"", Changed!F408, "")</f>
        <v/>
      </c>
      <c r="G408" s="7" t="str" cm="1">
        <f t="array" ref="G408">INDEX(Changed!$G:$G,ROW())&amp;IF(Changed!$G408&gt;Base!$G408,"↑",IF(Changed!$G408&lt;Base!$G408," ↓",""))</f>
        <v>485</v>
      </c>
      <c r="H408" s="7" t="str" cm="1">
        <f t="array" ref="H408">INDEX(Changed!$H:$H,ROW())&amp;IF(Changed!$H408&gt;Base!$H408,"↑",IF(Changed!$H408&lt;Base!$H408," ↓",""))</f>
        <v>55</v>
      </c>
      <c r="I408" s="7" t="str" cm="1">
        <f t="array" ref="I408">INDEX(Changed!$I:$I,ROW())&amp;IF(Changed!$I408&gt;Base!$I408,"↑",IF(Changed!$I408&lt;Base!$I408," ↓",""))</f>
        <v>84</v>
      </c>
      <c r="J408" s="7" t="str" cm="1">
        <f t="array" ref="J408">INDEX(Changed!$J:$J,ROW())&amp;IF(Changed!$J408&gt;Base!$J408,"↑",IF(Changed!$J408&lt;Base!$J408," ↓",""))</f>
        <v>105</v>
      </c>
      <c r="K408" s="7" t="str" cm="1">
        <f t="array" ref="K408">INDEX(Changed!$K:$K,ROW())&amp;IF(Changed!$K408&gt;Base!$K408,"↑",IF(Changed!$K408&lt;Base!$K408," ↓",""))</f>
        <v>114</v>
      </c>
      <c r="L408" s="7" t="str" cm="1">
        <f t="array" ref="L408">INDEX(Changed!$L:$L,ROW())&amp;IF(Changed!$L408&gt;Base!$L408,"↑",IF(Changed!$L408&lt;Base!$L408," ↓",""))</f>
        <v>75</v>
      </c>
      <c r="M408" s="7" t="str" cm="1">
        <f t="array" ref="M408">INDEX(Changed!$M:$M,ROW())&amp;IF(Changed!$M408&gt;Base!$M408,"↑",IF(Changed!$M408&lt;Base!$M408," ↓",""))</f>
        <v>52</v>
      </c>
      <c r="N408" s="19">
        <f>Changed!G408-Base!G408</f>
        <v>0</v>
      </c>
    </row>
    <row r="409" spans="1:15" ht="15.75" customHeight="1" x14ac:dyDescent="0.2">
      <c r="A409" s="4">
        <v>408</v>
      </c>
      <c r="B409" s="5" t="s">
        <v>404</v>
      </c>
      <c r="C409" s="6" t="str">
        <f>IF(Changed!C409&lt;&gt;"", Changed!C409, "")</f>
        <v>Water</v>
      </c>
      <c r="D409" s="6" t="str">
        <f>IF(Changed!D409&lt;&gt;"", Changed!D409, "")</f>
        <v>Rock</v>
      </c>
      <c r="E409" s="6" t="str">
        <f>IF(Changed!E409&lt;&gt;"", Changed!E409, "")</f>
        <v>Swift Swim</v>
      </c>
      <c r="F409" s="6" t="str">
        <f>IF(Changed!F409&lt;&gt;"", Changed!F409, "")</f>
        <v>Rock Head</v>
      </c>
      <c r="G409" s="7" t="str" cm="1">
        <f t="array" ref="G409">INDEX(Changed!$G:$G,ROW())&amp;IF(Changed!$G409&gt;Base!$G409,"↑",IF(Changed!$G409&lt;Base!$G409," ↓",""))</f>
        <v>485</v>
      </c>
      <c r="H409" s="7" t="str" cm="1">
        <f t="array" ref="H409">INDEX(Changed!$H:$H,ROW())&amp;IF(Changed!$H409&gt;Base!$H409,"↑",IF(Changed!$H409&lt;Base!$H409," ↓",""))</f>
        <v>100</v>
      </c>
      <c r="I409" s="7" t="str" cm="1">
        <f t="array" ref="I409">INDEX(Changed!$I:$I,ROW())&amp;IF(Changed!$I409&gt;Base!$I409,"↑",IF(Changed!$I409&lt;Base!$I409," ↓",""))</f>
        <v>90</v>
      </c>
      <c r="J409" s="7" t="str" cm="1">
        <f t="array" ref="J409">INDEX(Changed!$J:$J,ROW())&amp;IF(Changed!$J409&gt;Base!$J409,"↑",IF(Changed!$J409&lt;Base!$J409," ↓",""))</f>
        <v>130</v>
      </c>
      <c r="K409" s="7" t="str" cm="1">
        <f t="array" ref="K409">INDEX(Changed!$K:$K,ROW())&amp;IF(Changed!$K409&gt;Base!$K409,"↑",IF(Changed!$K409&lt;Base!$K409," ↓",""))</f>
        <v>45</v>
      </c>
      <c r="L409" s="7" t="str" cm="1">
        <f t="array" ref="L409">INDEX(Changed!$L:$L,ROW())&amp;IF(Changed!$L409&gt;Base!$L409,"↑",IF(Changed!$L409&lt;Base!$L409," ↓",""))</f>
        <v>65</v>
      </c>
      <c r="M409" s="7" t="str" cm="1">
        <f t="array" ref="M409">INDEX(Changed!$M:$M,ROW())&amp;IF(Changed!$M409&gt;Base!$M409,"↑",IF(Changed!$M409&lt;Base!$M409," ↓",""))</f>
        <v>55</v>
      </c>
      <c r="N409" s="19">
        <f>Changed!G409-Base!G409</f>
        <v>0</v>
      </c>
    </row>
    <row r="410" spans="1:15" ht="15.75" customHeight="1" x14ac:dyDescent="0.2">
      <c r="A410" s="4">
        <v>409</v>
      </c>
      <c r="B410" s="5" t="s">
        <v>405</v>
      </c>
      <c r="C410" s="6" t="str">
        <f>IF(Changed!C410&lt;&gt;"", Changed!C410, "")</f>
        <v>Water</v>
      </c>
      <c r="D410" s="6" t="str">
        <f>IF(Changed!D410&lt;&gt;"", Changed!D410, "")</f>
        <v/>
      </c>
      <c r="E410" s="6" t="str">
        <f>IF(Changed!E410&lt;&gt;"", Changed!E410, "")</f>
        <v>Swift Swim</v>
      </c>
      <c r="F410" s="6" t="str">
        <f>IF(Changed!F410&lt;&gt;"", Changed!F410, "")</f>
        <v>Grim Neigh</v>
      </c>
      <c r="G410" s="7" t="str" cm="1">
        <f t="array" ref="G410">INDEX(Changed!$G:$G,ROW())&amp;IF(Changed!$G410&gt;Base!$G410,"↑",IF(Changed!$G410&lt;Base!$G410," ↓",""))</f>
        <v>384↑</v>
      </c>
      <c r="H410" s="7" t="str" cm="1">
        <f t="array" ref="H410">INDEX(Changed!$H:$H,ROW())&amp;IF(Changed!$H410&gt;Base!$H410,"↑",IF(Changed!$H410&lt;Base!$H410," ↓",""))</f>
        <v>43</v>
      </c>
      <c r="I410" s="7" t="str" cm="1">
        <f t="array" ref="I410">INDEX(Changed!$I:$I,ROW())&amp;IF(Changed!$I410&gt;Base!$I410,"↑",IF(Changed!$I410&lt;Base!$I410," ↓",""))</f>
        <v>30</v>
      </c>
      <c r="J410" s="7" t="str" cm="1">
        <f t="array" ref="J410">INDEX(Changed!$J:$J,ROW())&amp;IF(Changed!$J410&gt;Base!$J410,"↑",IF(Changed!$J410&lt;Base!$J410," ↓",""))</f>
        <v>55</v>
      </c>
      <c r="K410" s="7" t="str" cm="1">
        <f t="array" ref="K410">INDEX(Changed!$K:$K,ROW())&amp;IF(Changed!$K410&gt;Base!$K410,"↑",IF(Changed!$K410&lt;Base!$K410," ↓",""))</f>
        <v>90↑</v>
      </c>
      <c r="L410" s="7" t="str" cm="1">
        <f t="array" ref="L410">INDEX(Changed!$L:$L,ROW())&amp;IF(Changed!$L410&gt;Base!$L410,"↑",IF(Changed!$L410&lt;Base!$L410," ↓",""))</f>
        <v>65</v>
      </c>
      <c r="M410" s="7" t="str" cm="1">
        <f t="array" ref="M410">INDEX(Changed!$M:$M,ROW())&amp;IF(Changed!$M410&gt;Base!$M410,"↑",IF(Changed!$M410&lt;Base!$M410," ↓",""))</f>
        <v>101↑</v>
      </c>
      <c r="N410" s="19">
        <f>Changed!G410-Base!G410</f>
        <v>54</v>
      </c>
      <c r="O410" s="253" t="s">
        <v>1388</v>
      </c>
    </row>
    <row r="411" spans="1:15" ht="15.75" customHeight="1" x14ac:dyDescent="0.2">
      <c r="A411" s="4">
        <v>410</v>
      </c>
      <c r="B411" s="5" t="s">
        <v>406</v>
      </c>
      <c r="C411" s="6" t="str">
        <f>IF(Changed!C411&lt;&gt;"", Changed!C411, "")</f>
        <v>Dragon</v>
      </c>
      <c r="D411" s="6" t="str">
        <f>IF(Changed!D411&lt;&gt;"", Changed!D411, "")</f>
        <v/>
      </c>
      <c r="E411" s="6" t="str">
        <f>IF(Changed!E411&lt;&gt;"", Changed!E411, "")</f>
        <v>Rock Head</v>
      </c>
      <c r="F411" s="6" t="str">
        <f>IF(Changed!F411&lt;&gt;"", Changed!F411, "")</f>
        <v>Rock Head</v>
      </c>
      <c r="G411" s="7" t="str" cm="1">
        <f t="array" ref="G411">INDEX(Changed!$G:$G,ROW())&amp;IF(Changed!$G411&gt;Base!$G411,"↑",IF(Changed!$G411&lt;Base!$G411," ↓",""))</f>
        <v>300</v>
      </c>
      <c r="H411" s="7" t="str" cm="1">
        <f t="array" ref="H411">INDEX(Changed!$H:$H,ROW())&amp;IF(Changed!$H411&gt;Base!$H411,"↑",IF(Changed!$H411&lt;Base!$H411," ↓",""))</f>
        <v>45</v>
      </c>
      <c r="I411" s="7" t="str" cm="1">
        <f t="array" ref="I411">INDEX(Changed!$I:$I,ROW())&amp;IF(Changed!$I411&gt;Base!$I411,"↑",IF(Changed!$I411&lt;Base!$I411," ↓",""))</f>
        <v>75</v>
      </c>
      <c r="J411" s="7" t="str" cm="1">
        <f t="array" ref="J411">INDEX(Changed!$J:$J,ROW())&amp;IF(Changed!$J411&gt;Base!$J411,"↑",IF(Changed!$J411&lt;Base!$J411," ↓",""))</f>
        <v>60</v>
      </c>
      <c r="K411" s="7" t="str" cm="1">
        <f t="array" ref="K411">INDEX(Changed!$K:$K,ROW())&amp;IF(Changed!$K411&gt;Base!$K411,"↑",IF(Changed!$K411&lt;Base!$K411," ↓",""))</f>
        <v>40</v>
      </c>
      <c r="L411" s="7" t="str" cm="1">
        <f t="array" ref="L411">INDEX(Changed!$L:$L,ROW())&amp;IF(Changed!$L411&gt;Base!$L411,"↑",IF(Changed!$L411&lt;Base!$L411," ↓",""))</f>
        <v>30</v>
      </c>
      <c r="M411" s="7" t="str" cm="1">
        <f t="array" ref="M411">INDEX(Changed!$M:$M,ROW())&amp;IF(Changed!$M411&gt;Base!$M411,"↑",IF(Changed!$M411&lt;Base!$M411," ↓",""))</f>
        <v>50</v>
      </c>
      <c r="N411" s="19">
        <f>Changed!G411-Base!G411</f>
        <v>0</v>
      </c>
    </row>
    <row r="412" spans="1:15" ht="15.75" customHeight="1" x14ac:dyDescent="0.2">
      <c r="A412" s="4">
        <v>411</v>
      </c>
      <c r="B412" s="5" t="s">
        <v>407</v>
      </c>
      <c r="C412" s="6" t="str">
        <f>IF(Changed!C412&lt;&gt;"", Changed!C412, "")</f>
        <v>Dragon</v>
      </c>
      <c r="D412" s="6" t="str">
        <f>IF(Changed!D412&lt;&gt;"", Changed!D412, "")</f>
        <v/>
      </c>
      <c r="E412" s="6" t="str">
        <f>IF(Changed!E412&lt;&gt;"", Changed!E412, "")</f>
        <v>Rock Head</v>
      </c>
      <c r="F412" s="6" t="str">
        <f>IF(Changed!F412&lt;&gt;"", Changed!F412, "")</f>
        <v>Rock Head</v>
      </c>
      <c r="G412" s="7" t="str" cm="1">
        <f t="array" ref="G412">INDEX(Changed!$G:$G,ROW())&amp;IF(Changed!$G412&gt;Base!$G412,"↑",IF(Changed!$G412&lt;Base!$G412," ↓",""))</f>
        <v>420</v>
      </c>
      <c r="H412" s="7" t="str" cm="1">
        <f t="array" ref="H412">INDEX(Changed!$H:$H,ROW())&amp;IF(Changed!$H412&gt;Base!$H412,"↑",IF(Changed!$H412&lt;Base!$H412," ↓",""))</f>
        <v>65</v>
      </c>
      <c r="I412" s="7" t="str" cm="1">
        <f t="array" ref="I412">INDEX(Changed!$I:$I,ROW())&amp;IF(Changed!$I412&gt;Base!$I412,"↑",IF(Changed!$I412&lt;Base!$I412," ↓",""))</f>
        <v>95</v>
      </c>
      <c r="J412" s="7" t="str" cm="1">
        <f t="array" ref="J412">INDEX(Changed!$J:$J,ROW())&amp;IF(Changed!$J412&gt;Base!$J412,"↑",IF(Changed!$J412&lt;Base!$J412," ↓",""))</f>
        <v>100</v>
      </c>
      <c r="K412" s="7" t="str" cm="1">
        <f t="array" ref="K412">INDEX(Changed!$K:$K,ROW())&amp;IF(Changed!$K412&gt;Base!$K412,"↑",IF(Changed!$K412&lt;Base!$K412," ↓",""))</f>
        <v>60</v>
      </c>
      <c r="L412" s="7" t="str" cm="1">
        <f t="array" ref="L412">INDEX(Changed!$L:$L,ROW())&amp;IF(Changed!$L412&gt;Base!$L412,"↑",IF(Changed!$L412&lt;Base!$L412," ↓",""))</f>
        <v>50</v>
      </c>
      <c r="M412" s="7" t="str" cm="1">
        <f t="array" ref="M412">INDEX(Changed!$M:$M,ROW())&amp;IF(Changed!$M412&gt;Base!$M412,"↑",IF(Changed!$M412&lt;Base!$M412," ↓",""))</f>
        <v>50</v>
      </c>
      <c r="N412" s="19">
        <f>Changed!G412-Base!G412</f>
        <v>0</v>
      </c>
    </row>
    <row r="413" spans="1:15" ht="15.75" customHeight="1" x14ac:dyDescent="0.2">
      <c r="A413" s="4">
        <v>412</v>
      </c>
      <c r="B413" s="5" t="s">
        <v>408</v>
      </c>
      <c r="C413" s="6" t="str">
        <f>IF(Changed!C413&lt;&gt;"", Changed!C413, "")</f>
        <v>Dragon</v>
      </c>
      <c r="D413" s="6" t="str">
        <f>IF(Changed!D413&lt;&gt;"", Changed!D413, "")</f>
        <v>Flying</v>
      </c>
      <c r="E413" s="6" t="str">
        <f>IF(Changed!E413&lt;&gt;"", Changed!E413, "")</f>
        <v xml:space="preserve">Intimidate </v>
      </c>
      <c r="F413" s="6" t="str">
        <f>IF(Changed!F413&lt;&gt;"", Changed!F413, "")</f>
        <v>Moxie</v>
      </c>
      <c r="G413" s="7" t="str" cm="1">
        <f t="array" ref="G413">INDEX(Changed!$G:$G,ROW())&amp;IF(Changed!$G413&gt;Base!$G413,"↑",IF(Changed!$G413&lt;Base!$G413," ↓",""))</f>
        <v>595 ↓</v>
      </c>
      <c r="H413" s="7" t="str" cm="1">
        <f t="array" ref="H413">INDEX(Changed!$H:$H,ROW())&amp;IF(Changed!$H413&gt;Base!$H413,"↑",IF(Changed!$H413&lt;Base!$H413," ↓",""))</f>
        <v>95</v>
      </c>
      <c r="I413" s="7" t="str" cm="1">
        <f t="array" ref="I413">INDEX(Changed!$I:$I,ROW())&amp;IF(Changed!$I413&gt;Base!$I413,"↑",IF(Changed!$I413&lt;Base!$I413," ↓",""))</f>
        <v>125 ↓</v>
      </c>
      <c r="J413" s="7" t="str" cm="1">
        <f t="array" ref="J413">INDEX(Changed!$J:$J,ROW())&amp;IF(Changed!$J413&gt;Base!$J413,"↑",IF(Changed!$J413&lt;Base!$J413," ↓",""))</f>
        <v>80</v>
      </c>
      <c r="K413" s="7" t="str" cm="1">
        <f t="array" ref="K413">INDEX(Changed!$K:$K,ROW())&amp;IF(Changed!$K413&gt;Base!$K413,"↑",IF(Changed!$K413&lt;Base!$K413," ↓",""))</f>
        <v>115↑</v>
      </c>
      <c r="L413" s="7" t="str" cm="1">
        <f t="array" ref="L413">INDEX(Changed!$L:$L,ROW())&amp;IF(Changed!$L413&gt;Base!$L413,"↑",IF(Changed!$L413&lt;Base!$L413," ↓",""))</f>
        <v>80</v>
      </c>
      <c r="M413" s="7" t="str" cm="1">
        <f t="array" ref="M413">INDEX(Changed!$M:$M,ROW())&amp;IF(Changed!$M413&gt;Base!$M413,"↑",IF(Changed!$M413&lt;Base!$M413," ↓",""))</f>
        <v>100</v>
      </c>
      <c r="N413" s="19">
        <f>Changed!G413-Base!G413</f>
        <v>-5</v>
      </c>
    </row>
    <row r="414" spans="1:15" ht="15.75" customHeight="1" x14ac:dyDescent="0.2">
      <c r="A414" s="4">
        <v>413</v>
      </c>
      <c r="B414" s="5" t="s">
        <v>409</v>
      </c>
      <c r="C414" s="6" t="str">
        <f>IF(Changed!C414&lt;&gt;"", Changed!C414, "")</f>
        <v>Steel</v>
      </c>
      <c r="D414" s="6" t="str">
        <f>IF(Changed!D414&lt;&gt;"", Changed!D414, "")</f>
        <v>Psychic</v>
      </c>
      <c r="E414" s="6" t="str">
        <f>IF(Changed!E414&lt;&gt;"", Changed!E414, "")</f>
        <v>Clear Body</v>
      </c>
      <c r="F414" s="6" t="str">
        <f>IF(Changed!F414&lt;&gt;"", Changed!F414, "")</f>
        <v/>
      </c>
      <c r="G414" s="7" t="str" cm="1">
        <f t="array" ref="G414">INDEX(Changed!$G:$G,ROW())&amp;IF(Changed!$G414&gt;Base!$G414,"↑",IF(Changed!$G414&lt;Base!$G414," ↓",""))</f>
        <v>300</v>
      </c>
      <c r="H414" s="7" t="str" cm="1">
        <f t="array" ref="H414">INDEX(Changed!$H:$H,ROW())&amp;IF(Changed!$H414&gt;Base!$H414,"↑",IF(Changed!$H414&lt;Base!$H414," ↓",""))</f>
        <v>40</v>
      </c>
      <c r="I414" s="7" t="str" cm="1">
        <f t="array" ref="I414">INDEX(Changed!$I:$I,ROW())&amp;IF(Changed!$I414&gt;Base!$I414,"↑",IF(Changed!$I414&lt;Base!$I414," ↓",""))</f>
        <v>55</v>
      </c>
      <c r="J414" s="7" t="str" cm="1">
        <f t="array" ref="J414">INDEX(Changed!$J:$J,ROW())&amp;IF(Changed!$J414&gt;Base!$J414,"↑",IF(Changed!$J414&lt;Base!$J414," ↓",""))</f>
        <v>80</v>
      </c>
      <c r="K414" s="7" t="str" cm="1">
        <f t="array" ref="K414">INDEX(Changed!$K:$K,ROW())&amp;IF(Changed!$K414&gt;Base!$K414,"↑",IF(Changed!$K414&lt;Base!$K414," ↓",""))</f>
        <v>35</v>
      </c>
      <c r="L414" s="7" t="str" cm="1">
        <f t="array" ref="L414">INDEX(Changed!$L:$L,ROW())&amp;IF(Changed!$L414&gt;Base!$L414,"↑",IF(Changed!$L414&lt;Base!$L414," ↓",""))</f>
        <v>60</v>
      </c>
      <c r="M414" s="7" t="str" cm="1">
        <f t="array" ref="M414">INDEX(Changed!$M:$M,ROW())&amp;IF(Changed!$M414&gt;Base!$M414,"↑",IF(Changed!$M414&lt;Base!$M414," ↓",""))</f>
        <v>30</v>
      </c>
      <c r="N414" s="19">
        <f>Changed!G414-Base!G414</f>
        <v>0</v>
      </c>
    </row>
    <row r="415" spans="1:15" ht="15.75" customHeight="1" x14ac:dyDescent="0.2">
      <c r="A415" s="4">
        <v>414</v>
      </c>
      <c r="B415" s="5" t="s">
        <v>410</v>
      </c>
      <c r="C415" s="6" t="str">
        <f>IF(Changed!C415&lt;&gt;"", Changed!C415, "")</f>
        <v>Steel</v>
      </c>
      <c r="D415" s="6" t="str">
        <f>IF(Changed!D415&lt;&gt;"", Changed!D415, "")</f>
        <v>Psychic</v>
      </c>
      <c r="E415" s="6" t="str">
        <f>IF(Changed!E415&lt;&gt;"", Changed!E415, "")</f>
        <v>Clear Body</v>
      </c>
      <c r="F415" s="6" t="str">
        <f>IF(Changed!F415&lt;&gt;"", Changed!F415, "")</f>
        <v/>
      </c>
      <c r="G415" s="7" t="str" cm="1">
        <f t="array" ref="G415">INDEX(Changed!$G:$G,ROW())&amp;IF(Changed!$G415&gt;Base!$G415,"↑",IF(Changed!$G415&lt;Base!$G415," ↓",""))</f>
        <v>420</v>
      </c>
      <c r="H415" s="7" t="str" cm="1">
        <f t="array" ref="H415">INDEX(Changed!$H:$H,ROW())&amp;IF(Changed!$H415&gt;Base!$H415,"↑",IF(Changed!$H415&lt;Base!$H415," ↓",""))</f>
        <v>60</v>
      </c>
      <c r="I415" s="7" t="str" cm="1">
        <f t="array" ref="I415">INDEX(Changed!$I:$I,ROW())&amp;IF(Changed!$I415&gt;Base!$I415,"↑",IF(Changed!$I415&lt;Base!$I415," ↓",""))</f>
        <v>75</v>
      </c>
      <c r="J415" s="7" t="str" cm="1">
        <f t="array" ref="J415">INDEX(Changed!$J:$J,ROW())&amp;IF(Changed!$J415&gt;Base!$J415,"↑",IF(Changed!$J415&lt;Base!$J415," ↓",""))</f>
        <v>100</v>
      </c>
      <c r="K415" s="7" t="str" cm="1">
        <f t="array" ref="K415">INDEX(Changed!$K:$K,ROW())&amp;IF(Changed!$K415&gt;Base!$K415,"↑",IF(Changed!$K415&lt;Base!$K415," ↓",""))</f>
        <v>55</v>
      </c>
      <c r="L415" s="7" t="str" cm="1">
        <f t="array" ref="L415">INDEX(Changed!$L:$L,ROW())&amp;IF(Changed!$L415&gt;Base!$L415,"↑",IF(Changed!$L415&lt;Base!$L415," ↓",""))</f>
        <v>80</v>
      </c>
      <c r="M415" s="7" t="str" cm="1">
        <f t="array" ref="M415">INDEX(Changed!$M:$M,ROW())&amp;IF(Changed!$M415&gt;Base!$M415,"↑",IF(Changed!$M415&lt;Base!$M415," ↓",""))</f>
        <v>50</v>
      </c>
      <c r="N415" s="19">
        <f>Changed!G415-Base!G415</f>
        <v>0</v>
      </c>
    </row>
    <row r="416" spans="1:15" ht="15.75" customHeight="1" x14ac:dyDescent="0.2">
      <c r="A416" s="4">
        <v>415</v>
      </c>
      <c r="B416" s="5" t="s">
        <v>411</v>
      </c>
      <c r="C416" s="6" t="str">
        <f>IF(Changed!C416&lt;&gt;"", Changed!C416, "")</f>
        <v>Steel</v>
      </c>
      <c r="D416" s="6" t="str">
        <f>IF(Changed!D416&lt;&gt;"", Changed!D416, "")</f>
        <v>Psychic</v>
      </c>
      <c r="E416" s="6" t="str">
        <f>IF(Changed!E416&lt;&gt;"", Changed!E416, "")</f>
        <v>Clear Body</v>
      </c>
      <c r="F416" s="6" t="str">
        <f>IF(Changed!F416&lt;&gt;"", Changed!F416, "")</f>
        <v/>
      </c>
      <c r="G416" s="7" t="str" cm="1">
        <f t="array" ref="G416">INDEX(Changed!$G:$G,ROW())&amp;IF(Changed!$G416&gt;Base!$G416,"↑",IF(Changed!$G416&lt;Base!$G416," ↓",""))</f>
        <v>590 ↓</v>
      </c>
      <c r="H416" s="7" t="str" cm="1">
        <f t="array" ref="H416">INDEX(Changed!$H:$H,ROW())&amp;IF(Changed!$H416&gt;Base!$H416,"↑",IF(Changed!$H416&lt;Base!$H416," ↓",""))</f>
        <v>80</v>
      </c>
      <c r="I416" s="7" t="str" cm="1">
        <f t="array" ref="I416">INDEX(Changed!$I:$I,ROW())&amp;IF(Changed!$I416&gt;Base!$I416,"↑",IF(Changed!$I416&lt;Base!$I416," ↓",""))</f>
        <v>135</v>
      </c>
      <c r="J416" s="7" t="str" cm="1">
        <f t="array" ref="J416">INDEX(Changed!$J:$J,ROW())&amp;IF(Changed!$J416&gt;Base!$J416,"↑",IF(Changed!$J416&lt;Base!$J416," ↓",""))</f>
        <v>130</v>
      </c>
      <c r="K416" s="7" t="str" cm="1">
        <f t="array" ref="K416">INDEX(Changed!$K:$K,ROW())&amp;IF(Changed!$K416&gt;Base!$K416,"↑",IF(Changed!$K416&lt;Base!$K416," ↓",""))</f>
        <v>85 ↓</v>
      </c>
      <c r="L416" s="7" t="str" cm="1">
        <f t="array" ref="L416">INDEX(Changed!$L:$L,ROW())&amp;IF(Changed!$L416&gt;Base!$L416,"↑",IF(Changed!$L416&lt;Base!$L416," ↓",""))</f>
        <v>90</v>
      </c>
      <c r="M416" s="7" t="str" cm="1">
        <f t="array" ref="M416">INDEX(Changed!$M:$M,ROW())&amp;IF(Changed!$M416&gt;Base!$M416,"↑",IF(Changed!$M416&lt;Base!$M416," ↓",""))</f>
        <v>70</v>
      </c>
      <c r="N416" s="19">
        <f>Changed!G416-Base!G416</f>
        <v>-10</v>
      </c>
    </row>
    <row r="417" spans="1:14" ht="15.75" customHeight="1" x14ac:dyDescent="0.2">
      <c r="A417" s="4">
        <v>416</v>
      </c>
      <c r="B417" s="5" t="s">
        <v>412</v>
      </c>
      <c r="C417" s="6" t="str">
        <f>IF(Changed!C417&lt;&gt;"", Changed!C417, "")</f>
        <v>Rock</v>
      </c>
      <c r="D417" s="6" t="str">
        <f>IF(Changed!D417&lt;&gt;"", Changed!D417, "")</f>
        <v/>
      </c>
      <c r="E417" s="6" t="str">
        <f>IF(Changed!E417&lt;&gt;"", Changed!E417, "")</f>
        <v>White Smoke</v>
      </c>
      <c r="F417" s="6" t="str">
        <f>IF(Changed!F417&lt;&gt;"", Changed!F417, "")</f>
        <v>Solid Rock</v>
      </c>
      <c r="G417" s="7" t="str" cm="1">
        <f t="array" ref="G417">INDEX(Changed!$G:$G,ROW())&amp;IF(Changed!$G417&gt;Base!$G417,"↑",IF(Changed!$G417&lt;Base!$G417," ↓",""))</f>
        <v>580</v>
      </c>
      <c r="H417" s="7" t="str" cm="1">
        <f t="array" ref="H417">INDEX(Changed!$H:$H,ROW())&amp;IF(Changed!$H417&gt;Base!$H417,"↑",IF(Changed!$H417&lt;Base!$H417," ↓",""))</f>
        <v>80</v>
      </c>
      <c r="I417" s="7" t="str" cm="1">
        <f t="array" ref="I417">INDEX(Changed!$I:$I,ROW())&amp;IF(Changed!$I417&gt;Base!$I417,"↑",IF(Changed!$I417&lt;Base!$I417," ↓",""))</f>
        <v>100</v>
      </c>
      <c r="J417" s="7" t="str" cm="1">
        <f t="array" ref="J417">INDEX(Changed!$J:$J,ROW())&amp;IF(Changed!$J417&gt;Base!$J417,"↑",IF(Changed!$J417&lt;Base!$J417," ↓",""))</f>
        <v>200</v>
      </c>
      <c r="K417" s="7" t="str" cm="1">
        <f t="array" ref="K417">INDEX(Changed!$K:$K,ROW())&amp;IF(Changed!$K417&gt;Base!$K417,"↑",IF(Changed!$K417&lt;Base!$K417," ↓",""))</f>
        <v>50</v>
      </c>
      <c r="L417" s="7" t="str" cm="1">
        <f t="array" ref="L417">INDEX(Changed!$L:$L,ROW())&amp;IF(Changed!$L417&gt;Base!$L417,"↑",IF(Changed!$L417&lt;Base!$L417," ↓",""))</f>
        <v>100</v>
      </c>
      <c r="M417" s="7" t="str" cm="1">
        <f t="array" ref="M417">INDEX(Changed!$M:$M,ROW())&amp;IF(Changed!$M417&gt;Base!$M417,"↑",IF(Changed!$M417&lt;Base!$M417," ↓",""))</f>
        <v>50</v>
      </c>
      <c r="N417" s="19">
        <f>Changed!G417-Base!G417</f>
        <v>0</v>
      </c>
    </row>
    <row r="418" spans="1:14" ht="15.75" customHeight="1" x14ac:dyDescent="0.2">
      <c r="A418" s="4">
        <v>417</v>
      </c>
      <c r="B418" s="5" t="s">
        <v>413</v>
      </c>
      <c r="C418" s="6" t="str">
        <f>IF(Changed!C418&lt;&gt;"", Changed!C418, "")</f>
        <v>Ice</v>
      </c>
      <c r="D418" s="6" t="str">
        <f>IF(Changed!D418&lt;&gt;"", Changed!D418, "")</f>
        <v/>
      </c>
      <c r="E418" s="6" t="str">
        <f>IF(Changed!E418&lt;&gt;"", Changed!E418, "")</f>
        <v>Clear Body</v>
      </c>
      <c r="F418" s="6" t="str">
        <f>IF(Changed!F418&lt;&gt;"", Changed!F418, "")</f>
        <v>Filter</v>
      </c>
      <c r="G418" s="7" t="str" cm="1">
        <f t="array" ref="G418">INDEX(Changed!$G:$G,ROW())&amp;IF(Changed!$G418&gt;Base!$G418,"↑",IF(Changed!$G418&lt;Base!$G418," ↓",""))</f>
        <v>580</v>
      </c>
      <c r="H418" s="7" t="str" cm="1">
        <f t="array" ref="H418">INDEX(Changed!$H:$H,ROW())&amp;IF(Changed!$H418&gt;Base!$H418,"↑",IF(Changed!$H418&lt;Base!$H418," ↓",""))</f>
        <v>80</v>
      </c>
      <c r="I418" s="7" t="str" cm="1">
        <f t="array" ref="I418">INDEX(Changed!$I:$I,ROW())&amp;IF(Changed!$I418&gt;Base!$I418,"↑",IF(Changed!$I418&lt;Base!$I418," ↓",""))</f>
        <v>50</v>
      </c>
      <c r="J418" s="7" t="str" cm="1">
        <f t="array" ref="J418">INDEX(Changed!$J:$J,ROW())&amp;IF(Changed!$J418&gt;Base!$J418,"↑",IF(Changed!$J418&lt;Base!$J418," ↓",""))</f>
        <v>100</v>
      </c>
      <c r="K418" s="7" t="str" cm="1">
        <f t="array" ref="K418">INDEX(Changed!$K:$K,ROW())&amp;IF(Changed!$K418&gt;Base!$K418,"↑",IF(Changed!$K418&lt;Base!$K418," ↓",""))</f>
        <v>100</v>
      </c>
      <c r="L418" s="7" t="str" cm="1">
        <f t="array" ref="L418">INDEX(Changed!$L:$L,ROW())&amp;IF(Changed!$L418&gt;Base!$L418,"↑",IF(Changed!$L418&lt;Base!$L418," ↓",""))</f>
        <v>200</v>
      </c>
      <c r="M418" s="7" t="str" cm="1">
        <f t="array" ref="M418">INDEX(Changed!$M:$M,ROW())&amp;IF(Changed!$M418&gt;Base!$M418,"↑",IF(Changed!$M418&lt;Base!$M418," ↓",""))</f>
        <v>50</v>
      </c>
      <c r="N418" s="19">
        <f>Changed!G418-Base!G418</f>
        <v>0</v>
      </c>
    </row>
    <row r="419" spans="1:14" ht="15.75" customHeight="1" x14ac:dyDescent="0.2">
      <c r="A419" s="4">
        <v>418</v>
      </c>
      <c r="B419" s="5" t="s">
        <v>414</v>
      </c>
      <c r="C419" s="6" t="str">
        <f>IF(Changed!C419&lt;&gt;"", Changed!C419, "")</f>
        <v>Steel</v>
      </c>
      <c r="D419" s="6" t="str">
        <f>IF(Changed!D419&lt;&gt;"", Changed!D419, "")</f>
        <v/>
      </c>
      <c r="E419" s="6" t="str">
        <f>IF(Changed!E419&lt;&gt;"", Changed!E419, "")</f>
        <v>Full Metal Body</v>
      </c>
      <c r="F419" s="6" t="str">
        <f>IF(Changed!F419&lt;&gt;"", Changed!F419, "")</f>
        <v>Prism Armor</v>
      </c>
      <c r="G419" s="7" t="str" cm="1">
        <f t="array" ref="G419">INDEX(Changed!$G:$G,ROW())&amp;IF(Changed!$G419&gt;Base!$G419,"↑",IF(Changed!$G419&lt;Base!$G419," ↓",""))</f>
        <v>580</v>
      </c>
      <c r="H419" s="7" t="str" cm="1">
        <f t="array" ref="H419">INDEX(Changed!$H:$H,ROW())&amp;IF(Changed!$H419&gt;Base!$H419,"↑",IF(Changed!$H419&lt;Base!$H419," ↓",""))</f>
        <v>80</v>
      </c>
      <c r="I419" s="7" t="str" cm="1">
        <f t="array" ref="I419">INDEX(Changed!$I:$I,ROW())&amp;IF(Changed!$I419&gt;Base!$I419,"↑",IF(Changed!$I419&lt;Base!$I419," ↓",""))</f>
        <v>75</v>
      </c>
      <c r="J419" s="7" t="str" cm="1">
        <f t="array" ref="J419">INDEX(Changed!$J:$J,ROW())&amp;IF(Changed!$J419&gt;Base!$J419,"↑",IF(Changed!$J419&lt;Base!$J419," ↓",""))</f>
        <v>150</v>
      </c>
      <c r="K419" s="7" t="str" cm="1">
        <f t="array" ref="K419">INDEX(Changed!$K:$K,ROW())&amp;IF(Changed!$K419&gt;Base!$K419,"↑",IF(Changed!$K419&lt;Base!$K419," ↓",""))</f>
        <v>75</v>
      </c>
      <c r="L419" s="7" t="str" cm="1">
        <f t="array" ref="L419">INDEX(Changed!$L:$L,ROW())&amp;IF(Changed!$L419&gt;Base!$L419,"↑",IF(Changed!$L419&lt;Base!$L419," ↓",""))</f>
        <v>150</v>
      </c>
      <c r="M419" s="7" t="str" cm="1">
        <f t="array" ref="M419">INDEX(Changed!$M:$M,ROW())&amp;IF(Changed!$M419&gt;Base!$M419,"↑",IF(Changed!$M419&lt;Base!$M419," ↓",""))</f>
        <v>50</v>
      </c>
      <c r="N419" s="19">
        <f>Changed!G419-Base!G419</f>
        <v>0</v>
      </c>
    </row>
    <row r="420" spans="1:14" ht="15.75" customHeight="1" x14ac:dyDescent="0.2">
      <c r="A420" s="4">
        <v>419</v>
      </c>
      <c r="B420" s="5" t="s">
        <v>415</v>
      </c>
      <c r="C420" s="6" t="str">
        <f>IF(Changed!C420&lt;&gt;"", Changed!C420, "")</f>
        <v>Dragon</v>
      </c>
      <c r="D420" s="6" t="str">
        <f>IF(Changed!D420&lt;&gt;"", Changed!D420, "")</f>
        <v>Psychic</v>
      </c>
      <c r="E420" s="6" t="str">
        <f>IF(Changed!E420&lt;&gt;"", Changed!E420, "")</f>
        <v>Levitate</v>
      </c>
      <c r="F420" s="6" t="str">
        <f>IF(Changed!F420&lt;&gt;"", Changed!F420, "")</f>
        <v/>
      </c>
      <c r="G420" s="7" t="str" cm="1">
        <f t="array" ref="G420">INDEX(Changed!$G:$G,ROW())&amp;IF(Changed!$G420&gt;Base!$G420,"↑",IF(Changed!$G420&lt;Base!$G420," ↓",""))</f>
        <v>600</v>
      </c>
      <c r="H420" s="7" t="str" cm="1">
        <f t="array" ref="H420">INDEX(Changed!$H:$H,ROW())&amp;IF(Changed!$H420&gt;Base!$H420,"↑",IF(Changed!$H420&lt;Base!$H420," ↓",""))</f>
        <v>80</v>
      </c>
      <c r="I420" s="7" t="str" cm="1">
        <f t="array" ref="I420">INDEX(Changed!$I:$I,ROW())&amp;IF(Changed!$I420&gt;Base!$I420,"↑",IF(Changed!$I420&lt;Base!$I420," ↓",""))</f>
        <v>80</v>
      </c>
      <c r="J420" s="7" t="str" cm="1">
        <f t="array" ref="J420">INDEX(Changed!$J:$J,ROW())&amp;IF(Changed!$J420&gt;Base!$J420,"↑",IF(Changed!$J420&lt;Base!$J420," ↓",""))</f>
        <v>90</v>
      </c>
      <c r="K420" s="7" t="str" cm="1">
        <f t="array" ref="K420">INDEX(Changed!$K:$K,ROW())&amp;IF(Changed!$K420&gt;Base!$K420,"↑",IF(Changed!$K420&lt;Base!$K420," ↓",""))</f>
        <v>110</v>
      </c>
      <c r="L420" s="7" t="str" cm="1">
        <f t="array" ref="L420">INDEX(Changed!$L:$L,ROW())&amp;IF(Changed!$L420&gt;Base!$L420,"↑",IF(Changed!$L420&lt;Base!$L420," ↓",""))</f>
        <v>130</v>
      </c>
      <c r="M420" s="7" t="str" cm="1">
        <f t="array" ref="M420">INDEX(Changed!$M:$M,ROW())&amp;IF(Changed!$M420&gt;Base!$M420,"↑",IF(Changed!$M420&lt;Base!$M420," ↓",""))</f>
        <v>110</v>
      </c>
      <c r="N420" s="19">
        <f>Changed!G420-Base!G420</f>
        <v>0</v>
      </c>
    </row>
    <row r="421" spans="1:14" ht="15.75" customHeight="1" x14ac:dyDescent="0.2">
      <c r="A421" s="4">
        <v>420</v>
      </c>
      <c r="B421" s="5" t="s">
        <v>416</v>
      </c>
      <c r="C421" s="6" t="str">
        <f>IF(Changed!C421&lt;&gt;"", Changed!C421, "")</f>
        <v>Dragon</v>
      </c>
      <c r="D421" s="6" t="str">
        <f>IF(Changed!D421&lt;&gt;"", Changed!D421, "")</f>
        <v>Psychic</v>
      </c>
      <c r="E421" s="6" t="str">
        <f>IF(Changed!E421&lt;&gt;"", Changed!E421, "")</f>
        <v>Levitate</v>
      </c>
      <c r="F421" s="6" t="str">
        <f>IF(Changed!F421&lt;&gt;"", Changed!F421, "")</f>
        <v/>
      </c>
      <c r="G421" s="7" t="str" cm="1">
        <f t="array" ref="G421">INDEX(Changed!$G:$G,ROW())&amp;IF(Changed!$G421&gt;Base!$G421,"↑",IF(Changed!$G421&lt;Base!$G421," ↓",""))</f>
        <v>600</v>
      </c>
      <c r="H421" s="7" t="str" cm="1">
        <f t="array" ref="H421">INDEX(Changed!$H:$H,ROW())&amp;IF(Changed!$H421&gt;Base!$H421,"↑",IF(Changed!$H421&lt;Base!$H421," ↓",""))</f>
        <v>80</v>
      </c>
      <c r="I421" s="7" t="str" cm="1">
        <f t="array" ref="I421">INDEX(Changed!$I:$I,ROW())&amp;IF(Changed!$I421&gt;Base!$I421,"↑",IF(Changed!$I421&lt;Base!$I421," ↓",""))</f>
        <v>90</v>
      </c>
      <c r="J421" s="7" t="str" cm="1">
        <f t="array" ref="J421">INDEX(Changed!$J:$J,ROW())&amp;IF(Changed!$J421&gt;Base!$J421,"↑",IF(Changed!$J421&lt;Base!$J421," ↓",""))</f>
        <v>80</v>
      </c>
      <c r="K421" s="7" t="str" cm="1">
        <f t="array" ref="K421">INDEX(Changed!$K:$K,ROW())&amp;IF(Changed!$K421&gt;Base!$K421,"↑",IF(Changed!$K421&lt;Base!$K421," ↓",""))</f>
        <v>130</v>
      </c>
      <c r="L421" s="7" t="str" cm="1">
        <f t="array" ref="L421">INDEX(Changed!$L:$L,ROW())&amp;IF(Changed!$L421&gt;Base!$L421,"↑",IF(Changed!$L421&lt;Base!$L421," ↓",""))</f>
        <v>110</v>
      </c>
      <c r="M421" s="7" t="str" cm="1">
        <f t="array" ref="M421">INDEX(Changed!$M:$M,ROW())&amp;IF(Changed!$M421&gt;Base!$M421,"↑",IF(Changed!$M421&lt;Base!$M421," ↓",""))</f>
        <v>110</v>
      </c>
      <c r="N421" s="19">
        <f>Changed!G421-Base!G421</f>
        <v>0</v>
      </c>
    </row>
    <row r="422" spans="1:14" ht="15.75" customHeight="1" x14ac:dyDescent="0.2">
      <c r="A422" s="4">
        <v>421</v>
      </c>
      <c r="B422" s="5" t="s">
        <v>417</v>
      </c>
      <c r="C422" s="6" t="str">
        <f>IF(Changed!C422&lt;&gt;"", Changed!C422, "")</f>
        <v>Water</v>
      </c>
      <c r="D422" s="6" t="str">
        <f>IF(Changed!D422&lt;&gt;"", Changed!D422, "")</f>
        <v/>
      </c>
      <c r="E422" s="6" t="str">
        <f>IF(Changed!E422&lt;&gt;"", Changed!E422, "")</f>
        <v>Drizzle</v>
      </c>
      <c r="F422" s="6" t="str">
        <f>IF(Changed!F422&lt;&gt;"", Changed!F422, "")</f>
        <v/>
      </c>
      <c r="G422" s="7" t="str" cm="1">
        <f t="array" ref="G422">INDEX(Changed!$G:$G,ROW())&amp;IF(Changed!$G422&gt;Base!$G422,"↑",IF(Changed!$G422&lt;Base!$G422," ↓",""))</f>
        <v>652 ↓</v>
      </c>
      <c r="H422" s="7" t="str" cm="1">
        <f t="array" ref="H422">INDEX(Changed!$H:$H,ROW())&amp;IF(Changed!$H422&gt;Base!$H422,"↑",IF(Changed!$H422&lt;Base!$H422," ↓",""))</f>
        <v>100</v>
      </c>
      <c r="I422" s="7" t="str" cm="1">
        <f t="array" ref="I422">INDEX(Changed!$I:$I,ROW())&amp;IF(Changed!$I422&gt;Base!$I422,"↑",IF(Changed!$I422&lt;Base!$I422," ↓",""))</f>
        <v>90 ↓</v>
      </c>
      <c r="J422" s="7" t="str" cm="1">
        <f t="array" ref="J422">INDEX(Changed!$J:$J,ROW())&amp;IF(Changed!$J422&gt;Base!$J422,"↑",IF(Changed!$J422&lt;Base!$J422," ↓",""))</f>
        <v>90</v>
      </c>
      <c r="K422" s="7" t="str" cm="1">
        <f t="array" ref="K422">INDEX(Changed!$K:$K,ROW())&amp;IF(Changed!$K422&gt;Base!$K422,"↑",IF(Changed!$K422&lt;Base!$K422," ↓",""))</f>
        <v>145 ↓</v>
      </c>
      <c r="L422" s="7" t="str" cm="1">
        <f t="array" ref="L422">INDEX(Changed!$L:$L,ROW())&amp;IF(Changed!$L422&gt;Base!$L422,"↑",IF(Changed!$L422&lt;Base!$L422," ↓",""))</f>
        <v>140</v>
      </c>
      <c r="M422" s="7" t="str" cm="1">
        <f t="array" ref="M422">INDEX(Changed!$M:$M,ROW())&amp;IF(Changed!$M422&gt;Base!$M422,"↑",IF(Changed!$M422&lt;Base!$M422," ↓",""))</f>
        <v>87 ↓</v>
      </c>
      <c r="N422" s="19">
        <f>Changed!G422-Base!G422</f>
        <v>-18</v>
      </c>
    </row>
    <row r="423" spans="1:14" ht="15.75" customHeight="1" x14ac:dyDescent="0.2">
      <c r="A423" s="4">
        <v>422</v>
      </c>
      <c r="B423" s="5" t="s">
        <v>418</v>
      </c>
      <c r="C423" s="6" t="str">
        <f>IF(Changed!C423&lt;&gt;"", Changed!C423, "")</f>
        <v>Ground</v>
      </c>
      <c r="D423" s="6" t="str">
        <f>IF(Changed!D423&lt;&gt;"", Changed!D423, "")</f>
        <v/>
      </c>
      <c r="E423" s="6" t="str">
        <f>IF(Changed!E423&lt;&gt;"", Changed!E423, "")</f>
        <v>Drought</v>
      </c>
      <c r="F423" s="6" t="str">
        <f>IF(Changed!F423&lt;&gt;"", Changed!F423, "")</f>
        <v/>
      </c>
      <c r="G423" s="7" t="str" cm="1">
        <f t="array" ref="G423">INDEX(Changed!$G:$G,ROW())&amp;IF(Changed!$G423&gt;Base!$G423,"↑",IF(Changed!$G423&lt;Base!$G423," ↓",""))</f>
        <v>652 ↓</v>
      </c>
      <c r="H423" s="7" t="str" cm="1">
        <f t="array" ref="H423">INDEX(Changed!$H:$H,ROW())&amp;IF(Changed!$H423&gt;Base!$H423,"↑",IF(Changed!$H423&lt;Base!$H423," ↓",""))</f>
        <v>100</v>
      </c>
      <c r="I423" s="7" t="str" cm="1">
        <f t="array" ref="I423">INDEX(Changed!$I:$I,ROW())&amp;IF(Changed!$I423&gt;Base!$I423,"↑",IF(Changed!$I423&lt;Base!$I423," ↓",""))</f>
        <v>145 ↓</v>
      </c>
      <c r="J423" s="7" t="str" cm="1">
        <f t="array" ref="J423">INDEX(Changed!$J:$J,ROW())&amp;IF(Changed!$J423&gt;Base!$J423,"↑",IF(Changed!$J423&lt;Base!$J423," ↓",""))</f>
        <v>140</v>
      </c>
      <c r="K423" s="7" t="str" cm="1">
        <f t="array" ref="K423">INDEX(Changed!$K:$K,ROW())&amp;IF(Changed!$K423&gt;Base!$K423,"↑",IF(Changed!$K423&lt;Base!$K423," ↓",""))</f>
        <v>90 ↓</v>
      </c>
      <c r="L423" s="7" t="str" cm="1">
        <f t="array" ref="L423">INDEX(Changed!$L:$L,ROW())&amp;IF(Changed!$L423&gt;Base!$L423,"↑",IF(Changed!$L423&lt;Base!$L423," ↓",""))</f>
        <v>90</v>
      </c>
      <c r="M423" s="7" t="str" cm="1">
        <f t="array" ref="M423">INDEX(Changed!$M:$M,ROW())&amp;IF(Changed!$M423&gt;Base!$M423,"↑",IF(Changed!$M423&lt;Base!$M423," ↓",""))</f>
        <v>87 ↓</v>
      </c>
      <c r="N423" s="19">
        <f>Changed!G423-Base!G423</f>
        <v>-18</v>
      </c>
    </row>
    <row r="424" spans="1:14" ht="15.75" customHeight="1" x14ac:dyDescent="0.2">
      <c r="A424" s="4">
        <v>423</v>
      </c>
      <c r="B424" s="5" t="s">
        <v>419</v>
      </c>
      <c r="C424" s="6" t="str">
        <f>IF(Changed!C424&lt;&gt;"", Changed!C424, "")</f>
        <v>Dragon</v>
      </c>
      <c r="D424" s="6" t="str">
        <f>IF(Changed!D424&lt;&gt;"", Changed!D424, "")</f>
        <v>Flying</v>
      </c>
      <c r="E424" s="6" t="str">
        <f>IF(Changed!E424&lt;&gt;"", Changed!E424, "")</f>
        <v>Air Lock</v>
      </c>
      <c r="F424" s="6" t="str">
        <f>IF(Changed!F424&lt;&gt;"", Changed!F424, "")</f>
        <v/>
      </c>
      <c r="G424" s="7" t="str" cm="1">
        <f t="array" ref="G424">INDEX(Changed!$G:$G,ROW())&amp;IF(Changed!$G424&gt;Base!$G424,"↑",IF(Changed!$G424&lt;Base!$G424," ↓",""))</f>
        <v>670 ↓</v>
      </c>
      <c r="H424" s="7" t="str" cm="1">
        <f t="array" ref="H424">INDEX(Changed!$H:$H,ROW())&amp;IF(Changed!$H424&gt;Base!$H424,"↑",IF(Changed!$H424&lt;Base!$H424," ↓",""))</f>
        <v>105</v>
      </c>
      <c r="I424" s="7" t="str" cm="1">
        <f t="array" ref="I424">INDEX(Changed!$I:$I,ROW())&amp;IF(Changed!$I424&gt;Base!$I424,"↑",IF(Changed!$I424&lt;Base!$I424," ↓",""))</f>
        <v>150</v>
      </c>
      <c r="J424" s="7" t="str" cm="1">
        <f t="array" ref="J424">INDEX(Changed!$J:$J,ROW())&amp;IF(Changed!$J424&gt;Base!$J424,"↑",IF(Changed!$J424&lt;Base!$J424," ↓",""))</f>
        <v>85 ↓</v>
      </c>
      <c r="K424" s="7" t="str" cm="1">
        <f t="array" ref="K424">INDEX(Changed!$K:$K,ROW())&amp;IF(Changed!$K424&gt;Base!$K424,"↑",IF(Changed!$K424&lt;Base!$K424," ↓",""))</f>
        <v>150</v>
      </c>
      <c r="L424" s="7" t="str" cm="1">
        <f t="array" ref="L424">INDEX(Changed!$L:$L,ROW())&amp;IF(Changed!$L424&gt;Base!$L424,"↑",IF(Changed!$L424&lt;Base!$L424," ↓",""))</f>
        <v>85 ↓</v>
      </c>
      <c r="M424" s="7" t="str" cm="1">
        <f t="array" ref="M424">INDEX(Changed!$M:$M,ROW())&amp;IF(Changed!$M424&gt;Base!$M424,"↑",IF(Changed!$M424&lt;Base!$M424," ↓",""))</f>
        <v>95</v>
      </c>
      <c r="N424" s="19">
        <f>Changed!G424-Base!G424</f>
        <v>-10</v>
      </c>
    </row>
    <row r="425" spans="1:14" ht="15.75" customHeight="1" x14ac:dyDescent="0.2">
      <c r="A425" s="4">
        <v>424</v>
      </c>
      <c r="B425" s="5" t="s">
        <v>420</v>
      </c>
      <c r="C425" s="6" t="str">
        <f>IF(Changed!C425&lt;&gt;"", Changed!C425, "")</f>
        <v>Steel</v>
      </c>
      <c r="D425" s="6" t="str">
        <f>IF(Changed!D425&lt;&gt;"", Changed!D425, "")</f>
        <v>Psychic</v>
      </c>
      <c r="E425" s="6" t="str">
        <f>IF(Changed!E425&lt;&gt;"", Changed!E425, "")</f>
        <v>Serene Grace</v>
      </c>
      <c r="F425" s="6" t="str">
        <f>IF(Changed!F425&lt;&gt;"", Changed!F425, "")</f>
        <v/>
      </c>
      <c r="G425" s="7" t="str" cm="1">
        <f t="array" ref="G425">INDEX(Changed!$G:$G,ROW())&amp;IF(Changed!$G425&gt;Base!$G425,"↑",IF(Changed!$G425&lt;Base!$G425," ↓",""))</f>
        <v>600</v>
      </c>
      <c r="H425" s="7" t="str" cm="1">
        <f t="array" ref="H425">INDEX(Changed!$H:$H,ROW())&amp;IF(Changed!$H425&gt;Base!$H425,"↑",IF(Changed!$H425&lt;Base!$H425," ↓",""))</f>
        <v>100</v>
      </c>
      <c r="I425" s="7" t="str" cm="1">
        <f t="array" ref="I425">INDEX(Changed!$I:$I,ROW())&amp;IF(Changed!$I425&gt;Base!$I425,"↑",IF(Changed!$I425&lt;Base!$I425," ↓",""))</f>
        <v>100</v>
      </c>
      <c r="J425" s="7" t="str" cm="1">
        <f t="array" ref="J425">INDEX(Changed!$J:$J,ROW())&amp;IF(Changed!$J425&gt;Base!$J425,"↑",IF(Changed!$J425&lt;Base!$J425," ↓",""))</f>
        <v>100</v>
      </c>
      <c r="K425" s="7" t="str" cm="1">
        <f t="array" ref="K425">INDEX(Changed!$K:$K,ROW())&amp;IF(Changed!$K425&gt;Base!$K425,"↑",IF(Changed!$K425&lt;Base!$K425," ↓",""))</f>
        <v>100</v>
      </c>
      <c r="L425" s="7" t="str" cm="1">
        <f t="array" ref="L425">INDEX(Changed!$L:$L,ROW())&amp;IF(Changed!$L425&gt;Base!$L425,"↑",IF(Changed!$L425&lt;Base!$L425," ↓",""))</f>
        <v>100</v>
      </c>
      <c r="M425" s="7" t="str" cm="1">
        <f t="array" ref="M425">INDEX(Changed!$M:$M,ROW())&amp;IF(Changed!$M425&gt;Base!$M425,"↑",IF(Changed!$M425&lt;Base!$M425," ↓",""))</f>
        <v>100</v>
      </c>
      <c r="N425" s="19">
        <f>Changed!G425-Base!G425</f>
        <v>0</v>
      </c>
    </row>
    <row r="426" spans="1:14" ht="15.75" customHeight="1" x14ac:dyDescent="0.2">
      <c r="A426" s="4">
        <v>425</v>
      </c>
      <c r="B426" s="5" t="s">
        <v>421</v>
      </c>
      <c r="C426" s="6" t="str">
        <f>IF(Changed!C426&lt;&gt;"", Changed!C426, "")</f>
        <v>Psychic</v>
      </c>
      <c r="D426" s="6" t="str">
        <f>IF(Changed!D426&lt;&gt;"", Changed!D426, "")</f>
        <v/>
      </c>
      <c r="E426" s="6" t="str">
        <f>IF(Changed!E426&lt;&gt;"", Changed!E426, "")</f>
        <v>Protean</v>
      </c>
      <c r="F426" s="6" t="str">
        <f>IF(Changed!F426&lt;&gt;"", Changed!F426, "")</f>
        <v/>
      </c>
      <c r="G426" s="7" t="str" cm="1">
        <f t="array" ref="G426">INDEX(Changed!$G:$G,ROW())&amp;IF(Changed!$G426&gt;Base!$G426,"↑",IF(Changed!$G426&lt;Base!$G426," ↓",""))</f>
        <v>600</v>
      </c>
      <c r="H426" s="7" t="str" cm="1">
        <f t="array" ref="H426">INDEX(Changed!$H:$H,ROW())&amp;IF(Changed!$H426&gt;Base!$H426,"↑",IF(Changed!$H426&lt;Base!$H426," ↓",""))</f>
        <v>50</v>
      </c>
      <c r="I426" s="7" t="str" cm="1">
        <f t="array" ref="I426">INDEX(Changed!$I:$I,ROW())&amp;IF(Changed!$I426&gt;Base!$I426,"↑",IF(Changed!$I426&lt;Base!$I426," ↓",""))</f>
        <v>150</v>
      </c>
      <c r="J426" s="7" t="str" cm="1">
        <f t="array" ref="J426">INDEX(Changed!$J:$J,ROW())&amp;IF(Changed!$J426&gt;Base!$J426,"↑",IF(Changed!$J426&lt;Base!$J426," ↓",""))</f>
        <v>50</v>
      </c>
      <c r="K426" s="7" t="str" cm="1">
        <f t="array" ref="K426">INDEX(Changed!$K:$K,ROW())&amp;IF(Changed!$K426&gt;Base!$K426,"↑",IF(Changed!$K426&lt;Base!$K426," ↓",""))</f>
        <v>150</v>
      </c>
      <c r="L426" s="7" t="str" cm="1">
        <f t="array" ref="L426">INDEX(Changed!$L:$L,ROW())&amp;IF(Changed!$L426&gt;Base!$L426,"↑",IF(Changed!$L426&lt;Base!$L426," ↓",""))</f>
        <v>50</v>
      </c>
      <c r="M426" s="7" t="str" cm="1">
        <f t="array" ref="M426">INDEX(Changed!$M:$M,ROW())&amp;IF(Changed!$M426&gt;Base!$M426,"↑",IF(Changed!$M426&lt;Base!$M426," ↓",""))</f>
        <v>150</v>
      </c>
      <c r="N426" s="19">
        <f>Changed!G426-Base!G426</f>
        <v>0</v>
      </c>
    </row>
    <row r="427" spans="1:14" ht="15.75" customHeight="1" x14ac:dyDescent="0.2">
      <c r="A427" s="4">
        <v>426</v>
      </c>
      <c r="B427" s="5" t="s">
        <v>422</v>
      </c>
      <c r="C427" s="6" t="str">
        <f>IF(Changed!C427&lt;&gt;"", Changed!C427, "")</f>
        <v>Grass</v>
      </c>
      <c r="D427" s="6" t="str">
        <f>IF(Changed!D427&lt;&gt;"", Changed!D427, "")</f>
        <v/>
      </c>
      <c r="E427" s="6" t="str">
        <f>IF(Changed!E427&lt;&gt;"", Changed!E427, "")</f>
        <v>Overgrow</v>
      </c>
      <c r="F427" s="6" t="str">
        <f>IF(Changed!F427&lt;&gt;"", Changed!F427, "")</f>
        <v>Skill Link</v>
      </c>
      <c r="G427" s="7" t="str" cm="1">
        <f t="array" ref="G427">INDEX(Changed!$G:$G,ROW())&amp;IF(Changed!$G427&gt;Base!$G427,"↑",IF(Changed!$G427&lt;Base!$G427," ↓",""))</f>
        <v>318</v>
      </c>
      <c r="H427" s="7" t="str" cm="1">
        <f t="array" ref="H427">INDEX(Changed!$H:$H,ROW())&amp;IF(Changed!$H427&gt;Base!$H427,"↑",IF(Changed!$H427&lt;Base!$H427," ↓",""))</f>
        <v>55</v>
      </c>
      <c r="I427" s="7" t="str" cm="1">
        <f t="array" ref="I427">INDEX(Changed!$I:$I,ROW())&amp;IF(Changed!$I427&gt;Base!$I427,"↑",IF(Changed!$I427&lt;Base!$I427," ↓",""))</f>
        <v>68</v>
      </c>
      <c r="J427" s="7" t="str" cm="1">
        <f t="array" ref="J427">INDEX(Changed!$J:$J,ROW())&amp;IF(Changed!$J427&gt;Base!$J427,"↑",IF(Changed!$J427&lt;Base!$J427," ↓",""))</f>
        <v>64</v>
      </c>
      <c r="K427" s="7" t="str" cm="1">
        <f t="array" ref="K427">INDEX(Changed!$K:$K,ROW())&amp;IF(Changed!$K427&gt;Base!$K427,"↑",IF(Changed!$K427&lt;Base!$K427," ↓",""))</f>
        <v>45</v>
      </c>
      <c r="L427" s="7" t="str" cm="1">
        <f t="array" ref="L427">INDEX(Changed!$L:$L,ROW())&amp;IF(Changed!$L427&gt;Base!$L427,"↑",IF(Changed!$L427&lt;Base!$L427," ↓",""))</f>
        <v>55</v>
      </c>
      <c r="M427" s="7" t="str" cm="1">
        <f t="array" ref="M427">INDEX(Changed!$M:$M,ROW())&amp;IF(Changed!$M427&gt;Base!$M427,"↑",IF(Changed!$M427&lt;Base!$M427," ↓",""))</f>
        <v>31</v>
      </c>
      <c r="N427" s="19">
        <f>Changed!G427-Base!G427</f>
        <v>0</v>
      </c>
    </row>
    <row r="428" spans="1:14" ht="15.75" customHeight="1" x14ac:dyDescent="0.2">
      <c r="A428" s="4">
        <v>427</v>
      </c>
      <c r="B428" s="5" t="s">
        <v>423</v>
      </c>
      <c r="C428" s="6" t="str">
        <f>IF(Changed!C428&lt;&gt;"", Changed!C428, "")</f>
        <v>Grass</v>
      </c>
      <c r="D428" s="6" t="str">
        <f>IF(Changed!D428&lt;&gt;"", Changed!D428, "")</f>
        <v/>
      </c>
      <c r="E428" s="6" t="str">
        <f>IF(Changed!E428&lt;&gt;"", Changed!E428, "")</f>
        <v>Overgrow</v>
      </c>
      <c r="F428" s="6" t="str">
        <f>IF(Changed!F428&lt;&gt;"", Changed!F428, "")</f>
        <v>Skill Link</v>
      </c>
      <c r="G428" s="7" t="str" cm="1">
        <f t="array" ref="G428">INDEX(Changed!$G:$G,ROW())&amp;IF(Changed!$G428&gt;Base!$G428,"↑",IF(Changed!$G428&lt;Base!$G428," ↓",""))</f>
        <v>405</v>
      </c>
      <c r="H428" s="7" t="str" cm="1">
        <f t="array" ref="H428">INDEX(Changed!$H:$H,ROW())&amp;IF(Changed!$H428&gt;Base!$H428,"↑",IF(Changed!$H428&lt;Base!$H428," ↓",""))</f>
        <v>75</v>
      </c>
      <c r="I428" s="7" t="str" cm="1">
        <f t="array" ref="I428">INDEX(Changed!$I:$I,ROW())&amp;IF(Changed!$I428&gt;Base!$I428,"↑",IF(Changed!$I428&lt;Base!$I428," ↓",""))</f>
        <v>89</v>
      </c>
      <c r="J428" s="7" t="str" cm="1">
        <f t="array" ref="J428">INDEX(Changed!$J:$J,ROW())&amp;IF(Changed!$J428&gt;Base!$J428,"↑",IF(Changed!$J428&lt;Base!$J428," ↓",""))</f>
        <v>85</v>
      </c>
      <c r="K428" s="7" t="str" cm="1">
        <f t="array" ref="K428">INDEX(Changed!$K:$K,ROW())&amp;IF(Changed!$K428&gt;Base!$K428,"↑",IF(Changed!$K428&lt;Base!$K428," ↓",""))</f>
        <v>55</v>
      </c>
      <c r="L428" s="7" t="str" cm="1">
        <f t="array" ref="L428">INDEX(Changed!$L:$L,ROW())&amp;IF(Changed!$L428&gt;Base!$L428,"↑",IF(Changed!$L428&lt;Base!$L428," ↓",""))</f>
        <v>65</v>
      </c>
      <c r="M428" s="7" t="str" cm="1">
        <f t="array" ref="M428">INDEX(Changed!$M:$M,ROW())&amp;IF(Changed!$M428&gt;Base!$M428,"↑",IF(Changed!$M428&lt;Base!$M428," ↓",""))</f>
        <v>36</v>
      </c>
      <c r="N428" s="19">
        <f>Changed!G428-Base!G428</f>
        <v>0</v>
      </c>
    </row>
    <row r="429" spans="1:14" ht="15.75" customHeight="1" x14ac:dyDescent="0.2">
      <c r="A429" s="4">
        <v>428</v>
      </c>
      <c r="B429" s="5" t="s">
        <v>424</v>
      </c>
      <c r="C429" s="6" t="str">
        <f>IF(Changed!C429&lt;&gt;"", Changed!C429, "")</f>
        <v>Grass</v>
      </c>
      <c r="D429" s="6" t="str">
        <f>IF(Changed!D429&lt;&gt;"", Changed!D429, "")</f>
        <v>Ground</v>
      </c>
      <c r="E429" s="6" t="str">
        <f>IF(Changed!E429&lt;&gt;"", Changed!E429, "")</f>
        <v>Overgrow</v>
      </c>
      <c r="F429" s="6" t="str">
        <f>IF(Changed!F429&lt;&gt;"", Changed!F429, "")</f>
        <v>Skill Link</v>
      </c>
      <c r="G429" s="7" t="str" cm="1">
        <f t="array" ref="G429">INDEX(Changed!$G:$G,ROW())&amp;IF(Changed!$G429&gt;Base!$G429,"↑",IF(Changed!$G429&lt;Base!$G429," ↓",""))</f>
        <v>525</v>
      </c>
      <c r="H429" s="7" t="str" cm="1">
        <f t="array" ref="H429">INDEX(Changed!$H:$H,ROW())&amp;IF(Changed!$H429&gt;Base!$H429,"↑",IF(Changed!$H429&lt;Base!$H429," ↓",""))</f>
        <v>95</v>
      </c>
      <c r="I429" s="7" t="str" cm="1">
        <f t="array" ref="I429">INDEX(Changed!$I:$I,ROW())&amp;IF(Changed!$I429&gt;Base!$I429,"↑",IF(Changed!$I429&lt;Base!$I429," ↓",""))</f>
        <v>109</v>
      </c>
      <c r="J429" s="7" t="str" cm="1">
        <f t="array" ref="J429">INDEX(Changed!$J:$J,ROW())&amp;IF(Changed!$J429&gt;Base!$J429,"↑",IF(Changed!$J429&lt;Base!$J429," ↓",""))</f>
        <v>105</v>
      </c>
      <c r="K429" s="7" t="str" cm="1">
        <f t="array" ref="K429">INDEX(Changed!$K:$K,ROW())&amp;IF(Changed!$K429&gt;Base!$K429,"↑",IF(Changed!$K429&lt;Base!$K429," ↓",""))</f>
        <v>75</v>
      </c>
      <c r="L429" s="7" t="str" cm="1">
        <f t="array" ref="L429">INDEX(Changed!$L:$L,ROW())&amp;IF(Changed!$L429&gt;Base!$L429,"↑",IF(Changed!$L429&lt;Base!$L429," ↓",""))</f>
        <v>85</v>
      </c>
      <c r="M429" s="7" t="str" cm="1">
        <f t="array" ref="M429">INDEX(Changed!$M:$M,ROW())&amp;IF(Changed!$M429&gt;Base!$M429,"↑",IF(Changed!$M429&lt;Base!$M429," ↓",""))</f>
        <v>56</v>
      </c>
      <c r="N429" s="19">
        <f>Changed!G429-Base!G429</f>
        <v>0</v>
      </c>
    </row>
    <row r="430" spans="1:14" ht="15.75" customHeight="1" x14ac:dyDescent="0.2">
      <c r="A430" s="4">
        <v>429</v>
      </c>
      <c r="B430" s="5" t="s">
        <v>425</v>
      </c>
      <c r="C430" s="6" t="str">
        <f>IF(Changed!C430&lt;&gt;"", Changed!C430, "")</f>
        <v>Fire</v>
      </c>
      <c r="D430" s="6" t="str">
        <f>IF(Changed!D430&lt;&gt;"", Changed!D430, "")</f>
        <v/>
      </c>
      <c r="E430" s="6" t="str">
        <f>IF(Changed!E430&lt;&gt;"", Changed!E430, "")</f>
        <v>Blaze</v>
      </c>
      <c r="F430" s="6" t="str">
        <f>IF(Changed!F430&lt;&gt;"", Changed!F430, "")</f>
        <v/>
      </c>
      <c r="G430" s="7" t="str" cm="1">
        <f t="array" ref="G430">INDEX(Changed!$G:$G,ROW())&amp;IF(Changed!$G430&gt;Base!$G430,"↑",IF(Changed!$G430&lt;Base!$G430," ↓",""))</f>
        <v>309</v>
      </c>
      <c r="H430" s="7" t="str" cm="1">
        <f t="array" ref="H430">INDEX(Changed!$H:$H,ROW())&amp;IF(Changed!$H430&gt;Base!$H430,"↑",IF(Changed!$H430&lt;Base!$H430," ↓",""))</f>
        <v>44</v>
      </c>
      <c r="I430" s="7" t="str" cm="1">
        <f t="array" ref="I430">INDEX(Changed!$I:$I,ROW())&amp;IF(Changed!$I430&gt;Base!$I430,"↑",IF(Changed!$I430&lt;Base!$I430," ↓",""))</f>
        <v>58</v>
      </c>
      <c r="J430" s="7" t="str" cm="1">
        <f t="array" ref="J430">INDEX(Changed!$J:$J,ROW())&amp;IF(Changed!$J430&gt;Base!$J430,"↑",IF(Changed!$J430&lt;Base!$J430," ↓",""))</f>
        <v>44</v>
      </c>
      <c r="K430" s="7" t="str" cm="1">
        <f t="array" ref="K430">INDEX(Changed!$K:$K,ROW())&amp;IF(Changed!$K430&gt;Base!$K430,"↑",IF(Changed!$K430&lt;Base!$K430," ↓",""))</f>
        <v>58</v>
      </c>
      <c r="L430" s="7" t="str" cm="1">
        <f t="array" ref="L430">INDEX(Changed!$L:$L,ROW())&amp;IF(Changed!$L430&gt;Base!$L430,"↑",IF(Changed!$L430&lt;Base!$L430," ↓",""))</f>
        <v>44</v>
      </c>
      <c r="M430" s="7" t="str" cm="1">
        <f t="array" ref="M430">INDEX(Changed!$M:$M,ROW())&amp;IF(Changed!$M430&gt;Base!$M430,"↑",IF(Changed!$M430&lt;Base!$M430," ↓",""))</f>
        <v>61</v>
      </c>
      <c r="N430" s="19">
        <f>Changed!G430-Base!G430</f>
        <v>0</v>
      </c>
    </row>
    <row r="431" spans="1:14" ht="15.75" customHeight="1" x14ac:dyDescent="0.2">
      <c r="A431" s="4">
        <v>430</v>
      </c>
      <c r="B431" s="5" t="s">
        <v>426</v>
      </c>
      <c r="C431" s="6" t="str">
        <f>IF(Changed!C431&lt;&gt;"", Changed!C431, "")</f>
        <v>Fire</v>
      </c>
      <c r="D431" s="6" t="str">
        <f>IF(Changed!D431&lt;&gt;"", Changed!D431, "")</f>
        <v>Fighting</v>
      </c>
      <c r="E431" s="6" t="str">
        <f>IF(Changed!E431&lt;&gt;"", Changed!E431, "")</f>
        <v>Blaze</v>
      </c>
      <c r="F431" s="6" t="str">
        <f>IF(Changed!F431&lt;&gt;"", Changed!F431, "")</f>
        <v/>
      </c>
      <c r="G431" s="7" t="str" cm="1">
        <f t="array" ref="G431">INDEX(Changed!$G:$G,ROW())&amp;IF(Changed!$G431&gt;Base!$G431,"↑",IF(Changed!$G431&lt;Base!$G431," ↓",""))</f>
        <v>405</v>
      </c>
      <c r="H431" s="7" t="str" cm="1">
        <f t="array" ref="H431">INDEX(Changed!$H:$H,ROW())&amp;IF(Changed!$H431&gt;Base!$H431,"↑",IF(Changed!$H431&lt;Base!$H431," ↓",""))</f>
        <v>64</v>
      </c>
      <c r="I431" s="7" t="str" cm="1">
        <f t="array" ref="I431">INDEX(Changed!$I:$I,ROW())&amp;IF(Changed!$I431&gt;Base!$I431,"↑",IF(Changed!$I431&lt;Base!$I431," ↓",""))</f>
        <v>78</v>
      </c>
      <c r="J431" s="7" t="str" cm="1">
        <f t="array" ref="J431">INDEX(Changed!$J:$J,ROW())&amp;IF(Changed!$J431&gt;Base!$J431,"↑",IF(Changed!$J431&lt;Base!$J431," ↓",""))</f>
        <v>52</v>
      </c>
      <c r="K431" s="7" t="str" cm="1">
        <f t="array" ref="K431">INDEX(Changed!$K:$K,ROW())&amp;IF(Changed!$K431&gt;Base!$K431,"↑",IF(Changed!$K431&lt;Base!$K431," ↓",""))</f>
        <v>78</v>
      </c>
      <c r="L431" s="7" t="str" cm="1">
        <f t="array" ref="L431">INDEX(Changed!$L:$L,ROW())&amp;IF(Changed!$L431&gt;Base!$L431,"↑",IF(Changed!$L431&lt;Base!$L431," ↓",""))</f>
        <v>52</v>
      </c>
      <c r="M431" s="7" t="str" cm="1">
        <f t="array" ref="M431">INDEX(Changed!$M:$M,ROW())&amp;IF(Changed!$M431&gt;Base!$M431,"↑",IF(Changed!$M431&lt;Base!$M431," ↓",""))</f>
        <v>81</v>
      </c>
      <c r="N431" s="19">
        <f>Changed!G431-Base!G431</f>
        <v>0</v>
      </c>
    </row>
    <row r="432" spans="1:14" ht="15.75" customHeight="1" x14ac:dyDescent="0.2">
      <c r="A432" s="4">
        <v>431</v>
      </c>
      <c r="B432" s="5" t="s">
        <v>427</v>
      </c>
      <c r="C432" s="6" t="str">
        <f>IF(Changed!C432&lt;&gt;"", Changed!C432, "")</f>
        <v>Fire</v>
      </c>
      <c r="D432" s="6" t="str">
        <f>IF(Changed!D432&lt;&gt;"", Changed!D432, "")</f>
        <v>Fighting</v>
      </c>
      <c r="E432" s="6" t="str">
        <f>IF(Changed!E432&lt;&gt;"", Changed!E432, "")</f>
        <v>Blaze</v>
      </c>
      <c r="F432" s="6" t="str">
        <f>IF(Changed!F432&lt;&gt;"", Changed!F432, "")</f>
        <v/>
      </c>
      <c r="G432" s="7" t="str" cm="1">
        <f t="array" ref="G432">INDEX(Changed!$G:$G,ROW())&amp;IF(Changed!$G432&gt;Base!$G432,"↑",IF(Changed!$G432&lt;Base!$G432," ↓",""))</f>
        <v>534</v>
      </c>
      <c r="H432" s="7" t="str" cm="1">
        <f t="array" ref="H432">INDEX(Changed!$H:$H,ROW())&amp;IF(Changed!$H432&gt;Base!$H432,"↑",IF(Changed!$H432&lt;Base!$H432," ↓",""))</f>
        <v>76</v>
      </c>
      <c r="I432" s="7" t="str" cm="1">
        <f t="array" ref="I432">INDEX(Changed!$I:$I,ROW())&amp;IF(Changed!$I432&gt;Base!$I432,"↑",IF(Changed!$I432&lt;Base!$I432," ↓",""))</f>
        <v>104</v>
      </c>
      <c r="J432" s="7" t="str" cm="1">
        <f t="array" ref="J432">INDEX(Changed!$J:$J,ROW())&amp;IF(Changed!$J432&gt;Base!$J432,"↑",IF(Changed!$J432&lt;Base!$J432," ↓",""))</f>
        <v>71</v>
      </c>
      <c r="K432" s="7" t="str" cm="1">
        <f t="array" ref="K432">INDEX(Changed!$K:$K,ROW())&amp;IF(Changed!$K432&gt;Base!$K432,"↑",IF(Changed!$K432&lt;Base!$K432," ↓",""))</f>
        <v>104</v>
      </c>
      <c r="L432" s="7" t="str" cm="1">
        <f t="array" ref="L432">INDEX(Changed!$L:$L,ROW())&amp;IF(Changed!$L432&gt;Base!$L432,"↑",IF(Changed!$L432&lt;Base!$L432," ↓",""))</f>
        <v>71</v>
      </c>
      <c r="M432" s="7" t="str" cm="1">
        <f t="array" ref="M432">INDEX(Changed!$M:$M,ROW())&amp;IF(Changed!$M432&gt;Base!$M432,"↑",IF(Changed!$M432&lt;Base!$M432," ↓",""))</f>
        <v>108</v>
      </c>
      <c r="N432" s="19">
        <f>Changed!G432-Base!G432</f>
        <v>0</v>
      </c>
    </row>
    <row r="433" spans="1:14" ht="15.75" customHeight="1" x14ac:dyDescent="0.2">
      <c r="A433" s="4">
        <v>432</v>
      </c>
      <c r="B433" s="5" t="s">
        <v>428</v>
      </c>
      <c r="C433" s="6" t="str">
        <f>IF(Changed!C433&lt;&gt;"", Changed!C433, "")</f>
        <v>Water</v>
      </c>
      <c r="D433" s="6" t="str">
        <f>IF(Changed!D433&lt;&gt;"", Changed!D433, "")</f>
        <v/>
      </c>
      <c r="E433" s="6" t="str">
        <f>IF(Changed!E433&lt;&gt;"", Changed!E433, "")</f>
        <v>Torrent</v>
      </c>
      <c r="F433" s="6" t="str">
        <f>IF(Changed!F433&lt;&gt;"", Changed!F433, "")</f>
        <v/>
      </c>
      <c r="G433" s="7" t="str" cm="1">
        <f t="array" ref="G433">INDEX(Changed!$G:$G,ROW())&amp;IF(Changed!$G433&gt;Base!$G433,"↑",IF(Changed!$G433&lt;Base!$G433," ↓",""))</f>
        <v>314</v>
      </c>
      <c r="H433" s="7" t="str" cm="1">
        <f t="array" ref="H433">INDEX(Changed!$H:$H,ROW())&amp;IF(Changed!$H433&gt;Base!$H433,"↑",IF(Changed!$H433&lt;Base!$H433," ↓",""))</f>
        <v>53</v>
      </c>
      <c r="I433" s="7" t="str" cm="1">
        <f t="array" ref="I433">INDEX(Changed!$I:$I,ROW())&amp;IF(Changed!$I433&gt;Base!$I433,"↑",IF(Changed!$I433&lt;Base!$I433," ↓",""))</f>
        <v>51</v>
      </c>
      <c r="J433" s="7" t="str" cm="1">
        <f t="array" ref="J433">INDEX(Changed!$J:$J,ROW())&amp;IF(Changed!$J433&gt;Base!$J433,"↑",IF(Changed!$J433&lt;Base!$J433," ↓",""))</f>
        <v>53</v>
      </c>
      <c r="K433" s="7" t="str" cm="1">
        <f t="array" ref="K433">INDEX(Changed!$K:$K,ROW())&amp;IF(Changed!$K433&gt;Base!$K433,"↑",IF(Changed!$K433&lt;Base!$K433," ↓",""))</f>
        <v>61</v>
      </c>
      <c r="L433" s="7" t="str" cm="1">
        <f t="array" ref="L433">INDEX(Changed!$L:$L,ROW())&amp;IF(Changed!$L433&gt;Base!$L433,"↑",IF(Changed!$L433&lt;Base!$L433," ↓",""))</f>
        <v>56</v>
      </c>
      <c r="M433" s="7" t="str" cm="1">
        <f t="array" ref="M433">INDEX(Changed!$M:$M,ROW())&amp;IF(Changed!$M433&gt;Base!$M433,"↑",IF(Changed!$M433&lt;Base!$M433," ↓",""))</f>
        <v>40</v>
      </c>
      <c r="N433" s="19">
        <f>Changed!G433-Base!G433</f>
        <v>0</v>
      </c>
    </row>
    <row r="434" spans="1:14" ht="15.75" customHeight="1" x14ac:dyDescent="0.2">
      <c r="A434" s="4">
        <v>433</v>
      </c>
      <c r="B434" s="5" t="s">
        <v>429</v>
      </c>
      <c r="C434" s="6" t="str">
        <f>IF(Changed!C434&lt;&gt;"", Changed!C434, "")</f>
        <v>Water</v>
      </c>
      <c r="D434" s="6" t="str">
        <f>IF(Changed!D434&lt;&gt;"", Changed!D434, "")</f>
        <v/>
      </c>
      <c r="E434" s="6" t="str">
        <f>IF(Changed!E434&lt;&gt;"", Changed!E434, "")</f>
        <v>Torrent</v>
      </c>
      <c r="F434" s="6" t="str">
        <f>IF(Changed!F434&lt;&gt;"", Changed!F434, "")</f>
        <v/>
      </c>
      <c r="G434" s="7" t="str" cm="1">
        <f t="array" ref="G434">INDEX(Changed!$G:$G,ROW())&amp;IF(Changed!$G434&gt;Base!$G434,"↑",IF(Changed!$G434&lt;Base!$G434," ↓",""))</f>
        <v>405</v>
      </c>
      <c r="H434" s="7" t="str" cm="1">
        <f t="array" ref="H434">INDEX(Changed!$H:$H,ROW())&amp;IF(Changed!$H434&gt;Base!$H434,"↑",IF(Changed!$H434&lt;Base!$H434," ↓",""))</f>
        <v>64</v>
      </c>
      <c r="I434" s="7" t="str" cm="1">
        <f t="array" ref="I434">INDEX(Changed!$I:$I,ROW())&amp;IF(Changed!$I434&gt;Base!$I434,"↑",IF(Changed!$I434&lt;Base!$I434," ↓",""))</f>
        <v>66</v>
      </c>
      <c r="J434" s="7" t="str" cm="1">
        <f t="array" ref="J434">INDEX(Changed!$J:$J,ROW())&amp;IF(Changed!$J434&gt;Base!$J434,"↑",IF(Changed!$J434&lt;Base!$J434," ↓",""))</f>
        <v>68</v>
      </c>
      <c r="K434" s="7" t="str" cm="1">
        <f t="array" ref="K434">INDEX(Changed!$K:$K,ROW())&amp;IF(Changed!$K434&gt;Base!$K434,"↑",IF(Changed!$K434&lt;Base!$K434," ↓",""))</f>
        <v>81</v>
      </c>
      <c r="L434" s="7" t="str" cm="1">
        <f t="array" ref="L434">INDEX(Changed!$L:$L,ROW())&amp;IF(Changed!$L434&gt;Base!$L434,"↑",IF(Changed!$L434&lt;Base!$L434," ↓",""))</f>
        <v>76</v>
      </c>
      <c r="M434" s="7" t="str" cm="1">
        <f t="array" ref="M434">INDEX(Changed!$M:$M,ROW())&amp;IF(Changed!$M434&gt;Base!$M434,"↑",IF(Changed!$M434&lt;Base!$M434," ↓",""))</f>
        <v>50</v>
      </c>
      <c r="N434" s="19">
        <f>Changed!G434-Base!G434</f>
        <v>0</v>
      </c>
    </row>
    <row r="435" spans="1:14" ht="15.75" customHeight="1" x14ac:dyDescent="0.2">
      <c r="A435" s="4">
        <v>434</v>
      </c>
      <c r="B435" s="5" t="s">
        <v>430</v>
      </c>
      <c r="C435" s="6" t="str">
        <f>IF(Changed!C435&lt;&gt;"", Changed!C435, "")</f>
        <v>Water</v>
      </c>
      <c r="D435" s="6" t="str">
        <f>IF(Changed!D435&lt;&gt;"", Changed!D435, "")</f>
        <v>Steel</v>
      </c>
      <c r="E435" s="6" t="str">
        <f>IF(Changed!E435&lt;&gt;"", Changed!E435, "")</f>
        <v>Torrent</v>
      </c>
      <c r="F435" s="6" t="str">
        <f>IF(Changed!F435&lt;&gt;"", Changed!F435, "")</f>
        <v/>
      </c>
      <c r="G435" s="7" t="str" cm="1">
        <f t="array" ref="G435">INDEX(Changed!$G:$G,ROW())&amp;IF(Changed!$G435&gt;Base!$G435,"↑",IF(Changed!$G435&lt;Base!$G435," ↓",""))</f>
        <v>530</v>
      </c>
      <c r="H435" s="7" t="str" cm="1">
        <f t="array" ref="H435">INDEX(Changed!$H:$H,ROW())&amp;IF(Changed!$H435&gt;Base!$H435,"↑",IF(Changed!$H435&lt;Base!$H435," ↓",""))</f>
        <v>84</v>
      </c>
      <c r="I435" s="7" t="str" cm="1">
        <f t="array" ref="I435">INDEX(Changed!$I:$I,ROW())&amp;IF(Changed!$I435&gt;Base!$I435,"↑",IF(Changed!$I435&lt;Base!$I435," ↓",""))</f>
        <v>86</v>
      </c>
      <c r="J435" s="7" t="str" cm="1">
        <f t="array" ref="J435">INDEX(Changed!$J:$J,ROW())&amp;IF(Changed!$J435&gt;Base!$J435,"↑",IF(Changed!$J435&lt;Base!$J435," ↓",""))</f>
        <v>88</v>
      </c>
      <c r="K435" s="7" t="str" cm="1">
        <f t="array" ref="K435">INDEX(Changed!$K:$K,ROW())&amp;IF(Changed!$K435&gt;Base!$K435,"↑",IF(Changed!$K435&lt;Base!$K435," ↓",""))</f>
        <v>111</v>
      </c>
      <c r="L435" s="7" t="str" cm="1">
        <f t="array" ref="L435">INDEX(Changed!$L:$L,ROW())&amp;IF(Changed!$L435&gt;Base!$L435,"↑",IF(Changed!$L435&lt;Base!$L435," ↓",""))</f>
        <v>101</v>
      </c>
      <c r="M435" s="7" t="str" cm="1">
        <f t="array" ref="M435">INDEX(Changed!$M:$M,ROW())&amp;IF(Changed!$M435&gt;Base!$M435,"↑",IF(Changed!$M435&lt;Base!$M435," ↓",""))</f>
        <v>60</v>
      </c>
      <c r="N435" s="19">
        <f>Changed!G435-Base!G435</f>
        <v>0</v>
      </c>
    </row>
    <row r="436" spans="1:14" ht="15.75" customHeight="1" x14ac:dyDescent="0.2">
      <c r="A436" s="4">
        <v>435</v>
      </c>
      <c r="B436" s="5" t="s">
        <v>431</v>
      </c>
      <c r="C436" s="6" t="str">
        <f>IF(Changed!C436&lt;&gt;"", Changed!C436, "")</f>
        <v>Normal</v>
      </c>
      <c r="D436" s="6" t="str">
        <f>IF(Changed!D436&lt;&gt;"", Changed!D436, "")</f>
        <v>Flying</v>
      </c>
      <c r="E436" s="6" t="str">
        <f>IF(Changed!E436&lt;&gt;"", Changed!E436, "")</f>
        <v>Keen Eye</v>
      </c>
      <c r="F436" s="6" t="str">
        <f>IF(Changed!F436&lt;&gt;"", Changed!F436, "")</f>
        <v>Reckless</v>
      </c>
      <c r="G436" s="7" t="str" cm="1">
        <f t="array" ref="G436">INDEX(Changed!$G:$G,ROW())&amp;IF(Changed!$G436&gt;Base!$G436,"↑",IF(Changed!$G436&lt;Base!$G436," ↓",""))</f>
        <v>245</v>
      </c>
      <c r="H436" s="7" t="str" cm="1">
        <f t="array" ref="H436">INDEX(Changed!$H:$H,ROW())&amp;IF(Changed!$H436&gt;Base!$H436,"↑",IF(Changed!$H436&lt;Base!$H436," ↓",""))</f>
        <v>40</v>
      </c>
      <c r="I436" s="7" t="str" cm="1">
        <f t="array" ref="I436">INDEX(Changed!$I:$I,ROW())&amp;IF(Changed!$I436&gt;Base!$I436,"↑",IF(Changed!$I436&lt;Base!$I436," ↓",""))</f>
        <v>55</v>
      </c>
      <c r="J436" s="7" t="str" cm="1">
        <f t="array" ref="J436">INDEX(Changed!$J:$J,ROW())&amp;IF(Changed!$J436&gt;Base!$J436,"↑",IF(Changed!$J436&lt;Base!$J436," ↓",""))</f>
        <v>30</v>
      </c>
      <c r="K436" s="7" t="str" cm="1">
        <f t="array" ref="K436">INDEX(Changed!$K:$K,ROW())&amp;IF(Changed!$K436&gt;Base!$K436,"↑",IF(Changed!$K436&lt;Base!$K436," ↓",""))</f>
        <v>30</v>
      </c>
      <c r="L436" s="7" t="str" cm="1">
        <f t="array" ref="L436">INDEX(Changed!$L:$L,ROW())&amp;IF(Changed!$L436&gt;Base!$L436,"↑",IF(Changed!$L436&lt;Base!$L436," ↓",""))</f>
        <v>30</v>
      </c>
      <c r="M436" s="7" t="str" cm="1">
        <f t="array" ref="M436">INDEX(Changed!$M:$M,ROW())&amp;IF(Changed!$M436&gt;Base!$M436,"↑",IF(Changed!$M436&lt;Base!$M436," ↓",""))</f>
        <v>60</v>
      </c>
      <c r="N436" s="19">
        <f>Changed!G436-Base!G436</f>
        <v>0</v>
      </c>
    </row>
    <row r="437" spans="1:14" ht="15.75" customHeight="1" x14ac:dyDescent="0.2">
      <c r="A437" s="4">
        <v>436</v>
      </c>
      <c r="B437" s="5" t="s">
        <v>432</v>
      </c>
      <c r="C437" s="6" t="str">
        <f>IF(Changed!C437&lt;&gt;"", Changed!C437, "")</f>
        <v>Fighting</v>
      </c>
      <c r="D437" s="6" t="str">
        <f>IF(Changed!D437&lt;&gt;"", Changed!D437, "")</f>
        <v>Flying</v>
      </c>
      <c r="E437" s="6" t="str">
        <f>IF(Changed!E437&lt;&gt;"", Changed!E437, "")</f>
        <v xml:space="preserve">Intimidate </v>
      </c>
      <c r="F437" s="6" t="str">
        <f>IF(Changed!F437&lt;&gt;"", Changed!F437, "")</f>
        <v>Reckless</v>
      </c>
      <c r="G437" s="7" t="str" cm="1">
        <f t="array" ref="G437">INDEX(Changed!$G:$G,ROW())&amp;IF(Changed!$G437&gt;Base!$G437,"↑",IF(Changed!$G437&lt;Base!$G437," ↓",""))</f>
        <v>340</v>
      </c>
      <c r="H437" s="7" t="str" cm="1">
        <f t="array" ref="H437">INDEX(Changed!$H:$H,ROW())&amp;IF(Changed!$H437&gt;Base!$H437,"↑",IF(Changed!$H437&lt;Base!$H437," ↓",""))</f>
        <v>55</v>
      </c>
      <c r="I437" s="7" t="str" cm="1">
        <f t="array" ref="I437">INDEX(Changed!$I:$I,ROW())&amp;IF(Changed!$I437&gt;Base!$I437,"↑",IF(Changed!$I437&lt;Base!$I437," ↓",""))</f>
        <v>75</v>
      </c>
      <c r="J437" s="7" t="str" cm="1">
        <f t="array" ref="J437">INDEX(Changed!$J:$J,ROW())&amp;IF(Changed!$J437&gt;Base!$J437,"↑",IF(Changed!$J437&lt;Base!$J437," ↓",""))</f>
        <v>50</v>
      </c>
      <c r="K437" s="7" t="str" cm="1">
        <f t="array" ref="K437">INDEX(Changed!$K:$K,ROW())&amp;IF(Changed!$K437&gt;Base!$K437,"↑",IF(Changed!$K437&lt;Base!$K437," ↓",""))</f>
        <v>40</v>
      </c>
      <c r="L437" s="7" t="str" cm="1">
        <f t="array" ref="L437">INDEX(Changed!$L:$L,ROW())&amp;IF(Changed!$L437&gt;Base!$L437,"↑",IF(Changed!$L437&lt;Base!$L437," ↓",""))</f>
        <v>40</v>
      </c>
      <c r="M437" s="7" t="str" cm="1">
        <f t="array" ref="M437">INDEX(Changed!$M:$M,ROW())&amp;IF(Changed!$M437&gt;Base!$M437,"↑",IF(Changed!$M437&lt;Base!$M437," ↓",""))</f>
        <v>80</v>
      </c>
      <c r="N437" s="19">
        <f>Changed!G437-Base!G437</f>
        <v>0</v>
      </c>
    </row>
    <row r="438" spans="1:14" ht="15.75" customHeight="1" x14ac:dyDescent="0.2">
      <c r="A438" s="4">
        <v>437</v>
      </c>
      <c r="B438" s="5" t="s">
        <v>433</v>
      </c>
      <c r="C438" s="6" t="str">
        <f>IF(Changed!C438&lt;&gt;"", Changed!C438, "")</f>
        <v>Fighting</v>
      </c>
      <c r="D438" s="6" t="str">
        <f>IF(Changed!D438&lt;&gt;"", Changed!D438, "")</f>
        <v>Flying</v>
      </c>
      <c r="E438" s="6" t="str">
        <f>IF(Changed!E438&lt;&gt;"", Changed!E438, "")</f>
        <v xml:space="preserve">Intimidate </v>
      </c>
      <c r="F438" s="6" t="str">
        <f>IF(Changed!F438&lt;&gt;"", Changed!F438, "")</f>
        <v>Reckless</v>
      </c>
      <c r="G438" s="7" t="str" cm="1">
        <f t="array" ref="G438">INDEX(Changed!$G:$G,ROW())&amp;IF(Changed!$G438&gt;Base!$G438,"↑",IF(Changed!$G438&lt;Base!$G438," ↓",""))</f>
        <v>475</v>
      </c>
      <c r="H438" s="7" t="str" cm="1">
        <f t="array" ref="H438">INDEX(Changed!$H:$H,ROW())&amp;IF(Changed!$H438&gt;Base!$H438,"↑",IF(Changed!$H438&lt;Base!$H438," ↓",""))</f>
        <v>85</v>
      </c>
      <c r="I438" s="7" t="str" cm="1">
        <f t="array" ref="I438">INDEX(Changed!$I:$I,ROW())&amp;IF(Changed!$I438&gt;Base!$I438,"↑",IF(Changed!$I438&lt;Base!$I438," ↓",""))</f>
        <v>120</v>
      </c>
      <c r="J438" s="7" t="str" cm="1">
        <f t="array" ref="J438">INDEX(Changed!$J:$J,ROW())&amp;IF(Changed!$J438&gt;Base!$J438,"↑",IF(Changed!$J438&lt;Base!$J438," ↓",""))</f>
        <v>70</v>
      </c>
      <c r="K438" s="7" t="str" cm="1">
        <f t="array" ref="K438">INDEX(Changed!$K:$K,ROW())&amp;IF(Changed!$K438&gt;Base!$K438,"↑",IF(Changed!$K438&lt;Base!$K438," ↓",""))</f>
        <v>50</v>
      </c>
      <c r="L438" s="7" t="str" cm="1">
        <f t="array" ref="L438">INDEX(Changed!$L:$L,ROW())&amp;IF(Changed!$L438&gt;Base!$L438,"↑",IF(Changed!$L438&lt;Base!$L438," ↓",""))</f>
        <v>50</v>
      </c>
      <c r="M438" s="7" t="str" cm="1">
        <f t="array" ref="M438">INDEX(Changed!$M:$M,ROW())&amp;IF(Changed!$M438&gt;Base!$M438,"↑",IF(Changed!$M438&lt;Base!$M438," ↓",""))</f>
        <v>100</v>
      </c>
      <c r="N438" s="19">
        <f>Changed!G438-Base!G438</f>
        <v>0</v>
      </c>
    </row>
    <row r="439" spans="1:14" ht="15.75" customHeight="1" x14ac:dyDescent="0.2">
      <c r="A439" s="4">
        <v>438</v>
      </c>
      <c r="B439" s="5" t="s">
        <v>434</v>
      </c>
      <c r="C439" s="6" t="str">
        <f>IF(Changed!C439&lt;&gt;"", Changed!C439, "")</f>
        <v>Normal</v>
      </c>
      <c r="D439" s="6" t="str">
        <f>IF(Changed!D439&lt;&gt;"", Changed!D439, "")</f>
        <v/>
      </c>
      <c r="E439" s="6" t="str">
        <f>IF(Changed!E439&lt;&gt;"", Changed!E439, "")</f>
        <v>Simple</v>
      </c>
      <c r="F439" s="6" t="str">
        <f>IF(Changed!F439&lt;&gt;"", Changed!F439, "")</f>
        <v>Unaware</v>
      </c>
      <c r="G439" s="7" t="str" cm="1">
        <f t="array" ref="G439">INDEX(Changed!$G:$G,ROW())&amp;IF(Changed!$G439&gt;Base!$G439,"↑",IF(Changed!$G439&lt;Base!$G439," ↓",""))</f>
        <v>250</v>
      </c>
      <c r="H439" s="7" t="str" cm="1">
        <f t="array" ref="H439">INDEX(Changed!$H:$H,ROW())&amp;IF(Changed!$H439&gt;Base!$H439,"↑",IF(Changed!$H439&lt;Base!$H439," ↓",""))</f>
        <v>59</v>
      </c>
      <c r="I439" s="7" t="str" cm="1">
        <f t="array" ref="I439">INDEX(Changed!$I:$I,ROW())&amp;IF(Changed!$I439&gt;Base!$I439,"↑",IF(Changed!$I439&lt;Base!$I439," ↓",""))</f>
        <v>45</v>
      </c>
      <c r="J439" s="7" t="str" cm="1">
        <f t="array" ref="J439">INDEX(Changed!$J:$J,ROW())&amp;IF(Changed!$J439&gt;Base!$J439,"↑",IF(Changed!$J439&lt;Base!$J439," ↓",""))</f>
        <v>40</v>
      </c>
      <c r="K439" s="7" t="str" cm="1">
        <f t="array" ref="K439">INDEX(Changed!$K:$K,ROW())&amp;IF(Changed!$K439&gt;Base!$K439,"↑",IF(Changed!$K439&lt;Base!$K439," ↓",""))</f>
        <v>35</v>
      </c>
      <c r="L439" s="7" t="str" cm="1">
        <f t="array" ref="L439">INDEX(Changed!$L:$L,ROW())&amp;IF(Changed!$L439&gt;Base!$L439,"↑",IF(Changed!$L439&lt;Base!$L439," ↓",""))</f>
        <v>40</v>
      </c>
      <c r="M439" s="7" t="str" cm="1">
        <f t="array" ref="M439">INDEX(Changed!$M:$M,ROW())&amp;IF(Changed!$M439&gt;Base!$M439,"↑",IF(Changed!$M439&lt;Base!$M439," ↓",""))</f>
        <v>31</v>
      </c>
      <c r="N439" s="19">
        <f>Changed!G439-Base!G439</f>
        <v>0</v>
      </c>
    </row>
    <row r="440" spans="1:14" ht="15.75" customHeight="1" x14ac:dyDescent="0.2">
      <c r="A440" s="4">
        <v>439</v>
      </c>
      <c r="B440" s="5" t="s">
        <v>435</v>
      </c>
      <c r="C440" s="6" t="str">
        <f>IF(Changed!C440&lt;&gt;"", Changed!C440, "")</f>
        <v>Normal</v>
      </c>
      <c r="D440" s="6" t="str">
        <f>IF(Changed!D440&lt;&gt;"", Changed!D440, "")</f>
        <v>Water</v>
      </c>
      <c r="E440" s="6" t="str">
        <f>IF(Changed!E440&lt;&gt;"", Changed!E440, "")</f>
        <v>Simple</v>
      </c>
      <c r="F440" s="6" t="str">
        <f>IF(Changed!F440&lt;&gt;"", Changed!F440, "")</f>
        <v>Unaware</v>
      </c>
      <c r="G440" s="7" t="str" cm="1">
        <f t="array" ref="G440">INDEX(Changed!$G:$G,ROW())&amp;IF(Changed!$G440&gt;Base!$G440,"↑",IF(Changed!$G440&lt;Base!$G440," ↓",""))</f>
        <v>410</v>
      </c>
      <c r="H440" s="7" t="str" cm="1">
        <f t="array" ref="H440">INDEX(Changed!$H:$H,ROW())&amp;IF(Changed!$H440&gt;Base!$H440,"↑",IF(Changed!$H440&lt;Base!$H440," ↓",""))</f>
        <v>79</v>
      </c>
      <c r="I440" s="7" t="str" cm="1">
        <f t="array" ref="I440">INDEX(Changed!$I:$I,ROW())&amp;IF(Changed!$I440&gt;Base!$I440,"↑",IF(Changed!$I440&lt;Base!$I440," ↓",""))</f>
        <v>85</v>
      </c>
      <c r="J440" s="7" t="str" cm="1">
        <f t="array" ref="J440">INDEX(Changed!$J:$J,ROW())&amp;IF(Changed!$J440&gt;Base!$J440,"↑",IF(Changed!$J440&lt;Base!$J440," ↓",""))</f>
        <v>60</v>
      </c>
      <c r="K440" s="7" t="str" cm="1">
        <f t="array" ref="K440">INDEX(Changed!$K:$K,ROW())&amp;IF(Changed!$K440&gt;Base!$K440,"↑",IF(Changed!$K440&lt;Base!$K440," ↓",""))</f>
        <v>55</v>
      </c>
      <c r="L440" s="7" t="str" cm="1">
        <f t="array" ref="L440">INDEX(Changed!$L:$L,ROW())&amp;IF(Changed!$L440&gt;Base!$L440,"↑",IF(Changed!$L440&lt;Base!$L440," ↓",""))</f>
        <v>60</v>
      </c>
      <c r="M440" s="7" t="str" cm="1">
        <f t="array" ref="M440">INDEX(Changed!$M:$M,ROW())&amp;IF(Changed!$M440&gt;Base!$M440,"↑",IF(Changed!$M440&lt;Base!$M440," ↓",""))</f>
        <v>71</v>
      </c>
      <c r="N440" s="19">
        <f>Changed!G440-Base!G440</f>
        <v>0</v>
      </c>
    </row>
    <row r="441" spans="1:14" ht="15.75" customHeight="1" x14ac:dyDescent="0.2">
      <c r="A441" s="4">
        <v>440</v>
      </c>
      <c r="B441" s="5" t="s">
        <v>436</v>
      </c>
      <c r="C441" s="6" t="str">
        <f>IF(Changed!C441&lt;&gt;"", Changed!C441, "")</f>
        <v>Bug</v>
      </c>
      <c r="D441" s="6" t="str">
        <f>IF(Changed!D441&lt;&gt;"", Changed!D441, "")</f>
        <v/>
      </c>
      <c r="E441" s="6" t="str">
        <f>IF(Changed!E441&lt;&gt;"", Changed!E441, "")</f>
        <v>Shed Skin</v>
      </c>
      <c r="F441" s="6" t="str">
        <f>IF(Changed!F441&lt;&gt;"", Changed!F441, "")</f>
        <v/>
      </c>
      <c r="G441" s="7" t="str" cm="1">
        <f t="array" ref="G441">INDEX(Changed!$G:$G,ROW())&amp;IF(Changed!$G441&gt;Base!$G441,"↑",IF(Changed!$G441&lt;Base!$G441," ↓",""))</f>
        <v>194</v>
      </c>
      <c r="H441" s="7" t="str" cm="1">
        <f t="array" ref="H441">INDEX(Changed!$H:$H,ROW())&amp;IF(Changed!$H441&gt;Base!$H441,"↑",IF(Changed!$H441&lt;Base!$H441," ↓",""))</f>
        <v>37</v>
      </c>
      <c r="I441" s="7" t="str" cm="1">
        <f t="array" ref="I441">INDEX(Changed!$I:$I,ROW())&amp;IF(Changed!$I441&gt;Base!$I441,"↑",IF(Changed!$I441&lt;Base!$I441," ↓",""))</f>
        <v>25</v>
      </c>
      <c r="J441" s="7" t="str" cm="1">
        <f t="array" ref="J441">INDEX(Changed!$J:$J,ROW())&amp;IF(Changed!$J441&gt;Base!$J441,"↑",IF(Changed!$J441&lt;Base!$J441," ↓",""))</f>
        <v>41</v>
      </c>
      <c r="K441" s="7" t="str" cm="1">
        <f t="array" ref="K441">INDEX(Changed!$K:$K,ROW())&amp;IF(Changed!$K441&gt;Base!$K441,"↑",IF(Changed!$K441&lt;Base!$K441," ↓",""))</f>
        <v>25</v>
      </c>
      <c r="L441" s="7" t="str" cm="1">
        <f t="array" ref="L441">INDEX(Changed!$L:$L,ROW())&amp;IF(Changed!$L441&gt;Base!$L441,"↑",IF(Changed!$L441&lt;Base!$L441," ↓",""))</f>
        <v>41</v>
      </c>
      <c r="M441" s="7" t="str" cm="1">
        <f t="array" ref="M441">INDEX(Changed!$M:$M,ROW())&amp;IF(Changed!$M441&gt;Base!$M441,"↑",IF(Changed!$M441&lt;Base!$M441," ↓",""))</f>
        <v>25</v>
      </c>
      <c r="N441" s="19">
        <f>Changed!G441-Base!G441</f>
        <v>0</v>
      </c>
    </row>
    <row r="442" spans="1:14" ht="15.75" customHeight="1" x14ac:dyDescent="0.2">
      <c r="A442" s="4">
        <v>441</v>
      </c>
      <c r="B442" s="5" t="s">
        <v>437</v>
      </c>
      <c r="C442" s="6" t="str">
        <f>IF(Changed!C442&lt;&gt;"", Changed!C442, "")</f>
        <v>Bug</v>
      </c>
      <c r="D442" s="6" t="str">
        <f>IF(Changed!D442&lt;&gt;"", Changed!D442, "")</f>
        <v/>
      </c>
      <c r="E442" s="6" t="str">
        <f>IF(Changed!E442&lt;&gt;"", Changed!E442, "")</f>
        <v>Swarm</v>
      </c>
      <c r="F442" s="6" t="str">
        <f>IF(Changed!F442&lt;&gt;"", Changed!F442, "")</f>
        <v/>
      </c>
      <c r="G442" s="7" t="str" cm="1">
        <f t="array" ref="G442">INDEX(Changed!$G:$G,ROW())&amp;IF(Changed!$G442&gt;Base!$G442,"↑",IF(Changed!$G442&lt;Base!$G442," ↓",""))</f>
        <v>384</v>
      </c>
      <c r="H442" s="7" t="str" cm="1">
        <f t="array" ref="H442">INDEX(Changed!$H:$H,ROW())&amp;IF(Changed!$H442&gt;Base!$H442,"↑",IF(Changed!$H442&lt;Base!$H442," ↓",""))</f>
        <v>77</v>
      </c>
      <c r="I442" s="7" t="str" cm="1">
        <f t="array" ref="I442">INDEX(Changed!$I:$I,ROW())&amp;IF(Changed!$I442&gt;Base!$I442,"↑",IF(Changed!$I442&lt;Base!$I442," ↓",""))</f>
        <v>85</v>
      </c>
      <c r="J442" s="7" t="str" cm="1">
        <f t="array" ref="J442">INDEX(Changed!$J:$J,ROW())&amp;IF(Changed!$J442&gt;Base!$J442,"↑",IF(Changed!$J442&lt;Base!$J442," ↓",""))</f>
        <v>51</v>
      </c>
      <c r="K442" s="7" t="str" cm="1">
        <f t="array" ref="K442">INDEX(Changed!$K:$K,ROW())&amp;IF(Changed!$K442&gt;Base!$K442,"↑",IF(Changed!$K442&lt;Base!$K442," ↓",""))</f>
        <v>55</v>
      </c>
      <c r="L442" s="7" t="str" cm="1">
        <f t="array" ref="L442">INDEX(Changed!$L:$L,ROW())&amp;IF(Changed!$L442&gt;Base!$L442,"↑",IF(Changed!$L442&lt;Base!$L442," ↓",""))</f>
        <v>51</v>
      </c>
      <c r="M442" s="7" t="str" cm="1">
        <f t="array" ref="M442">INDEX(Changed!$M:$M,ROW())&amp;IF(Changed!$M442&gt;Base!$M442,"↑",IF(Changed!$M442&lt;Base!$M442," ↓",""))</f>
        <v>65</v>
      </c>
      <c r="N442" s="19">
        <f>Changed!G442-Base!G442</f>
        <v>0</v>
      </c>
    </row>
    <row r="443" spans="1:14" ht="15.75" customHeight="1" x14ac:dyDescent="0.2">
      <c r="A443" s="4">
        <v>442</v>
      </c>
      <c r="B443" s="5" t="s">
        <v>438</v>
      </c>
      <c r="C443" s="6" t="str">
        <f>IF(Changed!C443&lt;&gt;"", Changed!C443, "")</f>
        <v>Electric</v>
      </c>
      <c r="D443" s="6" t="str">
        <f>IF(Changed!D443&lt;&gt;"", Changed!D443, "")</f>
        <v/>
      </c>
      <c r="E443" s="6" t="str">
        <f>IF(Changed!E443&lt;&gt;"", Changed!E443, "")</f>
        <v>Rivalry</v>
      </c>
      <c r="F443" s="6" t="str">
        <f>IF(Changed!F443&lt;&gt;"", Changed!F443, "")</f>
        <v>Intimidate</v>
      </c>
      <c r="G443" s="7" t="str" cm="1">
        <f t="array" ref="G443">INDEX(Changed!$G:$G,ROW())&amp;IF(Changed!$G443&gt;Base!$G443,"↑",IF(Changed!$G443&lt;Base!$G443," ↓",""))</f>
        <v>263</v>
      </c>
      <c r="H443" s="7" t="str" cm="1">
        <f t="array" ref="H443">INDEX(Changed!$H:$H,ROW())&amp;IF(Changed!$H443&gt;Base!$H443,"↑",IF(Changed!$H443&lt;Base!$H443," ↓",""))</f>
        <v>45</v>
      </c>
      <c r="I443" s="7" t="str" cm="1">
        <f t="array" ref="I443">INDEX(Changed!$I:$I,ROW())&amp;IF(Changed!$I443&gt;Base!$I443,"↑",IF(Changed!$I443&lt;Base!$I443," ↓",""))</f>
        <v>65</v>
      </c>
      <c r="J443" s="7" t="str" cm="1">
        <f t="array" ref="J443">INDEX(Changed!$J:$J,ROW())&amp;IF(Changed!$J443&gt;Base!$J443,"↑",IF(Changed!$J443&lt;Base!$J443," ↓",""))</f>
        <v>34</v>
      </c>
      <c r="K443" s="7" t="str" cm="1">
        <f t="array" ref="K443">INDEX(Changed!$K:$K,ROW())&amp;IF(Changed!$K443&gt;Base!$K443,"↑",IF(Changed!$K443&lt;Base!$K443," ↓",""))</f>
        <v>40</v>
      </c>
      <c r="L443" s="7" t="str" cm="1">
        <f t="array" ref="L443">INDEX(Changed!$L:$L,ROW())&amp;IF(Changed!$L443&gt;Base!$L443,"↑",IF(Changed!$L443&lt;Base!$L443," ↓",""))</f>
        <v>34</v>
      </c>
      <c r="M443" s="7" t="str" cm="1">
        <f t="array" ref="M443">INDEX(Changed!$M:$M,ROW())&amp;IF(Changed!$M443&gt;Base!$M443,"↑",IF(Changed!$M443&lt;Base!$M443," ↓",""))</f>
        <v>45</v>
      </c>
      <c r="N443" s="19">
        <f>Changed!G443-Base!G443</f>
        <v>0</v>
      </c>
    </row>
    <row r="444" spans="1:14" ht="15.75" customHeight="1" x14ac:dyDescent="0.2">
      <c r="A444" s="4">
        <v>443</v>
      </c>
      <c r="B444" s="5" t="s">
        <v>439</v>
      </c>
      <c r="C444" s="6" t="str">
        <f>IF(Changed!C444&lt;&gt;"", Changed!C444, "")</f>
        <v>Electric</v>
      </c>
      <c r="D444" s="6" t="str">
        <f>IF(Changed!D444&lt;&gt;"", Changed!D444, "")</f>
        <v/>
      </c>
      <c r="E444" s="6" t="str">
        <f>IF(Changed!E444&lt;&gt;"", Changed!E444, "")</f>
        <v>Rivalry</v>
      </c>
      <c r="F444" s="6" t="str">
        <f>IF(Changed!F444&lt;&gt;"", Changed!F444, "")</f>
        <v>Intimidate</v>
      </c>
      <c r="G444" s="7" t="str" cm="1">
        <f t="array" ref="G444">INDEX(Changed!$G:$G,ROW())&amp;IF(Changed!$G444&gt;Base!$G444,"↑",IF(Changed!$G444&lt;Base!$G444," ↓",""))</f>
        <v>363</v>
      </c>
      <c r="H444" s="7" t="str" cm="1">
        <f t="array" ref="H444">INDEX(Changed!$H:$H,ROW())&amp;IF(Changed!$H444&gt;Base!$H444,"↑",IF(Changed!$H444&lt;Base!$H444," ↓",""))</f>
        <v>60</v>
      </c>
      <c r="I444" s="7" t="str" cm="1">
        <f t="array" ref="I444">INDEX(Changed!$I:$I,ROW())&amp;IF(Changed!$I444&gt;Base!$I444,"↑",IF(Changed!$I444&lt;Base!$I444," ↓",""))</f>
        <v>85</v>
      </c>
      <c r="J444" s="7" t="str" cm="1">
        <f t="array" ref="J444">INDEX(Changed!$J:$J,ROW())&amp;IF(Changed!$J444&gt;Base!$J444,"↑",IF(Changed!$J444&lt;Base!$J444," ↓",""))</f>
        <v>49</v>
      </c>
      <c r="K444" s="7" t="str" cm="1">
        <f t="array" ref="K444">INDEX(Changed!$K:$K,ROW())&amp;IF(Changed!$K444&gt;Base!$K444,"↑",IF(Changed!$K444&lt;Base!$K444," ↓",""))</f>
        <v>60</v>
      </c>
      <c r="L444" s="7" t="str" cm="1">
        <f t="array" ref="L444">INDEX(Changed!$L:$L,ROW())&amp;IF(Changed!$L444&gt;Base!$L444,"↑",IF(Changed!$L444&lt;Base!$L444," ↓",""))</f>
        <v>49</v>
      </c>
      <c r="M444" s="7" t="str" cm="1">
        <f t="array" ref="M444">INDEX(Changed!$M:$M,ROW())&amp;IF(Changed!$M444&gt;Base!$M444,"↑",IF(Changed!$M444&lt;Base!$M444," ↓",""))</f>
        <v>60</v>
      </c>
      <c r="N444" s="19">
        <f>Changed!G444-Base!G444</f>
        <v>0</v>
      </c>
    </row>
    <row r="445" spans="1:14" ht="15.75" customHeight="1" x14ac:dyDescent="0.2">
      <c r="A445" s="4">
        <v>444</v>
      </c>
      <c r="B445" s="5" t="s">
        <v>440</v>
      </c>
      <c r="C445" s="6" t="str">
        <f>IF(Changed!C445&lt;&gt;"", Changed!C445, "")</f>
        <v>Electric</v>
      </c>
      <c r="D445" s="6" t="str">
        <f>IF(Changed!D445&lt;&gt;"", Changed!D445, "")</f>
        <v/>
      </c>
      <c r="E445" s="6" t="str">
        <f>IF(Changed!E445&lt;&gt;"", Changed!E445, "")</f>
        <v>Rivalry</v>
      </c>
      <c r="F445" s="6" t="str">
        <f>IF(Changed!F445&lt;&gt;"", Changed!F445, "")</f>
        <v>Intimidate</v>
      </c>
      <c r="G445" s="7" t="str" cm="1">
        <f t="array" ref="G445">INDEX(Changed!$G:$G,ROW())&amp;IF(Changed!$G445&gt;Base!$G445,"↑",IF(Changed!$G445&lt;Base!$G445," ↓",""))</f>
        <v>523</v>
      </c>
      <c r="H445" s="7" t="str" cm="1">
        <f t="array" ref="H445">INDEX(Changed!$H:$H,ROW())&amp;IF(Changed!$H445&gt;Base!$H445,"↑",IF(Changed!$H445&lt;Base!$H445," ↓",""))</f>
        <v>80</v>
      </c>
      <c r="I445" s="7" t="str" cm="1">
        <f t="array" ref="I445">INDEX(Changed!$I:$I,ROW())&amp;IF(Changed!$I445&gt;Base!$I445,"↑",IF(Changed!$I445&lt;Base!$I445," ↓",""))</f>
        <v>120</v>
      </c>
      <c r="J445" s="7" t="str" cm="1">
        <f t="array" ref="J445">INDEX(Changed!$J:$J,ROW())&amp;IF(Changed!$J445&gt;Base!$J445,"↑",IF(Changed!$J445&lt;Base!$J445," ↓",""))</f>
        <v>79</v>
      </c>
      <c r="K445" s="7" t="str" cm="1">
        <f t="array" ref="K445">INDEX(Changed!$K:$K,ROW())&amp;IF(Changed!$K445&gt;Base!$K445,"↑",IF(Changed!$K445&lt;Base!$K445," ↓",""))</f>
        <v>95</v>
      </c>
      <c r="L445" s="7" t="str" cm="1">
        <f t="array" ref="L445">INDEX(Changed!$L:$L,ROW())&amp;IF(Changed!$L445&gt;Base!$L445,"↑",IF(Changed!$L445&lt;Base!$L445," ↓",""))</f>
        <v>79</v>
      </c>
      <c r="M445" s="7" t="str" cm="1">
        <f t="array" ref="M445">INDEX(Changed!$M:$M,ROW())&amp;IF(Changed!$M445&gt;Base!$M445,"↑",IF(Changed!$M445&lt;Base!$M445," ↓",""))</f>
        <v>70</v>
      </c>
      <c r="N445" s="19">
        <f>Changed!G445-Base!G445</f>
        <v>0</v>
      </c>
    </row>
    <row r="446" spans="1:14" ht="15.75" customHeight="1" x14ac:dyDescent="0.2">
      <c r="A446" s="4">
        <v>445</v>
      </c>
      <c r="B446" s="5" t="s">
        <v>443</v>
      </c>
      <c r="C446" s="6" t="str">
        <f>IF(Changed!C446&lt;&gt;"", Changed!C446, "")</f>
        <v>Rock</v>
      </c>
      <c r="D446" s="6" t="str">
        <f>IF(Changed!D446&lt;&gt;"", Changed!D446, "")</f>
        <v/>
      </c>
      <c r="E446" s="6" t="str">
        <f>IF(Changed!E446&lt;&gt;"", Changed!E446, "")</f>
        <v>Rocky Payload</v>
      </c>
      <c r="F446" s="6" t="str">
        <f>IF(Changed!F446&lt;&gt;"", Changed!F446, "")</f>
        <v>Sheer Force</v>
      </c>
      <c r="G446" s="7" t="str" cm="1">
        <f t="array" ref="G446">INDEX(Changed!$G:$G,ROW())&amp;IF(Changed!$G446&gt;Base!$G446,"↑",IF(Changed!$G446&lt;Base!$G446," ↓",""))</f>
        <v>350</v>
      </c>
      <c r="H446" s="7" t="str" cm="1">
        <f t="array" ref="H446">INDEX(Changed!$H:$H,ROW())&amp;IF(Changed!$H446&gt;Base!$H446,"↑",IF(Changed!$H446&lt;Base!$H446," ↓",""))</f>
        <v>67</v>
      </c>
      <c r="I446" s="7" t="str" cm="1">
        <f t="array" ref="I446">INDEX(Changed!$I:$I,ROW())&amp;IF(Changed!$I446&gt;Base!$I446,"↑",IF(Changed!$I446&lt;Base!$I446," ↓",""))</f>
        <v>125</v>
      </c>
      <c r="J446" s="7" t="str" cm="1">
        <f t="array" ref="J446">INDEX(Changed!$J:$J,ROW())&amp;IF(Changed!$J446&gt;Base!$J446,"↑",IF(Changed!$J446&lt;Base!$J446," ↓",""))</f>
        <v>40</v>
      </c>
      <c r="K446" s="7" t="str" cm="1">
        <f t="array" ref="K446">INDEX(Changed!$K:$K,ROW())&amp;IF(Changed!$K446&gt;Base!$K446,"↑",IF(Changed!$K446&lt;Base!$K446," ↓",""))</f>
        <v>30</v>
      </c>
      <c r="L446" s="7" t="str" cm="1">
        <f t="array" ref="L446">INDEX(Changed!$L:$L,ROW())&amp;IF(Changed!$L446&gt;Base!$L446,"↑",IF(Changed!$L446&lt;Base!$L446," ↓",""))</f>
        <v>30</v>
      </c>
      <c r="M446" s="7" t="str" cm="1">
        <f t="array" ref="M446">INDEX(Changed!$M:$M,ROW())&amp;IF(Changed!$M446&gt;Base!$M446,"↑",IF(Changed!$M446&lt;Base!$M446," ↓",""))</f>
        <v>58</v>
      </c>
      <c r="N446" s="19">
        <f>Changed!G446-Base!G446</f>
        <v>0</v>
      </c>
    </row>
    <row r="447" spans="1:14" ht="15.75" customHeight="1" x14ac:dyDescent="0.2">
      <c r="A447" s="4">
        <v>446</v>
      </c>
      <c r="B447" s="5" t="s">
        <v>444</v>
      </c>
      <c r="C447" s="6" t="str">
        <f>IF(Changed!C447&lt;&gt;"", Changed!C447, "")</f>
        <v>Rock</v>
      </c>
      <c r="D447" s="6" t="str">
        <f>IF(Changed!D447&lt;&gt;"", Changed!D447, "")</f>
        <v/>
      </c>
      <c r="E447" s="6" t="str">
        <f>IF(Changed!E447&lt;&gt;"", Changed!E447, "")</f>
        <v>Rocky Payload</v>
      </c>
      <c r="F447" s="6" t="str">
        <f>IF(Changed!F447&lt;&gt;"", Changed!F447, "")</f>
        <v>Sheer Force</v>
      </c>
      <c r="G447" s="7" t="str" cm="1">
        <f t="array" ref="G447">INDEX(Changed!$G:$G,ROW())&amp;IF(Changed!$G447&gt;Base!$G447,"↑",IF(Changed!$G447&lt;Base!$G447," ↓",""))</f>
        <v>495</v>
      </c>
      <c r="H447" s="7" t="str" cm="1">
        <f t="array" ref="H447">INDEX(Changed!$H:$H,ROW())&amp;IF(Changed!$H447&gt;Base!$H447,"↑",IF(Changed!$H447&lt;Base!$H447," ↓",""))</f>
        <v>97</v>
      </c>
      <c r="I447" s="7" t="str" cm="1">
        <f t="array" ref="I447">INDEX(Changed!$I:$I,ROW())&amp;IF(Changed!$I447&gt;Base!$I447,"↑",IF(Changed!$I447&lt;Base!$I447," ↓",""))</f>
        <v>165</v>
      </c>
      <c r="J447" s="7" t="str" cm="1">
        <f t="array" ref="J447">INDEX(Changed!$J:$J,ROW())&amp;IF(Changed!$J447&gt;Base!$J447,"↑",IF(Changed!$J447&lt;Base!$J447," ↓",""))</f>
        <v>60</v>
      </c>
      <c r="K447" s="7" t="str" cm="1">
        <f t="array" ref="K447">INDEX(Changed!$K:$K,ROW())&amp;IF(Changed!$K447&gt;Base!$K447,"↑",IF(Changed!$K447&lt;Base!$K447," ↓",""))</f>
        <v>65</v>
      </c>
      <c r="L447" s="7" t="str" cm="1">
        <f t="array" ref="L447">INDEX(Changed!$L:$L,ROW())&amp;IF(Changed!$L447&gt;Base!$L447,"↑",IF(Changed!$L447&lt;Base!$L447," ↓",""))</f>
        <v>50</v>
      </c>
      <c r="M447" s="7" t="str" cm="1">
        <f t="array" ref="M447">INDEX(Changed!$M:$M,ROW())&amp;IF(Changed!$M447&gt;Base!$M447,"↑",IF(Changed!$M447&lt;Base!$M447," ↓",""))</f>
        <v>58</v>
      </c>
      <c r="N447" s="19">
        <f>Changed!G447-Base!G447</f>
        <v>0</v>
      </c>
    </row>
    <row r="448" spans="1:14" ht="15.75" customHeight="1" x14ac:dyDescent="0.2">
      <c r="A448" s="4">
        <v>447</v>
      </c>
      <c r="B448" s="5" t="s">
        <v>445</v>
      </c>
      <c r="C448" s="6" t="str">
        <f>IF(Changed!C448&lt;&gt;"", Changed!C448, "")</f>
        <v>Rock</v>
      </c>
      <c r="D448" s="6" t="str">
        <f>IF(Changed!D448&lt;&gt;"", Changed!D448, "")</f>
        <v>Steel</v>
      </c>
      <c r="E448" s="6" t="str">
        <f>IF(Changed!E448&lt;&gt;"", Changed!E448, "")</f>
        <v>Fortress Face</v>
      </c>
      <c r="F448" s="6" t="str">
        <f>IF(Changed!F448&lt;&gt;"", Changed!F448, "")</f>
        <v>Stamina</v>
      </c>
      <c r="G448" s="7" t="str" cm="1">
        <f t="array" ref="G448">INDEX(Changed!$G:$G,ROW())&amp;IF(Changed!$G448&gt;Base!$G448,"↑",IF(Changed!$G448&lt;Base!$G448," ↓",""))</f>
        <v>350</v>
      </c>
      <c r="H448" s="7" t="str" cm="1">
        <f t="array" ref="H448">INDEX(Changed!$H:$H,ROW())&amp;IF(Changed!$H448&gt;Base!$H448,"↑",IF(Changed!$H448&lt;Base!$H448," ↓",""))</f>
        <v>30</v>
      </c>
      <c r="I448" s="7" t="str" cm="1">
        <f t="array" ref="I448">INDEX(Changed!$I:$I,ROW())&amp;IF(Changed!$I448&gt;Base!$I448,"↑",IF(Changed!$I448&lt;Base!$I448," ↓",""))</f>
        <v>42</v>
      </c>
      <c r="J448" s="7" t="str" cm="1">
        <f t="array" ref="J448">INDEX(Changed!$J:$J,ROW())&amp;IF(Changed!$J448&gt;Base!$J448,"↑",IF(Changed!$J448&lt;Base!$J448," ↓",""))</f>
        <v>118</v>
      </c>
      <c r="K448" s="7" t="str" cm="1">
        <f t="array" ref="K448">INDEX(Changed!$K:$K,ROW())&amp;IF(Changed!$K448&gt;Base!$K448,"↑",IF(Changed!$K448&lt;Base!$K448," ↓",""))</f>
        <v>42</v>
      </c>
      <c r="L448" s="7" t="str" cm="1">
        <f t="array" ref="L448">INDEX(Changed!$L:$L,ROW())&amp;IF(Changed!$L448&gt;Base!$L448,"↑",IF(Changed!$L448&lt;Base!$L448," ↓",""))</f>
        <v>88</v>
      </c>
      <c r="M448" s="7" t="str" cm="1">
        <f t="array" ref="M448">INDEX(Changed!$M:$M,ROW())&amp;IF(Changed!$M448&gt;Base!$M448,"↑",IF(Changed!$M448&lt;Base!$M448," ↓",""))</f>
        <v>30</v>
      </c>
      <c r="N448" s="19">
        <f>Changed!G448-Base!G448</f>
        <v>0</v>
      </c>
    </row>
    <row r="449" spans="1:14" ht="15.75" customHeight="1" x14ac:dyDescent="0.2">
      <c r="A449" s="4">
        <v>448</v>
      </c>
      <c r="B449" s="5" t="s">
        <v>446</v>
      </c>
      <c r="C449" s="6" t="str">
        <f>IF(Changed!C449&lt;&gt;"", Changed!C449, "")</f>
        <v>Rock</v>
      </c>
      <c r="D449" s="6" t="str">
        <f>IF(Changed!D449&lt;&gt;"", Changed!D449, "")</f>
        <v>Steel</v>
      </c>
      <c r="E449" s="6" t="str">
        <f>IF(Changed!E449&lt;&gt;"", Changed!E449, "")</f>
        <v>Fortress Face</v>
      </c>
      <c r="F449" s="6" t="str">
        <f>IF(Changed!F449&lt;&gt;"", Changed!F449, "")</f>
        <v>Stamina</v>
      </c>
      <c r="G449" s="7" t="str" cm="1">
        <f t="array" ref="G449">INDEX(Changed!$G:$G,ROW())&amp;IF(Changed!$G449&gt;Base!$G449,"↑",IF(Changed!$G449&lt;Base!$G449," ↓",""))</f>
        <v>495</v>
      </c>
      <c r="H449" s="7" t="str" cm="1">
        <f t="array" ref="H449">INDEX(Changed!$H:$H,ROW())&amp;IF(Changed!$H449&gt;Base!$H449,"↑",IF(Changed!$H449&lt;Base!$H449," ↓",""))</f>
        <v>60</v>
      </c>
      <c r="I449" s="7" t="str" cm="1">
        <f t="array" ref="I449">INDEX(Changed!$I:$I,ROW())&amp;IF(Changed!$I449&gt;Base!$I449,"↑",IF(Changed!$I449&lt;Base!$I449," ↓",""))</f>
        <v>52</v>
      </c>
      <c r="J449" s="7" t="str" cm="1">
        <f t="array" ref="J449">INDEX(Changed!$J:$J,ROW())&amp;IF(Changed!$J449&gt;Base!$J449,"↑",IF(Changed!$J449&lt;Base!$J449," ↓",""))</f>
        <v>168</v>
      </c>
      <c r="K449" s="7" t="str" cm="1">
        <f t="array" ref="K449">INDEX(Changed!$K:$K,ROW())&amp;IF(Changed!$K449&gt;Base!$K449,"↑",IF(Changed!$K449&lt;Base!$K449," ↓",""))</f>
        <v>47</v>
      </c>
      <c r="L449" s="7" t="str" cm="1">
        <f t="array" ref="L449">INDEX(Changed!$L:$L,ROW())&amp;IF(Changed!$L449&gt;Base!$L449,"↑",IF(Changed!$L449&lt;Base!$L449," ↓",""))</f>
        <v>138</v>
      </c>
      <c r="M449" s="7" t="str" cm="1">
        <f t="array" ref="M449">INDEX(Changed!$M:$M,ROW())&amp;IF(Changed!$M449&gt;Base!$M449,"↑",IF(Changed!$M449&lt;Base!$M449," ↓",""))</f>
        <v>30</v>
      </c>
      <c r="N449" s="19">
        <f>Changed!G449-Base!G449</f>
        <v>0</v>
      </c>
    </row>
    <row r="450" spans="1:14" ht="15.75" customHeight="1" x14ac:dyDescent="0.2">
      <c r="A450" s="4">
        <v>449</v>
      </c>
      <c r="B450" s="5" t="s">
        <v>447</v>
      </c>
      <c r="C450" s="6" t="str">
        <f>IF(Changed!C450&lt;&gt;"", Changed!C450, "")</f>
        <v>Bug</v>
      </c>
      <c r="D450" s="6" t="str">
        <f>IF(Changed!D450&lt;&gt;"", Changed!D450, "")</f>
        <v/>
      </c>
      <c r="E450" s="6" t="str">
        <f>IF(Changed!E450&lt;&gt;"", Changed!E450, "")</f>
        <v>Shed Skin</v>
      </c>
      <c r="F450" s="6" t="str">
        <f>IF(Changed!F450&lt;&gt;"", Changed!F450, "")</f>
        <v/>
      </c>
      <c r="G450" s="7" t="str" cm="1">
        <f t="array" ref="G450">INDEX(Changed!$G:$G,ROW())&amp;IF(Changed!$G450&gt;Base!$G450,"↑",IF(Changed!$G450&lt;Base!$G450," ↓",""))</f>
        <v>224</v>
      </c>
      <c r="H450" s="7" t="str" cm="1">
        <f t="array" ref="H450">INDEX(Changed!$H:$H,ROW())&amp;IF(Changed!$H450&gt;Base!$H450,"↑",IF(Changed!$H450&lt;Base!$H450," ↓",""))</f>
        <v>40</v>
      </c>
      <c r="I450" s="7" t="str" cm="1">
        <f t="array" ref="I450">INDEX(Changed!$I:$I,ROW())&amp;IF(Changed!$I450&gt;Base!$I450,"↑",IF(Changed!$I450&lt;Base!$I450," ↓",""))</f>
        <v>29</v>
      </c>
      <c r="J450" s="7" t="str" cm="1">
        <f t="array" ref="J450">INDEX(Changed!$J:$J,ROW())&amp;IF(Changed!$J450&gt;Base!$J450,"↑",IF(Changed!$J450&lt;Base!$J450," ↓",""))</f>
        <v>45</v>
      </c>
      <c r="K450" s="7" t="str" cm="1">
        <f t="array" ref="K450">INDEX(Changed!$K:$K,ROW())&amp;IF(Changed!$K450&gt;Base!$K450,"↑",IF(Changed!$K450&lt;Base!$K450," ↓",""))</f>
        <v>29</v>
      </c>
      <c r="L450" s="7" t="str" cm="1">
        <f t="array" ref="L450">INDEX(Changed!$L:$L,ROW())&amp;IF(Changed!$L450&gt;Base!$L450,"↑",IF(Changed!$L450&lt;Base!$L450," ↓",""))</f>
        <v>45</v>
      </c>
      <c r="M450" s="7" t="str" cm="1">
        <f t="array" ref="M450">INDEX(Changed!$M:$M,ROW())&amp;IF(Changed!$M450&gt;Base!$M450,"↑",IF(Changed!$M450&lt;Base!$M450," ↓",""))</f>
        <v>36</v>
      </c>
      <c r="N450" s="19">
        <f>Changed!G450-Base!G450</f>
        <v>0</v>
      </c>
    </row>
    <row r="451" spans="1:14" ht="15.75" customHeight="1" x14ac:dyDescent="0.2">
      <c r="A451" s="4">
        <v>450</v>
      </c>
      <c r="B451" s="5" t="s">
        <v>448</v>
      </c>
      <c r="C451" s="6" t="str">
        <f>IF(Changed!C451&lt;&gt;"", Changed!C451, "")</f>
        <v>Bug</v>
      </c>
      <c r="D451" s="6" t="str">
        <f>IF(Changed!D451&lt;&gt;"", Changed!D451, "")</f>
        <v>Grass</v>
      </c>
      <c r="E451" s="6" t="str">
        <f>IF(Changed!E451&lt;&gt;"", Changed!E451, "")</f>
        <v>Anticipation</v>
      </c>
      <c r="F451" s="6" t="str">
        <f>IF(Changed!F451&lt;&gt;"", Changed!F451, "")</f>
        <v/>
      </c>
      <c r="G451" s="7" t="str" cm="1">
        <f t="array" ref="G451">INDEX(Changed!$G:$G,ROW())&amp;IF(Changed!$G451&gt;Base!$G451,"↑",IF(Changed!$G451&lt;Base!$G451," ↓",""))</f>
        <v>424</v>
      </c>
      <c r="H451" s="7" t="str" cm="1">
        <f t="array" ref="H451">INDEX(Changed!$H:$H,ROW())&amp;IF(Changed!$H451&gt;Base!$H451,"↑",IF(Changed!$H451&lt;Base!$H451," ↓",""))</f>
        <v>60</v>
      </c>
      <c r="I451" s="7" t="str" cm="1">
        <f t="array" ref="I451">INDEX(Changed!$I:$I,ROW())&amp;IF(Changed!$I451&gt;Base!$I451,"↑",IF(Changed!$I451&lt;Base!$I451," ↓",""))</f>
        <v>59</v>
      </c>
      <c r="J451" s="7" t="str" cm="1">
        <f t="array" ref="J451">INDEX(Changed!$J:$J,ROW())&amp;IF(Changed!$J451&gt;Base!$J451,"↑",IF(Changed!$J451&lt;Base!$J451," ↓",""))</f>
        <v>85</v>
      </c>
      <c r="K451" s="7" t="str" cm="1">
        <f t="array" ref="K451">INDEX(Changed!$K:$K,ROW())&amp;IF(Changed!$K451&gt;Base!$K451,"↑",IF(Changed!$K451&lt;Base!$K451," ↓",""))</f>
        <v>79</v>
      </c>
      <c r="L451" s="7" t="str" cm="1">
        <f t="array" ref="L451">INDEX(Changed!$L:$L,ROW())&amp;IF(Changed!$L451&gt;Base!$L451,"↑",IF(Changed!$L451&lt;Base!$L451," ↓",""))</f>
        <v>105</v>
      </c>
      <c r="M451" s="7" t="str" cm="1">
        <f t="array" ref="M451">INDEX(Changed!$M:$M,ROW())&amp;IF(Changed!$M451&gt;Base!$M451,"↑",IF(Changed!$M451&lt;Base!$M451," ↓",""))</f>
        <v>36</v>
      </c>
      <c r="N451" s="19">
        <f>Changed!G451-Base!G451</f>
        <v>0</v>
      </c>
    </row>
    <row r="452" spans="1:14" ht="15.75" customHeight="1" x14ac:dyDescent="0.2">
      <c r="A452" s="4">
        <v>451</v>
      </c>
      <c r="B452" s="5" t="s">
        <v>449</v>
      </c>
      <c r="C452" s="6" t="str">
        <f>IF(Changed!C452&lt;&gt;"", Changed!C452, "")</f>
        <v>Bug</v>
      </c>
      <c r="D452" s="6" t="str">
        <f>IF(Changed!D452&lt;&gt;"", Changed!D452, "")</f>
        <v>Flying</v>
      </c>
      <c r="E452" s="6" t="str">
        <f>IF(Changed!E452&lt;&gt;"", Changed!E452, "")</f>
        <v>Swarm</v>
      </c>
      <c r="F452" s="19" t="str">
        <f>IF(Changed!F452&lt;&gt;"", Changed!F452, "")</f>
        <v/>
      </c>
      <c r="G452" s="7" t="str" cm="1">
        <f t="array" ref="G452">INDEX(Changed!$G:$G,ROW())&amp;IF(Changed!$G452&gt;Base!$G452,"↑",IF(Changed!$G452&lt;Base!$G452," ↓",""))</f>
        <v>424</v>
      </c>
      <c r="H452" s="7" t="str" cm="1">
        <f t="array" ref="H452">INDEX(Changed!$H:$H,ROW())&amp;IF(Changed!$H452&gt;Base!$H452,"↑",IF(Changed!$H452&lt;Base!$H452," ↓",""))</f>
        <v>70</v>
      </c>
      <c r="I452" s="7" t="str" cm="1">
        <f t="array" ref="I452">INDEX(Changed!$I:$I,ROW())&amp;IF(Changed!$I452&gt;Base!$I452,"↑",IF(Changed!$I452&lt;Base!$I452," ↓",""))</f>
        <v>94</v>
      </c>
      <c r="J452" s="7" t="str" cm="1">
        <f t="array" ref="J452">INDEX(Changed!$J:$J,ROW())&amp;IF(Changed!$J452&gt;Base!$J452,"↑",IF(Changed!$J452&lt;Base!$J452," ↓",""))</f>
        <v>50</v>
      </c>
      <c r="K452" s="7" t="str" cm="1">
        <f t="array" ref="K452">INDEX(Changed!$K:$K,ROW())&amp;IF(Changed!$K452&gt;Base!$K452,"↑",IF(Changed!$K452&lt;Base!$K452," ↓",""))</f>
        <v>94</v>
      </c>
      <c r="L452" s="7" t="str" cm="1">
        <f t="array" ref="L452">INDEX(Changed!$L:$L,ROW())&amp;IF(Changed!$L452&gt;Base!$L452,"↑",IF(Changed!$L452&lt;Base!$L452," ↓",""))</f>
        <v>50</v>
      </c>
      <c r="M452" s="7" t="str" cm="1">
        <f t="array" ref="M452">INDEX(Changed!$M:$M,ROW())&amp;IF(Changed!$M452&gt;Base!$M452,"↑",IF(Changed!$M452&lt;Base!$M452," ↓",""))</f>
        <v>66</v>
      </c>
      <c r="N452" s="19">
        <f>Changed!G452-Base!G452</f>
        <v>0</v>
      </c>
    </row>
    <row r="453" spans="1:14" ht="15.75" customHeight="1" x14ac:dyDescent="0.2">
      <c r="A453" s="4">
        <v>452</v>
      </c>
      <c r="B453" s="5" t="s">
        <v>450</v>
      </c>
      <c r="C453" s="6" t="str">
        <f>IF(Changed!C453&lt;&gt;"", Changed!C453, "")</f>
        <v>Bug</v>
      </c>
      <c r="D453" s="6" t="str">
        <f>IF(Changed!D453&lt;&gt;"", Changed!D453, "")</f>
        <v>None</v>
      </c>
      <c r="E453" s="6" t="str">
        <f>IF(Changed!E453&lt;&gt;"", Changed!E453, "")</f>
        <v>Honey Gather</v>
      </c>
      <c r="F453" s="6" t="str">
        <f>IF(Changed!F453&lt;&gt;"", Changed!F453, "")</f>
        <v/>
      </c>
      <c r="G453" s="7" t="str" cm="1">
        <f t="array" ref="G453">INDEX(Changed!$G:$G,ROW())&amp;IF(Changed!$G453&gt;Base!$G453,"↑",IF(Changed!$G453&lt;Base!$G453," ↓",""))</f>
        <v>244</v>
      </c>
      <c r="H453" s="7" t="str" cm="1">
        <f t="array" ref="H453">INDEX(Changed!$H:$H,ROW())&amp;IF(Changed!$H453&gt;Base!$H453,"↑",IF(Changed!$H453&lt;Base!$H453," ↓",""))</f>
        <v>30</v>
      </c>
      <c r="I453" s="7" t="str" cm="1">
        <f t="array" ref="I453">INDEX(Changed!$I:$I,ROW())&amp;IF(Changed!$I453&gt;Base!$I453,"↑",IF(Changed!$I453&lt;Base!$I453," ↓",""))</f>
        <v>30</v>
      </c>
      <c r="J453" s="7" t="str" cm="1">
        <f t="array" ref="J453">INDEX(Changed!$J:$J,ROW())&amp;IF(Changed!$J453&gt;Base!$J453,"↑",IF(Changed!$J453&lt;Base!$J453," ↓",""))</f>
        <v>42</v>
      </c>
      <c r="K453" s="7" t="str" cm="1">
        <f t="array" ref="K453">INDEX(Changed!$K:$K,ROW())&amp;IF(Changed!$K453&gt;Base!$K453,"↑",IF(Changed!$K453&lt;Base!$K453," ↓",""))</f>
        <v>30</v>
      </c>
      <c r="L453" s="7" t="str" cm="1">
        <f t="array" ref="L453">INDEX(Changed!$L:$L,ROW())&amp;IF(Changed!$L453&gt;Base!$L453,"↑",IF(Changed!$L453&lt;Base!$L453," ↓",""))</f>
        <v>42</v>
      </c>
      <c r="M453" s="7" t="str" cm="1">
        <f t="array" ref="M453">INDEX(Changed!$M:$M,ROW())&amp;IF(Changed!$M453&gt;Base!$M453,"↑",IF(Changed!$M453&lt;Base!$M453," ↓",""))</f>
        <v>70</v>
      </c>
      <c r="N453" s="19">
        <f>Changed!G453-Base!G453</f>
        <v>0</v>
      </c>
    </row>
    <row r="454" spans="1:14" ht="15.75" customHeight="1" x14ac:dyDescent="0.2">
      <c r="A454" s="4">
        <v>453</v>
      </c>
      <c r="B454" s="5" t="s">
        <v>451</v>
      </c>
      <c r="C454" s="6" t="str">
        <f>IF(Changed!C454&lt;&gt;"", Changed!C454, "")</f>
        <v>Bug</v>
      </c>
      <c r="D454" s="6" t="str">
        <f>IF(Changed!D454&lt;&gt;"", Changed!D454, "")</f>
        <v>None</v>
      </c>
      <c r="E454" s="6" t="str">
        <f>IF(Changed!E454&lt;&gt;"", Changed!E454, "")</f>
        <v>Pressure</v>
      </c>
      <c r="F454" s="6" t="str">
        <f>IF(Changed!F454&lt;&gt;"", Changed!F454, "")</f>
        <v>Parental Bond</v>
      </c>
      <c r="G454" s="7" t="str" cm="1">
        <f t="array" ref="G454">INDEX(Changed!$G:$G,ROW())&amp;IF(Changed!$G454&gt;Base!$G454,"↑",IF(Changed!$G454&lt;Base!$G454," ↓",""))</f>
        <v>474</v>
      </c>
      <c r="H454" s="7" t="str" cm="1">
        <f t="array" ref="H454">INDEX(Changed!$H:$H,ROW())&amp;IF(Changed!$H454&gt;Base!$H454,"↑",IF(Changed!$H454&lt;Base!$H454," ↓",""))</f>
        <v>70</v>
      </c>
      <c r="I454" s="7" t="str" cm="1">
        <f t="array" ref="I454">INDEX(Changed!$I:$I,ROW())&amp;IF(Changed!$I454&gt;Base!$I454,"↑",IF(Changed!$I454&lt;Base!$I454," ↓",""))</f>
        <v>80</v>
      </c>
      <c r="J454" s="7" t="str" cm="1">
        <f t="array" ref="J454">INDEX(Changed!$J:$J,ROW())&amp;IF(Changed!$J454&gt;Base!$J454,"↑",IF(Changed!$J454&lt;Base!$J454," ↓",""))</f>
        <v>102</v>
      </c>
      <c r="K454" s="7" t="str" cm="1">
        <f t="array" ref="K454">INDEX(Changed!$K:$K,ROW())&amp;IF(Changed!$K454&gt;Base!$K454,"↑",IF(Changed!$K454&lt;Base!$K454," ↓",""))</f>
        <v>80</v>
      </c>
      <c r="L454" s="7" t="str" cm="1">
        <f t="array" ref="L454">INDEX(Changed!$L:$L,ROW())&amp;IF(Changed!$L454&gt;Base!$L454,"↑",IF(Changed!$L454&lt;Base!$L454," ↓",""))</f>
        <v>102</v>
      </c>
      <c r="M454" s="7" t="str" cm="1">
        <f t="array" ref="M454">INDEX(Changed!$M:$M,ROW())&amp;IF(Changed!$M454&gt;Base!$M454,"↑",IF(Changed!$M454&lt;Base!$M454," ↓",""))</f>
        <v>40</v>
      </c>
      <c r="N454" s="19">
        <f>Changed!G454-Base!G454</f>
        <v>0</v>
      </c>
    </row>
    <row r="455" spans="1:14" ht="15.75" customHeight="1" x14ac:dyDescent="0.2">
      <c r="A455" s="4">
        <v>454</v>
      </c>
      <c r="B455" s="5" t="s">
        <v>452</v>
      </c>
      <c r="C455" s="6" t="str">
        <f>IF(Changed!C455&lt;&gt;"", Changed!C455, "")</f>
        <v>Electric</v>
      </c>
      <c r="D455" s="6" t="str">
        <f>IF(Changed!D455&lt;&gt;"", Changed!D455, "")</f>
        <v>Ice</v>
      </c>
      <c r="E455" s="6" t="str">
        <f>IF(Changed!E455&lt;&gt;"", Changed!E455, "")</f>
        <v>Plus</v>
      </c>
      <c r="F455" s="6" t="str">
        <f>IF(Changed!F455&lt;&gt;"", Changed!F455, "")</f>
        <v>Teravolt</v>
      </c>
      <c r="G455" s="7" t="str" cm="1">
        <f t="array" ref="G455">INDEX(Changed!$G:$G,ROW())&amp;IF(Changed!$G455&gt;Base!$G455,"↑",IF(Changed!$G455&lt;Base!$G455," ↓",""))</f>
        <v>415↑</v>
      </c>
      <c r="H455" s="7" t="str" cm="1">
        <f t="array" ref="H455">INDEX(Changed!$H:$H,ROW())&amp;IF(Changed!$H455&gt;Base!$H455,"↑",IF(Changed!$H455&lt;Base!$H455," ↓",""))</f>
        <v>60</v>
      </c>
      <c r="I455" s="7" t="str" cm="1">
        <f t="array" ref="I455">INDEX(Changed!$I:$I,ROW())&amp;IF(Changed!$I455&gt;Base!$I455,"↑",IF(Changed!$I455&lt;Base!$I455," ↓",""))</f>
        <v>55↑</v>
      </c>
      <c r="J455" s="7" t="str" cm="1">
        <f t="array" ref="J455">INDEX(Changed!$J:$J,ROW())&amp;IF(Changed!$J455&gt;Base!$J455,"↑",IF(Changed!$J455&lt;Base!$J455," ↓",""))</f>
        <v>70</v>
      </c>
      <c r="K455" s="7" t="str" cm="1">
        <f t="array" ref="K455">INDEX(Changed!$K:$K,ROW())&amp;IF(Changed!$K455&gt;Base!$K455,"↑",IF(Changed!$K455&lt;Base!$K455," ↓",""))</f>
        <v>55↑</v>
      </c>
      <c r="L455" s="7" t="str" cm="1">
        <f t="array" ref="L455">INDEX(Changed!$L:$L,ROW())&amp;IF(Changed!$L455&gt;Base!$L455,"↑",IF(Changed!$L455&lt;Base!$L455," ↓",""))</f>
        <v>80 ↓</v>
      </c>
      <c r="M455" s="7" t="str" cm="1">
        <f t="array" ref="M455">INDEX(Changed!$M:$M,ROW())&amp;IF(Changed!$M455&gt;Base!$M455,"↑",IF(Changed!$M455&lt;Base!$M455," ↓",""))</f>
        <v>95</v>
      </c>
      <c r="N455" s="19">
        <f>Changed!G455-Base!G455</f>
        <v>10</v>
      </c>
    </row>
    <row r="456" spans="1:14" ht="15.75" customHeight="1" x14ac:dyDescent="0.2">
      <c r="A456" s="4">
        <v>455</v>
      </c>
      <c r="B456" s="5" t="s">
        <v>453</v>
      </c>
      <c r="C456" s="6" t="str">
        <f>IF(Changed!C456&lt;&gt;"", Changed!C456, "")</f>
        <v>Water</v>
      </c>
      <c r="D456" s="6" t="str">
        <f>IF(Changed!D456&lt;&gt;"", Changed!D456, "")</f>
        <v/>
      </c>
      <c r="E456" s="6" t="str">
        <f>IF(Changed!E456&lt;&gt;"", Changed!E456, "")</f>
        <v>Swift Swim</v>
      </c>
      <c r="F456" s="6" t="str">
        <f>IF(Changed!F456&lt;&gt;"", Changed!F456, "")</f>
        <v/>
      </c>
      <c r="G456" s="7" t="str" cm="1">
        <f t="array" ref="G456">INDEX(Changed!$G:$G,ROW())&amp;IF(Changed!$G456&gt;Base!$G456,"↑",IF(Changed!$G456&lt;Base!$G456," ↓",""))</f>
        <v>330</v>
      </c>
      <c r="H456" s="7" t="str" cm="1">
        <f t="array" ref="H456">INDEX(Changed!$H:$H,ROW())&amp;IF(Changed!$H456&gt;Base!$H456,"↑",IF(Changed!$H456&lt;Base!$H456," ↓",""))</f>
        <v>55</v>
      </c>
      <c r="I456" s="7" t="str" cm="1">
        <f t="array" ref="I456">INDEX(Changed!$I:$I,ROW())&amp;IF(Changed!$I456&gt;Base!$I456,"↑",IF(Changed!$I456&lt;Base!$I456," ↓",""))</f>
        <v>65</v>
      </c>
      <c r="J456" s="7" t="str" cm="1">
        <f t="array" ref="J456">INDEX(Changed!$J:$J,ROW())&amp;IF(Changed!$J456&gt;Base!$J456,"↑",IF(Changed!$J456&lt;Base!$J456," ↓",""))</f>
        <v>35</v>
      </c>
      <c r="K456" s="7" t="str" cm="1">
        <f t="array" ref="K456">INDEX(Changed!$K:$K,ROW())&amp;IF(Changed!$K456&gt;Base!$K456,"↑",IF(Changed!$K456&lt;Base!$K456," ↓",""))</f>
        <v>60</v>
      </c>
      <c r="L456" s="7" t="str" cm="1">
        <f t="array" ref="L456">INDEX(Changed!$L:$L,ROW())&amp;IF(Changed!$L456&gt;Base!$L456,"↑",IF(Changed!$L456&lt;Base!$L456," ↓",""))</f>
        <v>30</v>
      </c>
      <c r="M456" s="7" t="str" cm="1">
        <f t="array" ref="M456">INDEX(Changed!$M:$M,ROW())&amp;IF(Changed!$M456&gt;Base!$M456,"↑",IF(Changed!$M456&lt;Base!$M456," ↓",""))</f>
        <v>85</v>
      </c>
      <c r="N456" s="19">
        <f>Changed!G456-Base!G456</f>
        <v>0</v>
      </c>
    </row>
    <row r="457" spans="1:14" ht="15.75" customHeight="1" x14ac:dyDescent="0.2">
      <c r="A457" s="4">
        <v>456</v>
      </c>
      <c r="B457" s="5" t="s">
        <v>454</v>
      </c>
      <c r="C457" s="6" t="str">
        <f>IF(Changed!C457&lt;&gt;"", Changed!C457, "")</f>
        <v>Water</v>
      </c>
      <c r="D457" s="6" t="str">
        <f>IF(Changed!D457&lt;&gt;"", Changed!D457, "")</f>
        <v/>
      </c>
      <c r="E457" s="6" t="str">
        <f>IF(Changed!E457&lt;&gt;"", Changed!E457, "")</f>
        <v>Swift Swim</v>
      </c>
      <c r="F457" s="6" t="str">
        <f>IF(Changed!F457&lt;&gt;"", Changed!F457, "")</f>
        <v/>
      </c>
      <c r="G457" s="7" t="str" cm="1">
        <f t="array" ref="G457">INDEX(Changed!$G:$G,ROW())&amp;IF(Changed!$G457&gt;Base!$G457,"↑",IF(Changed!$G457&lt;Base!$G457," ↓",""))</f>
        <v>495</v>
      </c>
      <c r="H457" s="7" t="str" cm="1">
        <f t="array" ref="H457">INDEX(Changed!$H:$H,ROW())&amp;IF(Changed!$H457&gt;Base!$H457,"↑",IF(Changed!$H457&lt;Base!$H457," ↓",""))</f>
        <v>85</v>
      </c>
      <c r="I457" s="7" t="str" cm="1">
        <f t="array" ref="I457">INDEX(Changed!$I:$I,ROW())&amp;IF(Changed!$I457&gt;Base!$I457,"↑",IF(Changed!$I457&lt;Base!$I457," ↓",""))</f>
        <v>105</v>
      </c>
      <c r="J457" s="7" t="str" cm="1">
        <f t="array" ref="J457">INDEX(Changed!$J:$J,ROW())&amp;IF(Changed!$J457&gt;Base!$J457,"↑",IF(Changed!$J457&lt;Base!$J457," ↓",""))</f>
        <v>55</v>
      </c>
      <c r="K457" s="7" t="str" cm="1">
        <f t="array" ref="K457">INDEX(Changed!$K:$K,ROW())&amp;IF(Changed!$K457&gt;Base!$K457,"↑",IF(Changed!$K457&lt;Base!$K457," ↓",""))</f>
        <v>85</v>
      </c>
      <c r="L457" s="7" t="str" cm="1">
        <f t="array" ref="L457">INDEX(Changed!$L:$L,ROW())&amp;IF(Changed!$L457&gt;Base!$L457,"↑",IF(Changed!$L457&lt;Base!$L457," ↓",""))</f>
        <v>50</v>
      </c>
      <c r="M457" s="7" t="str" cm="1">
        <f t="array" ref="M457">INDEX(Changed!$M:$M,ROW())&amp;IF(Changed!$M457&gt;Base!$M457,"↑",IF(Changed!$M457&lt;Base!$M457," ↓",""))</f>
        <v>115</v>
      </c>
      <c r="N457" s="19">
        <f>Changed!G457-Base!G457</f>
        <v>0</v>
      </c>
    </row>
    <row r="458" spans="1:14" ht="15.75" customHeight="1" x14ac:dyDescent="0.2">
      <c r="A458" s="4">
        <v>457</v>
      </c>
      <c r="B458" s="5" t="s">
        <v>455</v>
      </c>
      <c r="C458" s="6" t="str">
        <f>IF(Changed!C458&lt;&gt;"", Changed!C458, "")</f>
        <v>Grass</v>
      </c>
      <c r="D458" s="6" t="str">
        <f>IF(Changed!D458&lt;&gt;"", Changed!D458, "")</f>
        <v/>
      </c>
      <c r="E458" s="6" t="str">
        <f>IF(Changed!E458&lt;&gt;"", Changed!E458, "")</f>
        <v>Chlorophyll</v>
      </c>
      <c r="F458" s="6" t="str">
        <f>IF(Changed!F458&lt;&gt;"", Changed!F458, "")</f>
        <v/>
      </c>
      <c r="G458" s="7" t="str" cm="1">
        <f t="array" ref="G458">INDEX(Changed!$G:$G,ROW())&amp;IF(Changed!$G458&gt;Base!$G458,"↑",IF(Changed!$G458&lt;Base!$G458," ↓",""))</f>
        <v>275</v>
      </c>
      <c r="H458" s="7" t="str" cm="1">
        <f t="array" ref="H458">INDEX(Changed!$H:$H,ROW())&amp;IF(Changed!$H458&gt;Base!$H458,"↑",IF(Changed!$H458&lt;Base!$H458," ↓",""))</f>
        <v>45</v>
      </c>
      <c r="I458" s="7" t="str" cm="1">
        <f t="array" ref="I458">INDEX(Changed!$I:$I,ROW())&amp;IF(Changed!$I458&gt;Base!$I458,"↑",IF(Changed!$I458&lt;Base!$I458," ↓",""))</f>
        <v>35</v>
      </c>
      <c r="J458" s="7" t="str" cm="1">
        <f t="array" ref="J458">INDEX(Changed!$J:$J,ROW())&amp;IF(Changed!$J458&gt;Base!$J458,"↑",IF(Changed!$J458&lt;Base!$J458," ↓",""))</f>
        <v>45</v>
      </c>
      <c r="K458" s="7" t="str" cm="1">
        <f t="array" ref="K458">INDEX(Changed!$K:$K,ROW())&amp;IF(Changed!$K458&gt;Base!$K458,"↑",IF(Changed!$K458&lt;Base!$K458," ↓",""))</f>
        <v>62</v>
      </c>
      <c r="L458" s="7" t="str" cm="1">
        <f t="array" ref="L458">INDEX(Changed!$L:$L,ROW())&amp;IF(Changed!$L458&gt;Base!$L458,"↑",IF(Changed!$L458&lt;Base!$L458," ↓",""))</f>
        <v>53</v>
      </c>
      <c r="M458" s="7" t="str" cm="1">
        <f t="array" ref="M458">INDEX(Changed!$M:$M,ROW())&amp;IF(Changed!$M458&gt;Base!$M458,"↑",IF(Changed!$M458&lt;Base!$M458," ↓",""))</f>
        <v>35</v>
      </c>
      <c r="N458" s="19">
        <f>Changed!G458-Base!G458</f>
        <v>0</v>
      </c>
    </row>
    <row r="459" spans="1:14" ht="15.75" customHeight="1" x14ac:dyDescent="0.2">
      <c r="A459" s="4">
        <v>458</v>
      </c>
      <c r="B459" s="5" t="s">
        <v>456</v>
      </c>
      <c r="C459" s="6" t="str">
        <f>IF(Changed!C459&lt;&gt;"", Changed!C459, "")</f>
        <v>Grass</v>
      </c>
      <c r="D459" s="6" t="str">
        <f>IF(Changed!D459&lt;&gt;"", Changed!D459, "")</f>
        <v/>
      </c>
      <c r="E459" s="6" t="str">
        <f>IF(Changed!E459&lt;&gt;"", Changed!E459, "")</f>
        <v>Flower Gift</v>
      </c>
      <c r="F459" s="6" t="str">
        <f>IF(Changed!F459&lt;&gt;"", Changed!F459, "")</f>
        <v/>
      </c>
      <c r="G459" s="7" t="str" cm="1">
        <f t="array" ref="G459">INDEX(Changed!$G:$G,ROW())&amp;IF(Changed!$G459&gt;Base!$G459,"↑",IF(Changed!$G459&lt;Base!$G459," ↓",""))</f>
        <v>488</v>
      </c>
      <c r="H459" s="7" t="str" cm="1">
        <f t="array" ref="H459">INDEX(Changed!$H:$H,ROW())&amp;IF(Changed!$H459&gt;Base!$H459,"↑",IF(Changed!$H459&lt;Base!$H459," ↓",""))</f>
        <v>70</v>
      </c>
      <c r="I459" s="7" t="str" cm="1">
        <f t="array" ref="I459">INDEX(Changed!$I:$I,ROW())&amp;IF(Changed!$I459&gt;Base!$I459,"↑",IF(Changed!$I459&lt;Base!$I459," ↓",""))</f>
        <v>50</v>
      </c>
      <c r="J459" s="7" t="str" cm="1">
        <f t="array" ref="J459">INDEX(Changed!$J:$J,ROW())&amp;IF(Changed!$J459&gt;Base!$J459,"↑",IF(Changed!$J459&lt;Base!$J459," ↓",""))</f>
        <v>100</v>
      </c>
      <c r="K459" s="7" t="str" cm="1">
        <f t="array" ref="K459">INDEX(Changed!$K:$K,ROW())&amp;IF(Changed!$K459&gt;Base!$K459,"↑",IF(Changed!$K459&lt;Base!$K459," ↓",""))</f>
        <v>100</v>
      </c>
      <c r="L459" s="7" t="str" cm="1">
        <f t="array" ref="L459">INDEX(Changed!$L:$L,ROW())&amp;IF(Changed!$L459&gt;Base!$L459,"↑",IF(Changed!$L459&lt;Base!$L459," ↓",""))</f>
        <v>108</v>
      </c>
      <c r="M459" s="7" t="str" cm="1">
        <f t="array" ref="M459">INDEX(Changed!$M:$M,ROW())&amp;IF(Changed!$M459&gt;Base!$M459,"↑",IF(Changed!$M459&lt;Base!$M459," ↓",""))</f>
        <v>60</v>
      </c>
      <c r="N459" s="19">
        <f>Changed!G459-Base!G459</f>
        <v>0</v>
      </c>
    </row>
    <row r="460" spans="1:14" ht="15.75" customHeight="1" x14ac:dyDescent="0.2">
      <c r="A460" s="4">
        <v>459</v>
      </c>
      <c r="B460" s="5" t="s">
        <v>457</v>
      </c>
      <c r="C460" s="6" t="str">
        <f>IF(Changed!C460&lt;&gt;"", Changed!C460, "")</f>
        <v>Water</v>
      </c>
      <c r="D460" s="6" t="str">
        <f>IF(Changed!D460&lt;&gt;"", Changed!D460, "")</f>
        <v/>
      </c>
      <c r="E460" s="6" t="str">
        <f>IF(Changed!E460&lt;&gt;"", Changed!E460, "")</f>
        <v>Sticky Hold</v>
      </c>
      <c r="F460" s="6" t="str">
        <f>IF(Changed!F460&lt;&gt;"", Changed!F460, "")</f>
        <v>Storm Drain</v>
      </c>
      <c r="G460" s="7" t="str" cm="1">
        <f t="array" ref="G460">INDEX(Changed!$G:$G,ROW())&amp;IF(Changed!$G460&gt;Base!$G460,"↑",IF(Changed!$G460&lt;Base!$G460," ↓",""))</f>
        <v>325</v>
      </c>
      <c r="H460" s="7" t="str" cm="1">
        <f t="array" ref="H460">INDEX(Changed!$H:$H,ROW())&amp;IF(Changed!$H460&gt;Base!$H460,"↑",IF(Changed!$H460&lt;Base!$H460," ↓",""))</f>
        <v>76</v>
      </c>
      <c r="I460" s="7" t="str" cm="1">
        <f t="array" ref="I460">INDEX(Changed!$I:$I,ROW())&amp;IF(Changed!$I460&gt;Base!$I460,"↑",IF(Changed!$I460&lt;Base!$I460," ↓",""))</f>
        <v>48</v>
      </c>
      <c r="J460" s="7" t="str" cm="1">
        <f t="array" ref="J460">INDEX(Changed!$J:$J,ROW())&amp;IF(Changed!$J460&gt;Base!$J460,"↑",IF(Changed!$J460&lt;Base!$J460," ↓",""))</f>
        <v>48</v>
      </c>
      <c r="K460" s="7" t="str" cm="1">
        <f t="array" ref="K460">INDEX(Changed!$K:$K,ROW())&amp;IF(Changed!$K460&gt;Base!$K460,"↑",IF(Changed!$K460&lt;Base!$K460," ↓",""))</f>
        <v>57</v>
      </c>
      <c r="L460" s="7" t="str" cm="1">
        <f t="array" ref="L460">INDEX(Changed!$L:$L,ROW())&amp;IF(Changed!$L460&gt;Base!$L460,"↑",IF(Changed!$L460&lt;Base!$L460," ↓",""))</f>
        <v>62</v>
      </c>
      <c r="M460" s="7" t="str" cm="1">
        <f t="array" ref="M460">INDEX(Changed!$M:$M,ROW())&amp;IF(Changed!$M460&gt;Base!$M460,"↑",IF(Changed!$M460&lt;Base!$M460," ↓",""))</f>
        <v>34</v>
      </c>
      <c r="N460" s="19">
        <f>Changed!G460-Base!G460</f>
        <v>0</v>
      </c>
    </row>
    <row r="461" spans="1:14" ht="15.75" customHeight="1" x14ac:dyDescent="0.2">
      <c r="A461" s="4">
        <v>460</v>
      </c>
      <c r="B461" s="5" t="s">
        <v>458</v>
      </c>
      <c r="C461" s="6" t="str">
        <f>IF(Changed!C461&lt;&gt;"", Changed!C461, "")</f>
        <v>Water</v>
      </c>
      <c r="D461" s="6" t="str">
        <f>IF(Changed!D461&lt;&gt;"", Changed!D461, "")</f>
        <v>Ground</v>
      </c>
      <c r="E461" s="6" t="str">
        <f>IF(Changed!E461&lt;&gt;"", Changed!E461, "")</f>
        <v>Sticky Hold</v>
      </c>
      <c r="F461" s="6" t="str">
        <f>IF(Changed!F461&lt;&gt;"", Changed!F461, "")</f>
        <v>Storm Drain</v>
      </c>
      <c r="G461" s="7" t="str" cm="1">
        <f t="array" ref="G461">INDEX(Changed!$G:$G,ROW())&amp;IF(Changed!$G461&gt;Base!$G461,"↑",IF(Changed!$G461&lt;Base!$G461," ↓",""))</f>
        <v>475</v>
      </c>
      <c r="H461" s="7" t="str" cm="1">
        <f t="array" ref="H461">INDEX(Changed!$H:$H,ROW())&amp;IF(Changed!$H461&gt;Base!$H461,"↑",IF(Changed!$H461&lt;Base!$H461," ↓",""))</f>
        <v>111</v>
      </c>
      <c r="I461" s="7" t="str" cm="1">
        <f t="array" ref="I461">INDEX(Changed!$I:$I,ROW())&amp;IF(Changed!$I461&gt;Base!$I461,"↑",IF(Changed!$I461&lt;Base!$I461," ↓",""))</f>
        <v>60 ↓</v>
      </c>
      <c r="J461" s="7" t="str" cm="1">
        <f t="array" ref="J461">INDEX(Changed!$J:$J,ROW())&amp;IF(Changed!$J461&gt;Base!$J461,"↑",IF(Changed!$J461&lt;Base!$J461," ↓",""))</f>
        <v>68</v>
      </c>
      <c r="K461" s="7" t="str" cm="1">
        <f t="array" ref="K461">INDEX(Changed!$K:$K,ROW())&amp;IF(Changed!$K461&gt;Base!$K461,"↑",IF(Changed!$K461&lt;Base!$K461," ↓",""))</f>
        <v>92</v>
      </c>
      <c r="L461" s="7" t="str" cm="1">
        <f t="array" ref="L461">INDEX(Changed!$L:$L,ROW())&amp;IF(Changed!$L461&gt;Base!$L461,"↑",IF(Changed!$L461&lt;Base!$L461," ↓",""))</f>
        <v>105↑</v>
      </c>
      <c r="M461" s="7" t="str" cm="1">
        <f t="array" ref="M461">INDEX(Changed!$M:$M,ROW())&amp;IF(Changed!$M461&gt;Base!$M461,"↑",IF(Changed!$M461&lt;Base!$M461," ↓",""))</f>
        <v>39</v>
      </c>
      <c r="N461" s="19">
        <f>Changed!G461-Base!G461</f>
        <v>0</v>
      </c>
    </row>
    <row r="462" spans="1:14" ht="15.75" customHeight="1" x14ac:dyDescent="0.2">
      <c r="A462" s="4">
        <v>461</v>
      </c>
      <c r="B462" s="5" t="s">
        <v>460</v>
      </c>
      <c r="C462" s="6" t="str">
        <f>IF(Changed!C462&lt;&gt;"", Changed!C462, "")</f>
        <v>Ghost</v>
      </c>
      <c r="D462" s="6" t="str">
        <f>IF(Changed!D462&lt;&gt;"", Changed!D462, "")</f>
        <v>Flying</v>
      </c>
      <c r="E462" s="6" t="str">
        <f>IF(Changed!E462&lt;&gt;"", Changed!E462, "")</f>
        <v>Aftermath</v>
      </c>
      <c r="F462" s="6" t="str">
        <f>IF(Changed!F462&lt;&gt;"", Changed!F462, "")</f>
        <v>Unburden</v>
      </c>
      <c r="G462" s="7" t="str" cm="1">
        <f t="array" ref="G462">INDEX(Changed!$G:$G,ROW())&amp;IF(Changed!$G462&gt;Base!$G462,"↑",IF(Changed!$G462&lt;Base!$G462," ↓",""))</f>
        <v>348</v>
      </c>
      <c r="H462" s="7" t="str" cm="1">
        <f t="array" ref="H462">INDEX(Changed!$H:$H,ROW())&amp;IF(Changed!$H462&gt;Base!$H462,"↑",IF(Changed!$H462&lt;Base!$H462," ↓",""))</f>
        <v>90</v>
      </c>
      <c r="I462" s="7" t="str" cm="1">
        <f t="array" ref="I462">INDEX(Changed!$I:$I,ROW())&amp;IF(Changed!$I462&gt;Base!$I462,"↑",IF(Changed!$I462&lt;Base!$I462," ↓",""))</f>
        <v>50</v>
      </c>
      <c r="J462" s="7" t="str" cm="1">
        <f t="array" ref="J462">INDEX(Changed!$J:$J,ROW())&amp;IF(Changed!$J462&gt;Base!$J462,"↑",IF(Changed!$J462&lt;Base!$J462," ↓",""))</f>
        <v>34</v>
      </c>
      <c r="K462" s="7" t="str" cm="1">
        <f t="array" ref="K462">INDEX(Changed!$K:$K,ROW())&amp;IF(Changed!$K462&gt;Base!$K462,"↑",IF(Changed!$K462&lt;Base!$K462," ↓",""))</f>
        <v>60</v>
      </c>
      <c r="L462" s="7" t="str" cm="1">
        <f t="array" ref="L462">INDEX(Changed!$L:$L,ROW())&amp;IF(Changed!$L462&gt;Base!$L462,"↑",IF(Changed!$L462&lt;Base!$L462," ↓",""))</f>
        <v>44</v>
      </c>
      <c r="M462" s="7" t="str" cm="1">
        <f t="array" ref="M462">INDEX(Changed!$M:$M,ROW())&amp;IF(Changed!$M462&gt;Base!$M462,"↑",IF(Changed!$M462&lt;Base!$M462," ↓",""))</f>
        <v>70</v>
      </c>
      <c r="N462" s="19">
        <f>Changed!G462-Base!G462</f>
        <v>0</v>
      </c>
    </row>
    <row r="463" spans="1:14" ht="15.75" customHeight="1" x14ac:dyDescent="0.2">
      <c r="A463" s="4">
        <v>462</v>
      </c>
      <c r="B463" s="5" t="s">
        <v>461</v>
      </c>
      <c r="C463" s="6" t="str">
        <f>IF(Changed!C463&lt;&gt;"", Changed!C463, "")</f>
        <v>Ghost</v>
      </c>
      <c r="D463" s="6" t="str">
        <f>IF(Changed!D463&lt;&gt;"", Changed!D463, "")</f>
        <v>Flying</v>
      </c>
      <c r="E463" s="6" t="str">
        <f>IF(Changed!E463&lt;&gt;"", Changed!E463, "")</f>
        <v>Aftermath</v>
      </c>
      <c r="F463" s="6" t="str">
        <f>IF(Changed!F463&lt;&gt;"", Changed!F463, "")</f>
        <v>Unburden</v>
      </c>
      <c r="G463" s="7" t="str" cm="1">
        <f t="array" ref="G463">INDEX(Changed!$G:$G,ROW())&amp;IF(Changed!$G463&gt;Base!$G463,"↑",IF(Changed!$G463&lt;Base!$G463," ↓",""))</f>
        <v>498</v>
      </c>
      <c r="H463" s="7" t="str" cm="1">
        <f t="array" ref="H463">INDEX(Changed!$H:$H,ROW())&amp;IF(Changed!$H463&gt;Base!$H463,"↑",IF(Changed!$H463&lt;Base!$H463," ↓",""))</f>
        <v>150</v>
      </c>
      <c r="I463" s="7" t="str" cm="1">
        <f t="array" ref="I463">INDEX(Changed!$I:$I,ROW())&amp;IF(Changed!$I463&gt;Base!$I463,"↑",IF(Changed!$I463&lt;Base!$I463," ↓",""))</f>
        <v>80</v>
      </c>
      <c r="J463" s="7" t="str" cm="1">
        <f t="array" ref="J463">INDEX(Changed!$J:$J,ROW())&amp;IF(Changed!$J463&gt;Base!$J463,"↑",IF(Changed!$J463&lt;Base!$J463," ↓",""))</f>
        <v>44</v>
      </c>
      <c r="K463" s="7" t="str" cm="1">
        <f t="array" ref="K463">INDEX(Changed!$K:$K,ROW())&amp;IF(Changed!$K463&gt;Base!$K463,"↑",IF(Changed!$K463&lt;Base!$K463," ↓",""))</f>
        <v>90</v>
      </c>
      <c r="L463" s="7" t="str" cm="1">
        <f t="array" ref="L463">INDEX(Changed!$L:$L,ROW())&amp;IF(Changed!$L463&gt;Base!$L463,"↑",IF(Changed!$L463&lt;Base!$L463," ↓",""))</f>
        <v>54</v>
      </c>
      <c r="M463" s="7" t="str" cm="1">
        <f t="array" ref="M463">INDEX(Changed!$M:$M,ROW())&amp;IF(Changed!$M463&gt;Base!$M463,"↑",IF(Changed!$M463&lt;Base!$M463," ↓",""))</f>
        <v>80</v>
      </c>
      <c r="N463" s="19">
        <f>Changed!G463-Base!G463</f>
        <v>0</v>
      </c>
    </row>
    <row r="464" spans="1:14" ht="15.75" customHeight="1" x14ac:dyDescent="0.2">
      <c r="A464" s="4">
        <v>463</v>
      </c>
      <c r="B464" s="5" t="s">
        <v>462</v>
      </c>
      <c r="C464" s="6" t="str">
        <f>IF(Changed!C464&lt;&gt;"", Changed!C464, "")</f>
        <v>Normal</v>
      </c>
      <c r="D464" s="6" t="str">
        <f>IF(Changed!D464&lt;&gt;"", Changed!D464, "")</f>
        <v/>
      </c>
      <c r="E464" s="6" t="str">
        <f>IF(Changed!E464&lt;&gt;"", Changed!E464, "")</f>
        <v>Run Away</v>
      </c>
      <c r="F464" s="6" t="str">
        <f>IF(Changed!F464&lt;&gt;"", Changed!F464, "")</f>
        <v>Klutz</v>
      </c>
      <c r="G464" s="7" t="str" cm="1">
        <f t="array" ref="G464">INDEX(Changed!$G:$G,ROW())&amp;IF(Changed!$G464&gt;Base!$G464,"↑",IF(Changed!$G464&lt;Base!$G464," ↓",""))</f>
        <v>350</v>
      </c>
      <c r="H464" s="7" t="str" cm="1">
        <f t="array" ref="H464">INDEX(Changed!$H:$H,ROW())&amp;IF(Changed!$H464&gt;Base!$H464,"↑",IF(Changed!$H464&lt;Base!$H464," ↓",""))</f>
        <v>55</v>
      </c>
      <c r="I464" s="7" t="str" cm="1">
        <f t="array" ref="I464">INDEX(Changed!$I:$I,ROW())&amp;IF(Changed!$I464&gt;Base!$I464,"↑",IF(Changed!$I464&lt;Base!$I464," ↓",""))</f>
        <v>66</v>
      </c>
      <c r="J464" s="7" t="str" cm="1">
        <f t="array" ref="J464">INDEX(Changed!$J:$J,ROW())&amp;IF(Changed!$J464&gt;Base!$J464,"↑",IF(Changed!$J464&lt;Base!$J464," ↓",""))</f>
        <v>44</v>
      </c>
      <c r="K464" s="7" t="str" cm="1">
        <f t="array" ref="K464">INDEX(Changed!$K:$K,ROW())&amp;IF(Changed!$K464&gt;Base!$K464,"↑",IF(Changed!$K464&lt;Base!$K464," ↓",""))</f>
        <v>44</v>
      </c>
      <c r="L464" s="7" t="str" cm="1">
        <f t="array" ref="L464">INDEX(Changed!$L:$L,ROW())&amp;IF(Changed!$L464&gt;Base!$L464,"↑",IF(Changed!$L464&lt;Base!$L464," ↓",""))</f>
        <v>56</v>
      </c>
      <c r="M464" s="7" t="str" cm="1">
        <f t="array" ref="M464">INDEX(Changed!$M:$M,ROW())&amp;IF(Changed!$M464&gt;Base!$M464,"↑",IF(Changed!$M464&lt;Base!$M464," ↓",""))</f>
        <v>85</v>
      </c>
      <c r="N464" s="19">
        <f>Changed!G464-Base!G464</f>
        <v>0</v>
      </c>
    </row>
    <row r="465" spans="1:14" ht="15.75" customHeight="1" x14ac:dyDescent="0.2">
      <c r="A465" s="4">
        <v>464</v>
      </c>
      <c r="B465" s="5" t="s">
        <v>463</v>
      </c>
      <c r="C465" s="6" t="str">
        <f>IF(Changed!C465&lt;&gt;"", Changed!C465, "")</f>
        <v>Normal</v>
      </c>
      <c r="D465" s="6" t="str">
        <f>IF(Changed!D465&lt;&gt;"", Changed!D465, "")</f>
        <v>Fighting</v>
      </c>
      <c r="E465" s="6" t="str">
        <f>IF(Changed!E465&lt;&gt;"", Changed!E465, "")</f>
        <v>Cute Charm</v>
      </c>
      <c r="F465" s="6" t="str">
        <f>IF(Changed!F465&lt;&gt;"", Changed!F465, "")</f>
        <v>Klutz</v>
      </c>
      <c r="G465" s="7" t="str" cm="1">
        <f t="array" ref="G465">INDEX(Changed!$G:$G,ROW())&amp;IF(Changed!$G465&gt;Base!$G465,"↑",IF(Changed!$G465&lt;Base!$G465," ↓",""))</f>
        <v>480</v>
      </c>
      <c r="H465" s="7" t="str" cm="1">
        <f t="array" ref="H465">INDEX(Changed!$H:$H,ROW())&amp;IF(Changed!$H465&gt;Base!$H465,"↑",IF(Changed!$H465&lt;Base!$H465," ↓",""))</f>
        <v>65</v>
      </c>
      <c r="I465" s="7" t="str" cm="1">
        <f t="array" ref="I465">INDEX(Changed!$I:$I,ROW())&amp;IF(Changed!$I465&gt;Base!$I465,"↑",IF(Changed!$I465&lt;Base!$I465," ↓",""))</f>
        <v>76</v>
      </c>
      <c r="J465" s="7" t="str" cm="1">
        <f t="array" ref="J465">INDEX(Changed!$J:$J,ROW())&amp;IF(Changed!$J465&gt;Base!$J465,"↑",IF(Changed!$J465&lt;Base!$J465," ↓",""))</f>
        <v>84</v>
      </c>
      <c r="K465" s="7" t="str" cm="1">
        <f t="array" ref="K465">INDEX(Changed!$K:$K,ROW())&amp;IF(Changed!$K465&gt;Base!$K465,"↑",IF(Changed!$K465&lt;Base!$K465," ↓",""))</f>
        <v>54</v>
      </c>
      <c r="L465" s="7" t="str" cm="1">
        <f t="array" ref="L465">INDEX(Changed!$L:$L,ROW())&amp;IF(Changed!$L465&gt;Base!$L465,"↑",IF(Changed!$L465&lt;Base!$L465," ↓",""))</f>
        <v>96</v>
      </c>
      <c r="M465" s="7" t="str" cm="1">
        <f t="array" ref="M465">INDEX(Changed!$M:$M,ROW())&amp;IF(Changed!$M465&gt;Base!$M465,"↑",IF(Changed!$M465&lt;Base!$M465," ↓",""))</f>
        <v>105</v>
      </c>
      <c r="N465" s="19">
        <f>Changed!G465-Base!G465</f>
        <v>0</v>
      </c>
    </row>
    <row r="466" spans="1:14" ht="15.75" customHeight="1" x14ac:dyDescent="0.2">
      <c r="A466" s="4">
        <v>465</v>
      </c>
      <c r="B466" s="5" t="s">
        <v>466</v>
      </c>
      <c r="C466" s="6" t="str">
        <f>IF(Changed!C466&lt;&gt;"", Changed!C466, "")</f>
        <v>Normal</v>
      </c>
      <c r="D466" s="6" t="str">
        <f>IF(Changed!D466&lt;&gt;"", Changed!D466, "")</f>
        <v/>
      </c>
      <c r="E466" s="6" t="str">
        <f>IF(Changed!E466&lt;&gt;"", Changed!E466, "")</f>
        <v>Limber</v>
      </c>
      <c r="F466" s="6" t="str">
        <f>IF(Changed!F466&lt;&gt;"", Changed!F466, "")</f>
        <v>Own Tempo</v>
      </c>
      <c r="G466" s="7" t="str" cm="1">
        <f t="array" ref="G466">INDEX(Changed!$G:$G,ROW())&amp;IF(Changed!$G466&gt;Base!$G466,"↑",IF(Changed!$G466&lt;Base!$G466," ↓",""))</f>
        <v>310</v>
      </c>
      <c r="H466" s="7" t="str" cm="1">
        <f t="array" ref="H466">INDEX(Changed!$H:$H,ROW())&amp;IF(Changed!$H466&gt;Base!$H466,"↑",IF(Changed!$H466&lt;Base!$H466," ↓",""))</f>
        <v>49</v>
      </c>
      <c r="I466" s="7" t="str" cm="1">
        <f t="array" ref="I466">INDEX(Changed!$I:$I,ROW())&amp;IF(Changed!$I466&gt;Base!$I466,"↑",IF(Changed!$I466&lt;Base!$I466," ↓",""))</f>
        <v>55</v>
      </c>
      <c r="J466" s="7" t="str" cm="1">
        <f t="array" ref="J466">INDEX(Changed!$J:$J,ROW())&amp;IF(Changed!$J466&gt;Base!$J466,"↑",IF(Changed!$J466&lt;Base!$J466," ↓",""))</f>
        <v>42</v>
      </c>
      <c r="K466" s="7" t="str" cm="1">
        <f t="array" ref="K466">INDEX(Changed!$K:$K,ROW())&amp;IF(Changed!$K466&gt;Base!$K466,"↑",IF(Changed!$K466&lt;Base!$K466," ↓",""))</f>
        <v>42</v>
      </c>
      <c r="L466" s="7" t="str" cm="1">
        <f t="array" ref="L466">INDEX(Changed!$L:$L,ROW())&amp;IF(Changed!$L466&gt;Base!$L466,"↑",IF(Changed!$L466&lt;Base!$L466," ↓",""))</f>
        <v>37</v>
      </c>
      <c r="M466" s="7" t="str" cm="1">
        <f t="array" ref="M466">INDEX(Changed!$M:$M,ROW())&amp;IF(Changed!$M466&gt;Base!$M466,"↑",IF(Changed!$M466&lt;Base!$M466," ↓",""))</f>
        <v>85</v>
      </c>
      <c r="N466" s="19">
        <f>Changed!G466-Base!G466</f>
        <v>0</v>
      </c>
    </row>
    <row r="467" spans="1:14" ht="15.75" customHeight="1" x14ac:dyDescent="0.2">
      <c r="A467" s="4">
        <v>466</v>
      </c>
      <c r="B467" s="5" t="s">
        <v>467</v>
      </c>
      <c r="C467" s="6" t="str">
        <f>IF(Changed!C467&lt;&gt;"", Changed!C467, "")</f>
        <v>Normal</v>
      </c>
      <c r="D467" s="6" t="str">
        <f>IF(Changed!D467&lt;&gt;"", Changed!D467, "")</f>
        <v/>
      </c>
      <c r="E467" s="6" t="str">
        <f>IF(Changed!E467&lt;&gt;"", Changed!E467, "")</f>
        <v>Thick Fat</v>
      </c>
      <c r="F467" s="6" t="str">
        <f>IF(Changed!F467&lt;&gt;"", Changed!F467, "")</f>
        <v>Own Tempo</v>
      </c>
      <c r="G467" s="7" t="str" cm="1">
        <f t="array" ref="G467">INDEX(Changed!$G:$G,ROW())&amp;IF(Changed!$G467&gt;Base!$G467,"↑",IF(Changed!$G467&lt;Base!$G467," ↓",""))</f>
        <v>452</v>
      </c>
      <c r="H467" s="7" t="str" cm="1">
        <f t="array" ref="H467">INDEX(Changed!$H:$H,ROW())&amp;IF(Changed!$H467&gt;Base!$H467,"↑",IF(Changed!$H467&lt;Base!$H467," ↓",""))</f>
        <v>71</v>
      </c>
      <c r="I467" s="7" t="str" cm="1">
        <f t="array" ref="I467">INDEX(Changed!$I:$I,ROW())&amp;IF(Changed!$I467&gt;Base!$I467,"↑",IF(Changed!$I467&lt;Base!$I467," ↓",""))</f>
        <v>82</v>
      </c>
      <c r="J467" s="7" t="str" cm="1">
        <f t="array" ref="J467">INDEX(Changed!$J:$J,ROW())&amp;IF(Changed!$J467&gt;Base!$J467,"↑",IF(Changed!$J467&lt;Base!$J467," ↓",""))</f>
        <v>64</v>
      </c>
      <c r="K467" s="7" t="str" cm="1">
        <f t="array" ref="K467">INDEX(Changed!$K:$K,ROW())&amp;IF(Changed!$K467&gt;Base!$K467,"↑",IF(Changed!$K467&lt;Base!$K467," ↓",""))</f>
        <v>64</v>
      </c>
      <c r="L467" s="7" t="str" cm="1">
        <f t="array" ref="L467">INDEX(Changed!$L:$L,ROW())&amp;IF(Changed!$L467&gt;Base!$L467,"↑",IF(Changed!$L467&lt;Base!$L467," ↓",""))</f>
        <v>59</v>
      </c>
      <c r="M467" s="7" t="str" cm="1">
        <f t="array" ref="M467">INDEX(Changed!$M:$M,ROW())&amp;IF(Changed!$M467&gt;Base!$M467,"↑",IF(Changed!$M467&lt;Base!$M467," ↓",""))</f>
        <v>112</v>
      </c>
      <c r="N467" s="19">
        <f>Changed!G467-Base!G467</f>
        <v>0</v>
      </c>
    </row>
    <row r="468" spans="1:14" ht="15.75" customHeight="1" x14ac:dyDescent="0.2">
      <c r="A468" s="4">
        <v>467</v>
      </c>
      <c r="B468" s="5" t="s">
        <v>469</v>
      </c>
      <c r="C468" s="6" t="str">
        <f>IF(Changed!C468&lt;&gt;"", Changed!C468, "")</f>
        <v>Poison</v>
      </c>
      <c r="D468" s="6" t="str">
        <f>IF(Changed!D468&lt;&gt;"", Changed!D468, "")</f>
        <v>Dark</v>
      </c>
      <c r="E468" s="6" t="str">
        <f>IF(Changed!E468&lt;&gt;"", Changed!E468, "")</f>
        <v>Stench</v>
      </c>
      <c r="F468" s="6" t="str">
        <f>IF(Changed!F468&lt;&gt;"", Changed!F468, "")</f>
        <v>Aftermath</v>
      </c>
      <c r="G468" s="7" t="str" cm="1">
        <f t="array" ref="G468">INDEX(Changed!$G:$G,ROW())&amp;IF(Changed!$G468&gt;Base!$G468,"↑",IF(Changed!$G468&lt;Base!$G468," ↓",""))</f>
        <v>329</v>
      </c>
      <c r="H468" s="7" t="str" cm="1">
        <f t="array" ref="H468">INDEX(Changed!$H:$H,ROW())&amp;IF(Changed!$H468&gt;Base!$H468,"↑",IF(Changed!$H468&lt;Base!$H468," ↓",""))</f>
        <v>63</v>
      </c>
      <c r="I468" s="7" t="str" cm="1">
        <f t="array" ref="I468">INDEX(Changed!$I:$I,ROW())&amp;IF(Changed!$I468&gt;Base!$I468,"↑",IF(Changed!$I468&lt;Base!$I468," ↓",""))</f>
        <v>63</v>
      </c>
      <c r="J468" s="7" t="str" cm="1">
        <f t="array" ref="J468">INDEX(Changed!$J:$J,ROW())&amp;IF(Changed!$J468&gt;Base!$J468,"↑",IF(Changed!$J468&lt;Base!$J468," ↓",""))</f>
        <v>47</v>
      </c>
      <c r="K468" s="7" t="str" cm="1">
        <f t="array" ref="K468">INDEX(Changed!$K:$K,ROW())&amp;IF(Changed!$K468&gt;Base!$K468,"↑",IF(Changed!$K468&lt;Base!$K468," ↓",""))</f>
        <v>41</v>
      </c>
      <c r="L468" s="7" t="str" cm="1">
        <f t="array" ref="L468">INDEX(Changed!$L:$L,ROW())&amp;IF(Changed!$L468&gt;Base!$L468,"↑",IF(Changed!$L468&lt;Base!$L468," ↓",""))</f>
        <v>41</v>
      </c>
      <c r="M468" s="7" t="str" cm="1">
        <f t="array" ref="M468">INDEX(Changed!$M:$M,ROW())&amp;IF(Changed!$M468&gt;Base!$M468,"↑",IF(Changed!$M468&lt;Base!$M468," ↓",""))</f>
        <v>74</v>
      </c>
      <c r="N468" s="19">
        <f>Changed!G468-Base!G468</f>
        <v>0</v>
      </c>
    </row>
    <row r="469" spans="1:14" ht="15.75" customHeight="1" x14ac:dyDescent="0.2">
      <c r="A469" s="4">
        <v>468</v>
      </c>
      <c r="B469" s="5" t="s">
        <v>470</v>
      </c>
      <c r="C469" s="6" t="str">
        <f>IF(Changed!C469&lt;&gt;"", Changed!C469, "")</f>
        <v>Poison</v>
      </c>
      <c r="D469" s="6" t="str">
        <f>IF(Changed!D469&lt;&gt;"", Changed!D469, "")</f>
        <v>Dark</v>
      </c>
      <c r="E469" s="6" t="str">
        <f>IF(Changed!E469&lt;&gt;"", Changed!E469, "")</f>
        <v>Stench</v>
      </c>
      <c r="F469" s="6" t="str">
        <f>IF(Changed!F469&lt;&gt;"", Changed!F469, "")</f>
        <v>Aftermath</v>
      </c>
      <c r="G469" s="7" t="str" cm="1">
        <f t="array" ref="G469">INDEX(Changed!$G:$G,ROW())&amp;IF(Changed!$G469&gt;Base!$G469,"↑",IF(Changed!$G469&lt;Base!$G469," ↓",""))</f>
        <v>479</v>
      </c>
      <c r="H469" s="7" t="str" cm="1">
        <f t="array" ref="H469">INDEX(Changed!$H:$H,ROW())&amp;IF(Changed!$H469&gt;Base!$H469,"↑",IF(Changed!$H469&lt;Base!$H469," ↓",""))</f>
        <v>103</v>
      </c>
      <c r="I469" s="7" t="str" cm="1">
        <f t="array" ref="I469">INDEX(Changed!$I:$I,ROW())&amp;IF(Changed!$I469&gt;Base!$I469,"↑",IF(Changed!$I469&lt;Base!$I469," ↓",""))</f>
        <v>93</v>
      </c>
      <c r="J469" s="7" t="str" cm="1">
        <f t="array" ref="J469">INDEX(Changed!$J:$J,ROW())&amp;IF(Changed!$J469&gt;Base!$J469,"↑",IF(Changed!$J469&lt;Base!$J469," ↓",""))</f>
        <v>67</v>
      </c>
      <c r="K469" s="7" t="str" cm="1">
        <f t="array" ref="K469">INDEX(Changed!$K:$K,ROW())&amp;IF(Changed!$K469&gt;Base!$K469,"↑",IF(Changed!$K469&lt;Base!$K469," ↓",""))</f>
        <v>71</v>
      </c>
      <c r="L469" s="7" t="str" cm="1">
        <f t="array" ref="L469">INDEX(Changed!$L:$L,ROW())&amp;IF(Changed!$L469&gt;Base!$L469,"↑",IF(Changed!$L469&lt;Base!$L469," ↓",""))</f>
        <v>61</v>
      </c>
      <c r="M469" s="7" t="str" cm="1">
        <f t="array" ref="M469">INDEX(Changed!$M:$M,ROW())&amp;IF(Changed!$M469&gt;Base!$M469,"↑",IF(Changed!$M469&lt;Base!$M469," ↓",""))</f>
        <v>84</v>
      </c>
      <c r="N469" s="19">
        <f>Changed!G469-Base!G469</f>
        <v>0</v>
      </c>
    </row>
    <row r="470" spans="1:14" ht="15.75" customHeight="1" x14ac:dyDescent="0.2">
      <c r="A470" s="4">
        <v>469</v>
      </c>
      <c r="B470" s="5" t="s">
        <v>471</v>
      </c>
      <c r="C470" s="6" t="str">
        <f>IF(Changed!C470&lt;&gt;"", Changed!C470, "")</f>
        <v>Steel</v>
      </c>
      <c r="D470" s="6" t="str">
        <f>IF(Changed!D470&lt;&gt;"", Changed!D470, "")</f>
        <v>Psychic</v>
      </c>
      <c r="E470" s="6" t="str">
        <f>IF(Changed!E470&lt;&gt;"", Changed!E470, "")</f>
        <v>Levitate</v>
      </c>
      <c r="F470" s="6" t="str">
        <f>IF(Changed!F470&lt;&gt;"", Changed!F470, "")</f>
        <v>Heatproof</v>
      </c>
      <c r="G470" s="7" t="str" cm="1">
        <f t="array" ref="G470">INDEX(Changed!$G:$G,ROW())&amp;IF(Changed!$G470&gt;Base!$G470,"↑",IF(Changed!$G470&lt;Base!$G470," ↓",""))</f>
        <v>300</v>
      </c>
      <c r="H470" s="7" t="str" cm="1">
        <f t="array" ref="H470">INDEX(Changed!$H:$H,ROW())&amp;IF(Changed!$H470&gt;Base!$H470,"↑",IF(Changed!$H470&lt;Base!$H470," ↓",""))</f>
        <v>57</v>
      </c>
      <c r="I470" s="7" t="str" cm="1">
        <f t="array" ref="I470">INDEX(Changed!$I:$I,ROW())&amp;IF(Changed!$I470&gt;Base!$I470,"↑",IF(Changed!$I470&lt;Base!$I470," ↓",""))</f>
        <v>24</v>
      </c>
      <c r="J470" s="7" t="str" cm="1">
        <f t="array" ref="J470">INDEX(Changed!$J:$J,ROW())&amp;IF(Changed!$J470&gt;Base!$J470,"↑",IF(Changed!$J470&lt;Base!$J470," ↓",""))</f>
        <v>86</v>
      </c>
      <c r="K470" s="7" t="str" cm="1">
        <f t="array" ref="K470">INDEX(Changed!$K:$K,ROW())&amp;IF(Changed!$K470&gt;Base!$K470,"↑",IF(Changed!$K470&lt;Base!$K470," ↓",""))</f>
        <v>24</v>
      </c>
      <c r="L470" s="7" t="str" cm="1">
        <f t="array" ref="L470">INDEX(Changed!$L:$L,ROW())&amp;IF(Changed!$L470&gt;Base!$L470,"↑",IF(Changed!$L470&lt;Base!$L470," ↓",""))</f>
        <v>86</v>
      </c>
      <c r="M470" s="7" t="str" cm="1">
        <f t="array" ref="M470">INDEX(Changed!$M:$M,ROW())&amp;IF(Changed!$M470&gt;Base!$M470,"↑",IF(Changed!$M470&lt;Base!$M470," ↓",""))</f>
        <v>23</v>
      </c>
      <c r="N470" s="19">
        <f>Changed!G470-Base!G470</f>
        <v>0</v>
      </c>
    </row>
    <row r="471" spans="1:14" ht="15.75" customHeight="1" x14ac:dyDescent="0.2">
      <c r="A471" s="4">
        <v>470</v>
      </c>
      <c r="B471" s="5" t="s">
        <v>472</v>
      </c>
      <c r="C471" s="6" t="str">
        <f>IF(Changed!C471&lt;&gt;"", Changed!C471, "")</f>
        <v>Steel</v>
      </c>
      <c r="D471" s="6" t="str">
        <f>IF(Changed!D471&lt;&gt;"", Changed!D471, "")</f>
        <v>Psychic</v>
      </c>
      <c r="E471" s="6" t="str">
        <f>IF(Changed!E471&lt;&gt;"", Changed!E471, "")</f>
        <v>Levitate</v>
      </c>
      <c r="F471" s="6" t="str">
        <f>IF(Changed!F471&lt;&gt;"", Changed!F471, "")</f>
        <v>Heatproof</v>
      </c>
      <c r="G471" s="7" t="str" cm="1">
        <f t="array" ref="G471">INDEX(Changed!$G:$G,ROW())&amp;IF(Changed!$G471&gt;Base!$G471,"↑",IF(Changed!$G471&lt;Base!$G471," ↓",""))</f>
        <v>500</v>
      </c>
      <c r="H471" s="7" t="str" cm="1">
        <f t="array" ref="H471">INDEX(Changed!$H:$H,ROW())&amp;IF(Changed!$H471&gt;Base!$H471,"↑",IF(Changed!$H471&lt;Base!$H471," ↓",""))</f>
        <v>67</v>
      </c>
      <c r="I471" s="7" t="str" cm="1">
        <f t="array" ref="I471">INDEX(Changed!$I:$I,ROW())&amp;IF(Changed!$I471&gt;Base!$I471,"↑",IF(Changed!$I471&lt;Base!$I471," ↓",""))</f>
        <v>89</v>
      </c>
      <c r="J471" s="7" t="str" cm="1">
        <f t="array" ref="J471">INDEX(Changed!$J:$J,ROW())&amp;IF(Changed!$J471&gt;Base!$J471,"↑",IF(Changed!$J471&lt;Base!$J471," ↓",""))</f>
        <v>116</v>
      </c>
      <c r="K471" s="7" t="str" cm="1">
        <f t="array" ref="K471">INDEX(Changed!$K:$K,ROW())&amp;IF(Changed!$K471&gt;Base!$K471,"↑",IF(Changed!$K471&lt;Base!$K471," ↓",""))</f>
        <v>79</v>
      </c>
      <c r="L471" s="7" t="str" cm="1">
        <f t="array" ref="L471">INDEX(Changed!$L:$L,ROW())&amp;IF(Changed!$L471&gt;Base!$L471,"↑",IF(Changed!$L471&lt;Base!$L471," ↓",""))</f>
        <v>116</v>
      </c>
      <c r="M471" s="7" t="str" cm="1">
        <f t="array" ref="M471">INDEX(Changed!$M:$M,ROW())&amp;IF(Changed!$M471&gt;Base!$M471,"↑",IF(Changed!$M471&lt;Base!$M471," ↓",""))</f>
        <v>33</v>
      </c>
      <c r="N471" s="19">
        <f>Changed!G471-Base!G471</f>
        <v>0</v>
      </c>
    </row>
    <row r="472" spans="1:14" ht="15.75" customHeight="1" x14ac:dyDescent="0.2">
      <c r="A472" s="4">
        <v>471</v>
      </c>
      <c r="B472" s="5" t="s">
        <v>476</v>
      </c>
      <c r="C472" s="6" t="str">
        <f>IF(Changed!C472&lt;&gt;"", Changed!C472, "")</f>
        <v>Normal</v>
      </c>
      <c r="D472" s="6" t="str">
        <f>IF(Changed!D472&lt;&gt;"", Changed!D472, "")</f>
        <v>Flying</v>
      </c>
      <c r="E472" s="6" t="str">
        <f>IF(Changed!E472&lt;&gt;"", Changed!E472, "")</f>
        <v>Punk Rock</v>
      </c>
      <c r="F472" s="6" t="str">
        <f>IF(Changed!F472&lt;&gt;"", Changed!F472, "")</f>
        <v>Tangled Feet</v>
      </c>
      <c r="G472" s="7" t="str" cm="1">
        <f t="array" ref="G472">INDEX(Changed!$G:$G,ROW())&amp;IF(Changed!$G472&gt;Base!$G472,"↑",IF(Changed!$G472&lt;Base!$G472," ↓",""))</f>
        <v>411</v>
      </c>
      <c r="H472" s="7" t="str" cm="1">
        <f t="array" ref="H472">INDEX(Changed!$H:$H,ROW())&amp;IF(Changed!$H472&gt;Base!$H472,"↑",IF(Changed!$H472&lt;Base!$H472," ↓",""))</f>
        <v>76</v>
      </c>
      <c r="I472" s="7" t="str" cm="1">
        <f t="array" ref="I472">INDEX(Changed!$I:$I,ROW())&amp;IF(Changed!$I472&gt;Base!$I472,"↑",IF(Changed!$I472&lt;Base!$I472," ↓",""))</f>
        <v>65</v>
      </c>
      <c r="J472" s="7" t="str" cm="1">
        <f t="array" ref="J472">INDEX(Changed!$J:$J,ROW())&amp;IF(Changed!$J472&gt;Base!$J472,"↑",IF(Changed!$J472&lt;Base!$J472," ↓",""))</f>
        <v>45</v>
      </c>
      <c r="K472" s="7" t="str" cm="1">
        <f t="array" ref="K472">INDEX(Changed!$K:$K,ROW())&amp;IF(Changed!$K472&gt;Base!$K472,"↑",IF(Changed!$K472&lt;Base!$K472," ↓",""))</f>
        <v>92</v>
      </c>
      <c r="L472" s="7" t="str" cm="1">
        <f t="array" ref="L472">INDEX(Changed!$L:$L,ROW())&amp;IF(Changed!$L472&gt;Base!$L472,"↑",IF(Changed!$L472&lt;Base!$L472," ↓",""))</f>
        <v>42</v>
      </c>
      <c r="M472" s="7" t="str" cm="1">
        <f t="array" ref="M472">INDEX(Changed!$M:$M,ROW())&amp;IF(Changed!$M472&gt;Base!$M472,"↑",IF(Changed!$M472&lt;Base!$M472," ↓",""))</f>
        <v>91</v>
      </c>
      <c r="N472" s="19">
        <f>Changed!G472-Base!G472</f>
        <v>0</v>
      </c>
    </row>
    <row r="473" spans="1:14" ht="15.75" customHeight="1" x14ac:dyDescent="0.2">
      <c r="A473" s="4">
        <v>472</v>
      </c>
      <c r="B473" s="5" t="s">
        <v>477</v>
      </c>
      <c r="C473" s="6" t="str">
        <f>IF(Changed!C473&lt;&gt;"", Changed!C473, "")</f>
        <v>Ghost</v>
      </c>
      <c r="D473" s="6" t="str">
        <f>IF(Changed!D473&lt;&gt;"", Changed!D473, "")</f>
        <v>Dark</v>
      </c>
      <c r="E473" s="6" t="str">
        <f>IF(Changed!E473&lt;&gt;"", Changed!E473, "")</f>
        <v>Pressure</v>
      </c>
      <c r="F473" s="6" t="str">
        <f>IF(Changed!F473&lt;&gt;"", Changed!F473, "")</f>
        <v/>
      </c>
      <c r="G473" s="7" t="str" cm="1">
        <f t="array" ref="G473">INDEX(Changed!$G:$G,ROW())&amp;IF(Changed!$G473&gt;Base!$G473,"↑",IF(Changed!$G473&lt;Base!$G473," ↓",""))</f>
        <v>485</v>
      </c>
      <c r="H473" s="7" t="str" cm="1">
        <f t="array" ref="H473">INDEX(Changed!$H:$H,ROW())&amp;IF(Changed!$H473&gt;Base!$H473,"↑",IF(Changed!$H473&lt;Base!$H473," ↓",""))</f>
        <v>50</v>
      </c>
      <c r="I473" s="7" t="str" cm="1">
        <f t="array" ref="I473">INDEX(Changed!$I:$I,ROW())&amp;IF(Changed!$I473&gt;Base!$I473,"↑",IF(Changed!$I473&lt;Base!$I473," ↓",""))</f>
        <v>92</v>
      </c>
      <c r="J473" s="7" t="str" cm="1">
        <f t="array" ref="J473">INDEX(Changed!$J:$J,ROW())&amp;IF(Changed!$J473&gt;Base!$J473,"↑",IF(Changed!$J473&lt;Base!$J473," ↓",""))</f>
        <v>108</v>
      </c>
      <c r="K473" s="7" t="str" cm="1">
        <f t="array" ref="K473">INDEX(Changed!$K:$K,ROW())&amp;IF(Changed!$K473&gt;Base!$K473,"↑",IF(Changed!$K473&lt;Base!$K473," ↓",""))</f>
        <v>92</v>
      </c>
      <c r="L473" s="7" t="str" cm="1">
        <f t="array" ref="L473">INDEX(Changed!$L:$L,ROW())&amp;IF(Changed!$L473&gt;Base!$L473,"↑",IF(Changed!$L473&lt;Base!$L473," ↓",""))</f>
        <v>108</v>
      </c>
      <c r="M473" s="7" t="str" cm="1">
        <f t="array" ref="M473">INDEX(Changed!$M:$M,ROW())&amp;IF(Changed!$M473&gt;Base!$M473,"↑",IF(Changed!$M473&lt;Base!$M473," ↓",""))</f>
        <v>35</v>
      </c>
      <c r="N473" s="19">
        <f>Changed!G473-Base!G473</f>
        <v>0</v>
      </c>
    </row>
    <row r="474" spans="1:14" ht="15.75" customHeight="1" x14ac:dyDescent="0.2">
      <c r="A474" s="4">
        <v>473</v>
      </c>
      <c r="B474" s="5" t="s">
        <v>478</v>
      </c>
      <c r="C474" s="6" t="str">
        <f>IF(Changed!C474&lt;&gt;"", Changed!C474, "")</f>
        <v>Dragon</v>
      </c>
      <c r="D474" s="6" t="str">
        <f>IF(Changed!D474&lt;&gt;"", Changed!D474, "")</f>
        <v>Ground</v>
      </c>
      <c r="E474" s="6" t="str">
        <f>IF(Changed!E474&lt;&gt;"", Changed!E474, "")</f>
        <v>Sand Veil</v>
      </c>
      <c r="F474" s="6" t="str">
        <f>IF(Changed!F474&lt;&gt;"", Changed!F474, "")</f>
        <v/>
      </c>
      <c r="G474" s="7" t="str" cm="1">
        <f t="array" ref="G474">INDEX(Changed!$G:$G,ROW())&amp;IF(Changed!$G474&gt;Base!$G474,"↑",IF(Changed!$G474&lt;Base!$G474," ↓",""))</f>
        <v>300</v>
      </c>
      <c r="H474" s="7" t="str" cm="1">
        <f t="array" ref="H474">INDEX(Changed!$H:$H,ROW())&amp;IF(Changed!$H474&gt;Base!$H474,"↑",IF(Changed!$H474&lt;Base!$H474," ↓",""))</f>
        <v>58</v>
      </c>
      <c r="I474" s="7" t="str" cm="1">
        <f t="array" ref="I474">INDEX(Changed!$I:$I,ROW())&amp;IF(Changed!$I474&gt;Base!$I474,"↑",IF(Changed!$I474&lt;Base!$I474," ↓",""))</f>
        <v>70</v>
      </c>
      <c r="J474" s="7" t="str" cm="1">
        <f t="array" ref="J474">INDEX(Changed!$J:$J,ROW())&amp;IF(Changed!$J474&gt;Base!$J474,"↑",IF(Changed!$J474&lt;Base!$J474," ↓",""))</f>
        <v>45</v>
      </c>
      <c r="K474" s="7" t="str" cm="1">
        <f t="array" ref="K474">INDEX(Changed!$K:$K,ROW())&amp;IF(Changed!$K474&gt;Base!$K474,"↑",IF(Changed!$K474&lt;Base!$K474," ↓",""))</f>
        <v>40</v>
      </c>
      <c r="L474" s="7" t="str" cm="1">
        <f t="array" ref="L474">INDEX(Changed!$L:$L,ROW())&amp;IF(Changed!$L474&gt;Base!$L474,"↑",IF(Changed!$L474&lt;Base!$L474," ↓",""))</f>
        <v>45</v>
      </c>
      <c r="M474" s="7" t="str" cm="1">
        <f t="array" ref="M474">INDEX(Changed!$M:$M,ROW())&amp;IF(Changed!$M474&gt;Base!$M474,"↑",IF(Changed!$M474&lt;Base!$M474," ↓",""))</f>
        <v>42</v>
      </c>
      <c r="N474" s="19">
        <f>Changed!G474-Base!G474</f>
        <v>0</v>
      </c>
    </row>
    <row r="475" spans="1:14" ht="15.75" customHeight="1" x14ac:dyDescent="0.2">
      <c r="A475" s="4">
        <v>474</v>
      </c>
      <c r="B475" s="5" t="s">
        <v>479</v>
      </c>
      <c r="C475" s="6" t="str">
        <f>IF(Changed!C475&lt;&gt;"", Changed!C475, "")</f>
        <v>Dragon</v>
      </c>
      <c r="D475" s="6" t="str">
        <f>IF(Changed!D475&lt;&gt;"", Changed!D475, "")</f>
        <v>Ground</v>
      </c>
      <c r="E475" s="6" t="str">
        <f>IF(Changed!E475&lt;&gt;"", Changed!E475, "")</f>
        <v>Sand Veil</v>
      </c>
      <c r="F475" s="6" t="str">
        <f>IF(Changed!F475&lt;&gt;"", Changed!F475, "")</f>
        <v/>
      </c>
      <c r="G475" s="7" t="str" cm="1">
        <f t="array" ref="G475">INDEX(Changed!$G:$G,ROW())&amp;IF(Changed!$G475&gt;Base!$G475,"↑",IF(Changed!$G475&lt;Base!$G475," ↓",""))</f>
        <v>410</v>
      </c>
      <c r="H475" s="7" t="str" cm="1">
        <f t="array" ref="H475">INDEX(Changed!$H:$H,ROW())&amp;IF(Changed!$H475&gt;Base!$H475,"↑",IF(Changed!$H475&lt;Base!$H475," ↓",""))</f>
        <v>68</v>
      </c>
      <c r="I475" s="7" t="str" cm="1">
        <f t="array" ref="I475">INDEX(Changed!$I:$I,ROW())&amp;IF(Changed!$I475&gt;Base!$I475,"↑",IF(Changed!$I475&lt;Base!$I475," ↓",""))</f>
        <v>90</v>
      </c>
      <c r="J475" s="7" t="str" cm="1">
        <f t="array" ref="J475">INDEX(Changed!$J:$J,ROW())&amp;IF(Changed!$J475&gt;Base!$J475,"↑",IF(Changed!$J475&lt;Base!$J475," ↓",""))</f>
        <v>65</v>
      </c>
      <c r="K475" s="7" t="str" cm="1">
        <f t="array" ref="K475">INDEX(Changed!$K:$K,ROW())&amp;IF(Changed!$K475&gt;Base!$K475,"↑",IF(Changed!$K475&lt;Base!$K475," ↓",""))</f>
        <v>50</v>
      </c>
      <c r="L475" s="7" t="str" cm="1">
        <f t="array" ref="L475">INDEX(Changed!$L:$L,ROW())&amp;IF(Changed!$L475&gt;Base!$L475,"↑",IF(Changed!$L475&lt;Base!$L475," ↓",""))</f>
        <v>55</v>
      </c>
      <c r="M475" s="7" t="str" cm="1">
        <f t="array" ref="M475">INDEX(Changed!$M:$M,ROW())&amp;IF(Changed!$M475&gt;Base!$M475,"↑",IF(Changed!$M475&lt;Base!$M475," ↓",""))</f>
        <v>82</v>
      </c>
      <c r="N475" s="19">
        <f>Changed!G475-Base!G475</f>
        <v>0</v>
      </c>
    </row>
    <row r="476" spans="1:14" ht="15.75" customHeight="1" x14ac:dyDescent="0.2">
      <c r="A476" s="4">
        <v>475</v>
      </c>
      <c r="B476" s="5" t="s">
        <v>480</v>
      </c>
      <c r="C476" s="6" t="str">
        <f>IF(Changed!C476&lt;&gt;"", Changed!C476, "")</f>
        <v>Dragon</v>
      </c>
      <c r="D476" s="6" t="str">
        <f>IF(Changed!D476&lt;&gt;"", Changed!D476, "")</f>
        <v>Ground</v>
      </c>
      <c r="E476" s="6" t="str">
        <f>IF(Changed!E476&lt;&gt;"", Changed!E476, "")</f>
        <v>Sand Veil</v>
      </c>
      <c r="F476" s="6" t="str">
        <f>IF(Changed!F476&lt;&gt;"", Changed!F476, "")</f>
        <v/>
      </c>
      <c r="G476" s="7" t="str" cm="1">
        <f t="array" ref="G476">INDEX(Changed!$G:$G,ROW())&amp;IF(Changed!$G476&gt;Base!$G476,"↑",IF(Changed!$G476&lt;Base!$G476," ↓",""))</f>
        <v>585 ↓</v>
      </c>
      <c r="H476" s="7" t="str" cm="1">
        <f t="array" ref="H476">INDEX(Changed!$H:$H,ROW())&amp;IF(Changed!$H476&gt;Base!$H476,"↑",IF(Changed!$H476&lt;Base!$H476," ↓",""))</f>
        <v>108</v>
      </c>
      <c r="I476" s="7" t="str" cm="1">
        <f t="array" ref="I476">INDEX(Changed!$I:$I,ROW())&amp;IF(Changed!$I476&gt;Base!$I476,"↑",IF(Changed!$I476&lt;Base!$I476," ↓",""))</f>
        <v>125 ↓</v>
      </c>
      <c r="J476" s="7" t="str" cm="1">
        <f t="array" ref="J476">INDEX(Changed!$J:$J,ROW())&amp;IF(Changed!$J476&gt;Base!$J476,"↑",IF(Changed!$J476&lt;Base!$J476," ↓",""))</f>
        <v>95</v>
      </c>
      <c r="K476" s="7" t="str" cm="1">
        <f t="array" ref="K476">INDEX(Changed!$K:$K,ROW())&amp;IF(Changed!$K476&gt;Base!$K476,"↑",IF(Changed!$K476&lt;Base!$K476," ↓",""))</f>
        <v>75 ↓</v>
      </c>
      <c r="L476" s="7" t="str" cm="1">
        <f t="array" ref="L476">INDEX(Changed!$L:$L,ROW())&amp;IF(Changed!$L476&gt;Base!$L476,"↑",IF(Changed!$L476&lt;Base!$L476," ↓",""))</f>
        <v>80 ↓</v>
      </c>
      <c r="M476" s="7" t="str" cm="1">
        <f t="array" ref="M476">INDEX(Changed!$M:$M,ROW())&amp;IF(Changed!$M476&gt;Base!$M476,"↑",IF(Changed!$M476&lt;Base!$M476," ↓",""))</f>
        <v>102</v>
      </c>
      <c r="N476" s="19">
        <f>Changed!G476-Base!G476</f>
        <v>-15</v>
      </c>
    </row>
    <row r="477" spans="1:14" ht="15.75" customHeight="1" x14ac:dyDescent="0.2">
      <c r="A477" s="4">
        <v>476</v>
      </c>
      <c r="B477" s="5" t="s">
        <v>482</v>
      </c>
      <c r="C477" s="6" t="str">
        <f>IF(Changed!C477&lt;&gt;"", Changed!C477, "")</f>
        <v>Fighting</v>
      </c>
      <c r="D477" s="6" t="str">
        <f>IF(Changed!D477&lt;&gt;"", Changed!D477, "")</f>
        <v/>
      </c>
      <c r="E477" s="6" t="str">
        <f>IF(Changed!E477&lt;&gt;"", Changed!E477, "")</f>
        <v>Steadfast</v>
      </c>
      <c r="F477" s="6" t="str">
        <f>IF(Changed!F477&lt;&gt;"", Changed!F477, "")</f>
        <v>Inner Focus</v>
      </c>
      <c r="G477" s="7" t="str" cm="1">
        <f t="array" ref="G477">INDEX(Changed!$G:$G,ROW())&amp;IF(Changed!$G477&gt;Base!$G477,"↑",IF(Changed!$G477&lt;Base!$G477," ↓",""))</f>
        <v>285</v>
      </c>
      <c r="H477" s="7" t="str" cm="1">
        <f t="array" ref="H477">INDEX(Changed!$H:$H,ROW())&amp;IF(Changed!$H477&gt;Base!$H477,"↑",IF(Changed!$H477&lt;Base!$H477," ↓",""))</f>
        <v>40</v>
      </c>
      <c r="I477" s="7" t="str" cm="1">
        <f t="array" ref="I477">INDEX(Changed!$I:$I,ROW())&amp;IF(Changed!$I477&gt;Base!$I477,"↑",IF(Changed!$I477&lt;Base!$I477," ↓",""))</f>
        <v>70</v>
      </c>
      <c r="J477" s="7" t="str" cm="1">
        <f t="array" ref="J477">INDEX(Changed!$J:$J,ROW())&amp;IF(Changed!$J477&gt;Base!$J477,"↑",IF(Changed!$J477&lt;Base!$J477," ↓",""))</f>
        <v>40</v>
      </c>
      <c r="K477" s="7" t="str" cm="1">
        <f t="array" ref="K477">INDEX(Changed!$K:$K,ROW())&amp;IF(Changed!$K477&gt;Base!$K477,"↑",IF(Changed!$K477&lt;Base!$K477," ↓",""))</f>
        <v>35</v>
      </c>
      <c r="L477" s="7" t="str" cm="1">
        <f t="array" ref="L477">INDEX(Changed!$L:$L,ROW())&amp;IF(Changed!$L477&gt;Base!$L477,"↑",IF(Changed!$L477&lt;Base!$L477," ↓",""))</f>
        <v>40</v>
      </c>
      <c r="M477" s="7" t="str" cm="1">
        <f t="array" ref="M477">INDEX(Changed!$M:$M,ROW())&amp;IF(Changed!$M477&gt;Base!$M477,"↑",IF(Changed!$M477&lt;Base!$M477," ↓",""))</f>
        <v>60</v>
      </c>
      <c r="N477" s="19">
        <f>Changed!G477-Base!G477</f>
        <v>0</v>
      </c>
    </row>
    <row r="478" spans="1:14" ht="15.75" customHeight="1" x14ac:dyDescent="0.2">
      <c r="A478" s="4">
        <v>477</v>
      </c>
      <c r="B478" s="5" t="s">
        <v>483</v>
      </c>
      <c r="C478" s="6" t="str">
        <f>IF(Changed!C478&lt;&gt;"", Changed!C478, "")</f>
        <v>Fighting</v>
      </c>
      <c r="D478" s="6" t="str">
        <f>IF(Changed!D478&lt;&gt;"", Changed!D478, "")</f>
        <v>Steel</v>
      </c>
      <c r="E478" s="6" t="str">
        <f>IF(Changed!E478&lt;&gt;"", Changed!E478, "")</f>
        <v>Steadfast</v>
      </c>
      <c r="F478" s="6" t="str">
        <f>IF(Changed!F478&lt;&gt;"", Changed!F478, "")</f>
        <v>Inner Focus</v>
      </c>
      <c r="G478" s="7" t="str" cm="1">
        <f t="array" ref="G478">INDEX(Changed!$G:$G,ROW())&amp;IF(Changed!$G478&gt;Base!$G478,"↑",IF(Changed!$G478&lt;Base!$G478," ↓",""))</f>
        <v>525</v>
      </c>
      <c r="H478" s="7" t="str" cm="1">
        <f t="array" ref="H478">INDEX(Changed!$H:$H,ROW())&amp;IF(Changed!$H478&gt;Base!$H478,"↑",IF(Changed!$H478&lt;Base!$H478," ↓",""))</f>
        <v>70</v>
      </c>
      <c r="I478" s="7" t="str" cm="1">
        <f t="array" ref="I478">INDEX(Changed!$I:$I,ROW())&amp;IF(Changed!$I478&gt;Base!$I478,"↑",IF(Changed!$I478&lt;Base!$I478," ↓",""))</f>
        <v>110</v>
      </c>
      <c r="J478" s="7" t="str" cm="1">
        <f t="array" ref="J478">INDEX(Changed!$J:$J,ROW())&amp;IF(Changed!$J478&gt;Base!$J478,"↑",IF(Changed!$J478&lt;Base!$J478," ↓",""))</f>
        <v>70</v>
      </c>
      <c r="K478" s="7" t="str" cm="1">
        <f t="array" ref="K478">INDEX(Changed!$K:$K,ROW())&amp;IF(Changed!$K478&gt;Base!$K478,"↑",IF(Changed!$K478&lt;Base!$K478," ↓",""))</f>
        <v>115</v>
      </c>
      <c r="L478" s="7" t="str" cm="1">
        <f t="array" ref="L478">INDEX(Changed!$L:$L,ROW())&amp;IF(Changed!$L478&gt;Base!$L478,"↑",IF(Changed!$L478&lt;Base!$L478," ↓",""))</f>
        <v>70</v>
      </c>
      <c r="M478" s="7" t="str" cm="1">
        <f t="array" ref="M478">INDEX(Changed!$M:$M,ROW())&amp;IF(Changed!$M478&gt;Base!$M478,"↑",IF(Changed!$M478&lt;Base!$M478," ↓",""))</f>
        <v>90</v>
      </c>
      <c r="N478" s="19">
        <f>Changed!G478-Base!G478</f>
        <v>0</v>
      </c>
    </row>
    <row r="479" spans="1:14" ht="15.75" customHeight="1" x14ac:dyDescent="0.2">
      <c r="A479" s="4">
        <v>478</v>
      </c>
      <c r="B479" s="5" t="s">
        <v>484</v>
      </c>
      <c r="C479" s="6" t="str">
        <f>IF(Changed!C479&lt;&gt;"", Changed!C479, "")</f>
        <v>Ground</v>
      </c>
      <c r="D479" s="6" t="str">
        <f>IF(Changed!D479&lt;&gt;"", Changed!D479, "")</f>
        <v/>
      </c>
      <c r="E479" s="6" t="str">
        <f>IF(Changed!E479&lt;&gt;"", Changed!E479, "")</f>
        <v>Sand Stream</v>
      </c>
      <c r="F479" s="6" t="str">
        <f>IF(Changed!F479&lt;&gt;"", Changed!F479, "")</f>
        <v/>
      </c>
      <c r="G479" s="7" t="str" cm="1">
        <f t="array" ref="G479">INDEX(Changed!$G:$G,ROW())&amp;IF(Changed!$G479&gt;Base!$G479,"↑",IF(Changed!$G479&lt;Base!$G479," ↓",""))</f>
        <v>330</v>
      </c>
      <c r="H479" s="7" t="str" cm="1">
        <f t="array" ref="H479">INDEX(Changed!$H:$H,ROW())&amp;IF(Changed!$H479&gt;Base!$H479,"↑",IF(Changed!$H479&lt;Base!$H479," ↓",""))</f>
        <v>68</v>
      </c>
      <c r="I479" s="7" t="str" cm="1">
        <f t="array" ref="I479">INDEX(Changed!$I:$I,ROW())&amp;IF(Changed!$I479&gt;Base!$I479,"↑",IF(Changed!$I479&lt;Base!$I479," ↓",""))</f>
        <v>72</v>
      </c>
      <c r="J479" s="7" t="str" cm="1">
        <f t="array" ref="J479">INDEX(Changed!$J:$J,ROW())&amp;IF(Changed!$J479&gt;Base!$J479,"↑",IF(Changed!$J479&lt;Base!$J479," ↓",""))</f>
        <v>78</v>
      </c>
      <c r="K479" s="7" t="str" cm="1">
        <f t="array" ref="K479">INDEX(Changed!$K:$K,ROW())&amp;IF(Changed!$K479&gt;Base!$K479,"↑",IF(Changed!$K479&lt;Base!$K479," ↓",""))</f>
        <v>38</v>
      </c>
      <c r="L479" s="7" t="str" cm="1">
        <f t="array" ref="L479">INDEX(Changed!$L:$L,ROW())&amp;IF(Changed!$L479&gt;Base!$L479,"↑",IF(Changed!$L479&lt;Base!$L479," ↓",""))</f>
        <v>42</v>
      </c>
      <c r="M479" s="7" t="str" cm="1">
        <f t="array" ref="M479">INDEX(Changed!$M:$M,ROW())&amp;IF(Changed!$M479&gt;Base!$M479,"↑",IF(Changed!$M479&lt;Base!$M479," ↓",""))</f>
        <v>32</v>
      </c>
      <c r="N479" s="19">
        <f>Changed!G479-Base!G479</f>
        <v>0</v>
      </c>
    </row>
    <row r="480" spans="1:14" ht="15.75" customHeight="1" x14ac:dyDescent="0.2">
      <c r="A480" s="4">
        <v>479</v>
      </c>
      <c r="B480" s="5" t="s">
        <v>485</v>
      </c>
      <c r="C480" s="6" t="str">
        <f>IF(Changed!C480&lt;&gt;"", Changed!C480, "")</f>
        <v>Ground</v>
      </c>
      <c r="D480" s="6" t="str">
        <f>IF(Changed!D480&lt;&gt;"", Changed!D480, "")</f>
        <v/>
      </c>
      <c r="E480" s="6" t="str">
        <f>IF(Changed!E480&lt;&gt;"", Changed!E480, "")</f>
        <v>Sand Stream</v>
      </c>
      <c r="F480" s="6" t="str">
        <f>IF(Changed!F480&lt;&gt;"", Changed!F480, "")</f>
        <v/>
      </c>
      <c r="G480" s="7" t="str" cm="1">
        <f t="array" ref="G480">INDEX(Changed!$G:$G,ROW())&amp;IF(Changed!$G480&gt;Base!$G480,"↑",IF(Changed!$G480&lt;Base!$G480," ↓",""))</f>
        <v>525</v>
      </c>
      <c r="H480" s="7" t="str" cm="1">
        <f t="array" ref="H480">INDEX(Changed!$H:$H,ROW())&amp;IF(Changed!$H480&gt;Base!$H480,"↑",IF(Changed!$H480&lt;Base!$H480," ↓",""))</f>
        <v>108</v>
      </c>
      <c r="I480" s="7" t="str" cm="1">
        <f t="array" ref="I480">INDEX(Changed!$I:$I,ROW())&amp;IF(Changed!$I480&gt;Base!$I480,"↑",IF(Changed!$I480&lt;Base!$I480," ↓",""))</f>
        <v>112</v>
      </c>
      <c r="J480" s="7" t="str" cm="1">
        <f t="array" ref="J480">INDEX(Changed!$J:$J,ROW())&amp;IF(Changed!$J480&gt;Base!$J480,"↑",IF(Changed!$J480&lt;Base!$J480," ↓",""))</f>
        <v>118</v>
      </c>
      <c r="K480" s="7" t="str" cm="1">
        <f t="array" ref="K480">INDEX(Changed!$K:$K,ROW())&amp;IF(Changed!$K480&gt;Base!$K480,"↑",IF(Changed!$K480&lt;Base!$K480," ↓",""))</f>
        <v>68</v>
      </c>
      <c r="L480" s="7" t="str" cm="1">
        <f t="array" ref="L480">INDEX(Changed!$L:$L,ROW())&amp;IF(Changed!$L480&gt;Base!$L480,"↑",IF(Changed!$L480&lt;Base!$L480," ↓",""))</f>
        <v>72</v>
      </c>
      <c r="M480" s="7" t="str" cm="1">
        <f t="array" ref="M480">INDEX(Changed!$M:$M,ROW())&amp;IF(Changed!$M480&gt;Base!$M480,"↑",IF(Changed!$M480&lt;Base!$M480," ↓",""))</f>
        <v>47</v>
      </c>
      <c r="N480" s="19">
        <f>Changed!G480-Base!G480</f>
        <v>0</v>
      </c>
    </row>
    <row r="481" spans="1:14" ht="15.75" customHeight="1" x14ac:dyDescent="0.2">
      <c r="A481" s="4">
        <v>480</v>
      </c>
      <c r="B481" s="5" t="s">
        <v>486</v>
      </c>
      <c r="C481" s="6" t="str">
        <f>IF(Changed!C481&lt;&gt;"", Changed!C481, "")</f>
        <v>Poison</v>
      </c>
      <c r="D481" s="6" t="str">
        <f>IF(Changed!D481&lt;&gt;"", Changed!D481, "")</f>
        <v>Bug</v>
      </c>
      <c r="E481" s="6" t="str">
        <f>IF(Changed!E481&lt;&gt;"", Changed!E481, "")</f>
        <v>Battle Armor</v>
      </c>
      <c r="F481" s="6" t="str">
        <f>IF(Changed!F481&lt;&gt;"", Changed!F481, "")</f>
        <v>Sniper</v>
      </c>
      <c r="G481" s="7" t="str" cm="1">
        <f t="array" ref="G481">INDEX(Changed!$G:$G,ROW())&amp;IF(Changed!$G481&gt;Base!$G481,"↑",IF(Changed!$G481&lt;Base!$G481," ↓",""))</f>
        <v>330</v>
      </c>
      <c r="H481" s="7" t="str" cm="1">
        <f t="array" ref="H481">INDEX(Changed!$H:$H,ROW())&amp;IF(Changed!$H481&gt;Base!$H481,"↑",IF(Changed!$H481&lt;Base!$H481," ↓",""))</f>
        <v>40</v>
      </c>
      <c r="I481" s="7" t="str" cm="1">
        <f t="array" ref="I481">INDEX(Changed!$I:$I,ROW())&amp;IF(Changed!$I481&gt;Base!$I481,"↑",IF(Changed!$I481&lt;Base!$I481," ↓",""))</f>
        <v>50</v>
      </c>
      <c r="J481" s="7" t="str" cm="1">
        <f t="array" ref="J481">INDEX(Changed!$J:$J,ROW())&amp;IF(Changed!$J481&gt;Base!$J481,"↑",IF(Changed!$J481&lt;Base!$J481," ↓",""))</f>
        <v>90</v>
      </c>
      <c r="K481" s="7" t="str" cm="1">
        <f t="array" ref="K481">INDEX(Changed!$K:$K,ROW())&amp;IF(Changed!$K481&gt;Base!$K481,"↑",IF(Changed!$K481&lt;Base!$K481," ↓",""))</f>
        <v>30</v>
      </c>
      <c r="L481" s="7" t="str" cm="1">
        <f t="array" ref="L481">INDEX(Changed!$L:$L,ROW())&amp;IF(Changed!$L481&gt;Base!$L481,"↑",IF(Changed!$L481&lt;Base!$L481," ↓",""))</f>
        <v>55</v>
      </c>
      <c r="M481" s="7" t="str" cm="1">
        <f t="array" ref="M481">INDEX(Changed!$M:$M,ROW())&amp;IF(Changed!$M481&gt;Base!$M481,"↑",IF(Changed!$M481&lt;Base!$M481," ↓",""))</f>
        <v>65</v>
      </c>
      <c r="N481" s="19">
        <f>Changed!G481-Base!G481</f>
        <v>0</v>
      </c>
    </row>
    <row r="482" spans="1:14" ht="15.75" customHeight="1" x14ac:dyDescent="0.2">
      <c r="A482" s="4">
        <v>481</v>
      </c>
      <c r="B482" s="5" t="s">
        <v>487</v>
      </c>
      <c r="C482" s="6" t="str">
        <f>IF(Changed!C482&lt;&gt;"", Changed!C482, "")</f>
        <v>Poison</v>
      </c>
      <c r="D482" s="6" t="str">
        <f>IF(Changed!D482&lt;&gt;"", Changed!D482, "")</f>
        <v>Dark</v>
      </c>
      <c r="E482" s="6" t="str">
        <f>IF(Changed!E482&lt;&gt;"", Changed!E482, "")</f>
        <v>Battle Armor</v>
      </c>
      <c r="F482" s="6" t="str">
        <f>IF(Changed!F482&lt;&gt;"", Changed!F482, "")</f>
        <v>Sniper</v>
      </c>
      <c r="G482" s="7" t="str" cm="1">
        <f t="array" ref="G482">INDEX(Changed!$G:$G,ROW())&amp;IF(Changed!$G482&gt;Base!$G482,"↑",IF(Changed!$G482&lt;Base!$G482," ↓",""))</f>
        <v>500</v>
      </c>
      <c r="H482" s="7" t="str" cm="1">
        <f t="array" ref="H482">INDEX(Changed!$H:$H,ROW())&amp;IF(Changed!$H482&gt;Base!$H482,"↑",IF(Changed!$H482&lt;Base!$H482," ↓",""))</f>
        <v>70</v>
      </c>
      <c r="I482" s="7" t="str" cm="1">
        <f t="array" ref="I482">INDEX(Changed!$I:$I,ROW())&amp;IF(Changed!$I482&gt;Base!$I482,"↑",IF(Changed!$I482&lt;Base!$I482," ↓",""))</f>
        <v>90</v>
      </c>
      <c r="J482" s="7" t="str" cm="1">
        <f t="array" ref="J482">INDEX(Changed!$J:$J,ROW())&amp;IF(Changed!$J482&gt;Base!$J482,"↑",IF(Changed!$J482&lt;Base!$J482," ↓",""))</f>
        <v>110</v>
      </c>
      <c r="K482" s="7" t="str" cm="1">
        <f t="array" ref="K482">INDEX(Changed!$K:$K,ROW())&amp;IF(Changed!$K482&gt;Base!$K482,"↑",IF(Changed!$K482&lt;Base!$K482," ↓",""))</f>
        <v>60</v>
      </c>
      <c r="L482" s="7" t="str" cm="1">
        <f t="array" ref="L482">INDEX(Changed!$L:$L,ROW())&amp;IF(Changed!$L482&gt;Base!$L482,"↑",IF(Changed!$L482&lt;Base!$L482," ↓",""))</f>
        <v>75</v>
      </c>
      <c r="M482" s="7" t="str" cm="1">
        <f t="array" ref="M482">INDEX(Changed!$M:$M,ROW())&amp;IF(Changed!$M482&gt;Base!$M482,"↑",IF(Changed!$M482&lt;Base!$M482," ↓",""))</f>
        <v>95</v>
      </c>
      <c r="N482" s="19">
        <f>Changed!G482-Base!G482</f>
        <v>0</v>
      </c>
    </row>
    <row r="483" spans="1:14" ht="15.75" customHeight="1" x14ac:dyDescent="0.2">
      <c r="A483" s="4">
        <v>482</v>
      </c>
      <c r="B483" s="5" t="s">
        <v>488</v>
      </c>
      <c r="C483" s="6" t="str">
        <f>IF(Changed!C483&lt;&gt;"", Changed!C483, "")</f>
        <v>Poison</v>
      </c>
      <c r="D483" s="6" t="str">
        <f>IF(Changed!D483&lt;&gt;"", Changed!D483, "")</f>
        <v>Fighting</v>
      </c>
      <c r="E483" s="6" t="str">
        <f>IF(Changed!E483&lt;&gt;"", Changed!E483, "")</f>
        <v>Anticipation</v>
      </c>
      <c r="F483" s="6" t="str">
        <f>IF(Changed!F483&lt;&gt;"", Changed!F483, "")</f>
        <v>Dry Skin</v>
      </c>
      <c r="G483" s="7" t="str" cm="1">
        <f t="array" ref="G483">INDEX(Changed!$G:$G,ROW())&amp;IF(Changed!$G483&gt;Base!$G483,"↑",IF(Changed!$G483&lt;Base!$G483," ↓",""))</f>
        <v>300</v>
      </c>
      <c r="H483" s="7" t="str" cm="1">
        <f t="array" ref="H483">INDEX(Changed!$H:$H,ROW())&amp;IF(Changed!$H483&gt;Base!$H483,"↑",IF(Changed!$H483&lt;Base!$H483," ↓",""))</f>
        <v>48</v>
      </c>
      <c r="I483" s="7" t="str" cm="1">
        <f t="array" ref="I483">INDEX(Changed!$I:$I,ROW())&amp;IF(Changed!$I483&gt;Base!$I483,"↑",IF(Changed!$I483&lt;Base!$I483," ↓",""))</f>
        <v>61</v>
      </c>
      <c r="J483" s="7" t="str" cm="1">
        <f t="array" ref="J483">INDEX(Changed!$J:$J,ROW())&amp;IF(Changed!$J483&gt;Base!$J483,"↑",IF(Changed!$J483&lt;Base!$J483," ↓",""))</f>
        <v>40</v>
      </c>
      <c r="K483" s="7" t="str" cm="1">
        <f t="array" ref="K483">INDEX(Changed!$K:$K,ROW())&amp;IF(Changed!$K483&gt;Base!$K483,"↑",IF(Changed!$K483&lt;Base!$K483," ↓",""))</f>
        <v>61</v>
      </c>
      <c r="L483" s="7" t="str" cm="1">
        <f t="array" ref="L483">INDEX(Changed!$L:$L,ROW())&amp;IF(Changed!$L483&gt;Base!$L483,"↑",IF(Changed!$L483&lt;Base!$L483," ↓",""))</f>
        <v>40</v>
      </c>
      <c r="M483" s="7" t="str" cm="1">
        <f t="array" ref="M483">INDEX(Changed!$M:$M,ROW())&amp;IF(Changed!$M483&gt;Base!$M483,"↑",IF(Changed!$M483&lt;Base!$M483," ↓",""))</f>
        <v>50</v>
      </c>
      <c r="N483" s="19">
        <f>Changed!G483-Base!G483</f>
        <v>0</v>
      </c>
    </row>
    <row r="484" spans="1:14" ht="15.75" customHeight="1" x14ac:dyDescent="0.2">
      <c r="A484" s="4">
        <v>483</v>
      </c>
      <c r="B484" s="5" t="s">
        <v>489</v>
      </c>
      <c r="C484" s="6" t="str">
        <f>IF(Changed!C484&lt;&gt;"", Changed!C484, "")</f>
        <v>Poison</v>
      </c>
      <c r="D484" s="6" t="str">
        <f>IF(Changed!D484&lt;&gt;"", Changed!D484, "")</f>
        <v>Fighting</v>
      </c>
      <c r="E484" s="6" t="str">
        <f>IF(Changed!E484&lt;&gt;"", Changed!E484, "")</f>
        <v>Anticipation</v>
      </c>
      <c r="F484" s="6" t="str">
        <f>IF(Changed!F484&lt;&gt;"", Changed!F484, "")</f>
        <v>Dry Skin</v>
      </c>
      <c r="G484" s="7" t="str" cm="1">
        <f t="array" ref="G484">INDEX(Changed!$G:$G,ROW())&amp;IF(Changed!$G484&gt;Base!$G484,"↑",IF(Changed!$G484&lt;Base!$G484," ↓",""))</f>
        <v>490</v>
      </c>
      <c r="H484" s="7" t="str" cm="1">
        <f t="array" ref="H484">INDEX(Changed!$H:$H,ROW())&amp;IF(Changed!$H484&gt;Base!$H484,"↑",IF(Changed!$H484&lt;Base!$H484," ↓",""))</f>
        <v>83</v>
      </c>
      <c r="I484" s="7" t="str" cm="1">
        <f t="array" ref="I484">INDEX(Changed!$I:$I,ROW())&amp;IF(Changed!$I484&gt;Base!$I484,"↑",IF(Changed!$I484&lt;Base!$I484," ↓",""))</f>
        <v>106</v>
      </c>
      <c r="J484" s="7" t="str" cm="1">
        <f t="array" ref="J484">INDEX(Changed!$J:$J,ROW())&amp;IF(Changed!$J484&gt;Base!$J484,"↑",IF(Changed!$J484&lt;Base!$J484," ↓",""))</f>
        <v>65</v>
      </c>
      <c r="K484" s="7" t="str" cm="1">
        <f t="array" ref="K484">INDEX(Changed!$K:$K,ROW())&amp;IF(Changed!$K484&gt;Base!$K484,"↑",IF(Changed!$K484&lt;Base!$K484," ↓",""))</f>
        <v>86</v>
      </c>
      <c r="L484" s="7" t="str" cm="1">
        <f t="array" ref="L484">INDEX(Changed!$L:$L,ROW())&amp;IF(Changed!$L484&gt;Base!$L484,"↑",IF(Changed!$L484&lt;Base!$L484," ↓",""))</f>
        <v>65</v>
      </c>
      <c r="M484" s="7" t="str" cm="1">
        <f t="array" ref="M484">INDEX(Changed!$M:$M,ROW())&amp;IF(Changed!$M484&gt;Base!$M484,"↑",IF(Changed!$M484&lt;Base!$M484," ↓",""))</f>
        <v>85</v>
      </c>
      <c r="N484" s="19">
        <f>Changed!G484-Base!G484</f>
        <v>0</v>
      </c>
    </row>
    <row r="485" spans="1:14" ht="15.75" customHeight="1" x14ac:dyDescent="0.2">
      <c r="A485" s="4">
        <v>484</v>
      </c>
      <c r="B485" s="5" t="s">
        <v>490</v>
      </c>
      <c r="C485" s="6" t="str">
        <f>IF(Changed!C485&lt;&gt;"", Changed!C485, "")</f>
        <v>Grass</v>
      </c>
      <c r="D485" s="6" t="str">
        <f>IF(Changed!D485&lt;&gt;"", Changed!D485, "")</f>
        <v/>
      </c>
      <c r="E485" s="6" t="str">
        <f>IF(Changed!E485&lt;&gt;"", Changed!E485, "")</f>
        <v>Levitate</v>
      </c>
      <c r="F485" s="6" t="str">
        <f>IF(Changed!F485&lt;&gt;"", Changed!F485, "")</f>
        <v>Arena Trap</v>
      </c>
      <c r="G485" s="7" t="str" cm="1">
        <f t="array" ref="G485">INDEX(Changed!$G:$G,ROW())&amp;IF(Changed!$G485&gt;Base!$G485,"↑",IF(Changed!$G485&lt;Base!$G485," ↓",""))</f>
        <v>454</v>
      </c>
      <c r="H485" s="7" t="str" cm="1">
        <f t="array" ref="H485">INDEX(Changed!$H:$H,ROW())&amp;IF(Changed!$H485&gt;Base!$H485,"↑",IF(Changed!$H485&lt;Base!$H485," ↓",""))</f>
        <v>74</v>
      </c>
      <c r="I485" s="7" t="str" cm="1">
        <f t="array" ref="I485">INDEX(Changed!$I:$I,ROW())&amp;IF(Changed!$I485&gt;Base!$I485,"↑",IF(Changed!$I485&lt;Base!$I485," ↓",""))</f>
        <v>100</v>
      </c>
      <c r="J485" s="7" t="str" cm="1">
        <f t="array" ref="J485">INDEX(Changed!$J:$J,ROW())&amp;IF(Changed!$J485&gt;Base!$J485,"↑",IF(Changed!$J485&lt;Base!$J485," ↓",""))</f>
        <v>72</v>
      </c>
      <c r="K485" s="7" t="str" cm="1">
        <f t="array" ref="K485">INDEX(Changed!$K:$K,ROW())&amp;IF(Changed!$K485&gt;Base!$K485,"↑",IF(Changed!$K485&lt;Base!$K485," ↓",""))</f>
        <v>90</v>
      </c>
      <c r="L485" s="7" t="str" cm="1">
        <f t="array" ref="L485">INDEX(Changed!$L:$L,ROW())&amp;IF(Changed!$L485&gt;Base!$L485,"↑",IF(Changed!$L485&lt;Base!$L485," ↓",""))</f>
        <v>72</v>
      </c>
      <c r="M485" s="7" t="str" cm="1">
        <f t="array" ref="M485">INDEX(Changed!$M:$M,ROW())&amp;IF(Changed!$M485&gt;Base!$M485,"↑",IF(Changed!$M485&lt;Base!$M485," ↓",""))</f>
        <v>46</v>
      </c>
      <c r="N485" s="19">
        <f>Changed!G485-Base!G485</f>
        <v>0</v>
      </c>
    </row>
    <row r="486" spans="1:14" ht="15.75" customHeight="1" x14ac:dyDescent="0.2">
      <c r="A486" s="4">
        <v>485</v>
      </c>
      <c r="B486" s="5" t="s">
        <v>491</v>
      </c>
      <c r="C486" s="6" t="str">
        <f>IF(Changed!C486&lt;&gt;"", Changed!C486, "")</f>
        <v>Water</v>
      </c>
      <c r="D486" s="6" t="str">
        <f>IF(Changed!D486&lt;&gt;"", Changed!D486, "")</f>
        <v/>
      </c>
      <c r="E486" s="6" t="str">
        <f>IF(Changed!E486&lt;&gt;"", Changed!E486, "")</f>
        <v>Swift Swim</v>
      </c>
      <c r="F486" s="6" t="str">
        <f>IF(Changed!F486&lt;&gt;"", Changed!F486, "")</f>
        <v>Storm Drain</v>
      </c>
      <c r="G486" s="7" t="str" cm="1">
        <f t="array" ref="G486">INDEX(Changed!$G:$G,ROW())&amp;IF(Changed!$G486&gt;Base!$G486,"↑",IF(Changed!$G486&lt;Base!$G486," ↓",""))</f>
        <v>330</v>
      </c>
      <c r="H486" s="7" t="str" cm="1">
        <f t="array" ref="H486">INDEX(Changed!$H:$H,ROW())&amp;IF(Changed!$H486&gt;Base!$H486,"↑",IF(Changed!$H486&lt;Base!$H486," ↓",""))</f>
        <v>49</v>
      </c>
      <c r="I486" s="7" t="str" cm="1">
        <f t="array" ref="I486">INDEX(Changed!$I:$I,ROW())&amp;IF(Changed!$I486&gt;Base!$I486,"↑",IF(Changed!$I486&lt;Base!$I486," ↓",""))</f>
        <v>49</v>
      </c>
      <c r="J486" s="7" t="str" cm="1">
        <f t="array" ref="J486">INDEX(Changed!$J:$J,ROW())&amp;IF(Changed!$J486&gt;Base!$J486,"↑",IF(Changed!$J486&lt;Base!$J486," ↓",""))</f>
        <v>56</v>
      </c>
      <c r="K486" s="7" t="str" cm="1">
        <f t="array" ref="K486">INDEX(Changed!$K:$K,ROW())&amp;IF(Changed!$K486&gt;Base!$K486,"↑",IF(Changed!$K486&lt;Base!$K486," ↓",""))</f>
        <v>49</v>
      </c>
      <c r="L486" s="7" t="str" cm="1">
        <f t="array" ref="L486">INDEX(Changed!$L:$L,ROW())&amp;IF(Changed!$L486&gt;Base!$L486,"↑",IF(Changed!$L486&lt;Base!$L486," ↓",""))</f>
        <v>61</v>
      </c>
      <c r="M486" s="7" t="str" cm="1">
        <f t="array" ref="M486">INDEX(Changed!$M:$M,ROW())&amp;IF(Changed!$M486&gt;Base!$M486,"↑",IF(Changed!$M486&lt;Base!$M486," ↓",""))</f>
        <v>66</v>
      </c>
      <c r="N486" s="19">
        <f>Changed!G486-Base!G486</f>
        <v>0</v>
      </c>
    </row>
    <row r="487" spans="1:14" ht="15.75" customHeight="1" x14ac:dyDescent="0.2">
      <c r="A487" s="4">
        <v>486</v>
      </c>
      <c r="B487" s="5" t="s">
        <v>492</v>
      </c>
      <c r="C487" s="6" t="str">
        <f>IF(Changed!C487&lt;&gt;"", Changed!C487, "")</f>
        <v>Water</v>
      </c>
      <c r="D487" s="6" t="str">
        <f>IF(Changed!D487&lt;&gt;"", Changed!D487, "")</f>
        <v>Ghost</v>
      </c>
      <c r="E487" s="6" t="str">
        <f>IF(Changed!E487&lt;&gt;"", Changed!E487, "")</f>
        <v>Swift Swim</v>
      </c>
      <c r="F487" s="6" t="str">
        <f>IF(Changed!F487&lt;&gt;"", Changed!F487, "")</f>
        <v>Storm Drain</v>
      </c>
      <c r="G487" s="7" t="str" cm="1">
        <f t="array" ref="G487">INDEX(Changed!$G:$G,ROW())&amp;IF(Changed!$G487&gt;Base!$G487,"↑",IF(Changed!$G487&lt;Base!$G487," ↓",""))</f>
        <v>460</v>
      </c>
      <c r="H487" s="7" t="str" cm="1">
        <f t="array" ref="H487">INDEX(Changed!$H:$H,ROW())&amp;IF(Changed!$H487&gt;Base!$H487,"↑",IF(Changed!$H487&lt;Base!$H487," ↓",""))</f>
        <v>69</v>
      </c>
      <c r="I487" s="7" t="str" cm="1">
        <f t="array" ref="I487">INDEX(Changed!$I:$I,ROW())&amp;IF(Changed!$I487&gt;Base!$I487,"↑",IF(Changed!$I487&lt;Base!$I487," ↓",""))</f>
        <v>69</v>
      </c>
      <c r="J487" s="7" t="str" cm="1">
        <f t="array" ref="J487">INDEX(Changed!$J:$J,ROW())&amp;IF(Changed!$J487&gt;Base!$J487,"↑",IF(Changed!$J487&lt;Base!$J487," ↓",""))</f>
        <v>76</v>
      </c>
      <c r="K487" s="7" t="str" cm="1">
        <f t="array" ref="K487">INDEX(Changed!$K:$K,ROW())&amp;IF(Changed!$K487&gt;Base!$K487,"↑",IF(Changed!$K487&lt;Base!$K487," ↓",""))</f>
        <v>69</v>
      </c>
      <c r="L487" s="7" t="str" cm="1">
        <f t="array" ref="L487">INDEX(Changed!$L:$L,ROW())&amp;IF(Changed!$L487&gt;Base!$L487,"↑",IF(Changed!$L487&lt;Base!$L487," ↓",""))</f>
        <v>86</v>
      </c>
      <c r="M487" s="7" t="str" cm="1">
        <f t="array" ref="M487">INDEX(Changed!$M:$M,ROW())&amp;IF(Changed!$M487&gt;Base!$M487,"↑",IF(Changed!$M487&lt;Base!$M487," ↓",""))</f>
        <v>91</v>
      </c>
      <c r="N487" s="19">
        <f>Changed!G487-Base!G487</f>
        <v>0</v>
      </c>
    </row>
    <row r="488" spans="1:14" ht="15.75" customHeight="1" x14ac:dyDescent="0.2">
      <c r="A488" s="4">
        <v>487</v>
      </c>
      <c r="B488" s="5" t="s">
        <v>494</v>
      </c>
      <c r="C488" s="6" t="str">
        <f>IF(Changed!C488&lt;&gt;"", Changed!C488, "")</f>
        <v>Grass</v>
      </c>
      <c r="D488" s="6" t="str">
        <f>IF(Changed!D488&lt;&gt;"", Changed!D488, "")</f>
        <v>Ice</v>
      </c>
      <c r="E488" s="6" t="str">
        <f>IF(Changed!E488&lt;&gt;"", Changed!E488, "")</f>
        <v>Snow Warning</v>
      </c>
      <c r="F488" s="6" t="str">
        <f>IF(Changed!F488&lt;&gt;"", Changed!F488, "")</f>
        <v/>
      </c>
      <c r="G488" s="7" t="str" cm="1">
        <f t="array" ref="G488">INDEX(Changed!$G:$G,ROW())&amp;IF(Changed!$G488&gt;Base!$G488,"↑",IF(Changed!$G488&lt;Base!$G488," ↓",""))</f>
        <v>334</v>
      </c>
      <c r="H488" s="7" t="str" cm="1">
        <f t="array" ref="H488">INDEX(Changed!$H:$H,ROW())&amp;IF(Changed!$H488&gt;Base!$H488,"↑",IF(Changed!$H488&lt;Base!$H488," ↓",""))</f>
        <v>60</v>
      </c>
      <c r="I488" s="7" t="str" cm="1">
        <f t="array" ref="I488">INDEX(Changed!$I:$I,ROW())&amp;IF(Changed!$I488&gt;Base!$I488,"↑",IF(Changed!$I488&lt;Base!$I488," ↓",""))</f>
        <v>62</v>
      </c>
      <c r="J488" s="7" t="str" cm="1">
        <f t="array" ref="J488">INDEX(Changed!$J:$J,ROW())&amp;IF(Changed!$J488&gt;Base!$J488,"↑",IF(Changed!$J488&lt;Base!$J488," ↓",""))</f>
        <v>50</v>
      </c>
      <c r="K488" s="7" t="str" cm="1">
        <f t="array" ref="K488">INDEX(Changed!$K:$K,ROW())&amp;IF(Changed!$K488&gt;Base!$K488,"↑",IF(Changed!$K488&lt;Base!$K488," ↓",""))</f>
        <v>62</v>
      </c>
      <c r="L488" s="7" t="str" cm="1">
        <f t="array" ref="L488">INDEX(Changed!$L:$L,ROW())&amp;IF(Changed!$L488&gt;Base!$L488,"↑",IF(Changed!$L488&lt;Base!$L488," ↓",""))</f>
        <v>60</v>
      </c>
      <c r="M488" s="7" t="str" cm="1">
        <f t="array" ref="M488">INDEX(Changed!$M:$M,ROW())&amp;IF(Changed!$M488&gt;Base!$M488,"↑",IF(Changed!$M488&lt;Base!$M488," ↓",""))</f>
        <v>40</v>
      </c>
      <c r="N488" s="19">
        <f>Changed!G488-Base!G488</f>
        <v>0</v>
      </c>
    </row>
    <row r="489" spans="1:14" ht="15.75" customHeight="1" x14ac:dyDescent="0.2">
      <c r="A489" s="4">
        <v>488</v>
      </c>
      <c r="B489" s="5" t="s">
        <v>495</v>
      </c>
      <c r="C489" s="6" t="str">
        <f>IF(Changed!C489&lt;&gt;"", Changed!C489, "")</f>
        <v>Grass</v>
      </c>
      <c r="D489" s="6" t="str">
        <f>IF(Changed!D489&lt;&gt;"", Changed!D489, "")</f>
        <v>Ice</v>
      </c>
      <c r="E489" s="6" t="str">
        <f>IF(Changed!E489&lt;&gt;"", Changed!E489, "")</f>
        <v>Snow Warning</v>
      </c>
      <c r="F489" s="6" t="str">
        <f>IF(Changed!F489&lt;&gt;"", Changed!F489, "")</f>
        <v/>
      </c>
      <c r="G489" s="7" t="str" cm="1">
        <f t="array" ref="G489">INDEX(Changed!$G:$G,ROW())&amp;IF(Changed!$G489&gt;Base!$G489,"↑",IF(Changed!$G489&lt;Base!$G489," ↓",""))</f>
        <v>494</v>
      </c>
      <c r="H489" s="7" t="str" cm="1">
        <f t="array" ref="H489">INDEX(Changed!$H:$H,ROW())&amp;IF(Changed!$H489&gt;Base!$H489,"↑",IF(Changed!$H489&lt;Base!$H489," ↓",""))</f>
        <v>90</v>
      </c>
      <c r="I489" s="7" t="str" cm="1">
        <f t="array" ref="I489">INDEX(Changed!$I:$I,ROW())&amp;IF(Changed!$I489&gt;Base!$I489,"↑",IF(Changed!$I489&lt;Base!$I489," ↓",""))</f>
        <v>92</v>
      </c>
      <c r="J489" s="7" t="str" cm="1">
        <f t="array" ref="J489">INDEX(Changed!$J:$J,ROW())&amp;IF(Changed!$J489&gt;Base!$J489,"↑",IF(Changed!$J489&lt;Base!$J489," ↓",""))</f>
        <v>75</v>
      </c>
      <c r="K489" s="7" t="str" cm="1">
        <f t="array" ref="K489">INDEX(Changed!$K:$K,ROW())&amp;IF(Changed!$K489&gt;Base!$K489,"↑",IF(Changed!$K489&lt;Base!$K489," ↓",""))</f>
        <v>92</v>
      </c>
      <c r="L489" s="7" t="str" cm="1">
        <f t="array" ref="L489">INDEX(Changed!$L:$L,ROW())&amp;IF(Changed!$L489&gt;Base!$L489,"↑",IF(Changed!$L489&lt;Base!$L489," ↓",""))</f>
        <v>85</v>
      </c>
      <c r="M489" s="7" t="str" cm="1">
        <f t="array" ref="M489">INDEX(Changed!$M:$M,ROW())&amp;IF(Changed!$M489&gt;Base!$M489,"↑",IF(Changed!$M489&lt;Base!$M489," ↓",""))</f>
        <v>60</v>
      </c>
      <c r="N489" s="19">
        <f>Changed!G489-Base!G489</f>
        <v>0</v>
      </c>
    </row>
    <row r="490" spans="1:14" ht="15.75" customHeight="1" x14ac:dyDescent="0.2">
      <c r="A490" s="4">
        <v>489</v>
      </c>
      <c r="B490" s="5" t="s">
        <v>514</v>
      </c>
      <c r="C490" s="6" t="str">
        <f>IF(Changed!C490&lt;&gt;"", Changed!C490, "")</f>
        <v>Electric</v>
      </c>
      <c r="D490" s="6" t="str">
        <f>IF(Changed!D490&lt;&gt;"", Changed!D490, "")</f>
        <v>Ghost</v>
      </c>
      <c r="E490" s="6" t="str">
        <f>IF(Changed!E490&lt;&gt;"", Changed!E490, "")</f>
        <v>Levitate</v>
      </c>
      <c r="F490" s="6" t="str">
        <f>IF(Changed!F490&lt;&gt;"", Changed!F490, "")</f>
        <v/>
      </c>
      <c r="G490" s="7" t="str" cm="1">
        <f t="array" ref="G490">INDEX(Changed!$G:$G,ROW())&amp;IF(Changed!$G490&gt;Base!$G490,"↑",IF(Changed!$G490&lt;Base!$G490," ↓",""))</f>
        <v>440</v>
      </c>
      <c r="H490" s="7" t="str" cm="1">
        <f t="array" ref="H490">INDEX(Changed!$H:$H,ROW())&amp;IF(Changed!$H490&gt;Base!$H490,"↑",IF(Changed!$H490&lt;Base!$H490," ↓",""))</f>
        <v>50</v>
      </c>
      <c r="I490" s="7" t="str" cm="1">
        <f t="array" ref="I490">INDEX(Changed!$I:$I,ROW())&amp;IF(Changed!$I490&gt;Base!$I490,"↑",IF(Changed!$I490&lt;Base!$I490," ↓",""))</f>
        <v>50</v>
      </c>
      <c r="J490" s="7" t="str" cm="1">
        <f t="array" ref="J490">INDEX(Changed!$J:$J,ROW())&amp;IF(Changed!$J490&gt;Base!$J490,"↑",IF(Changed!$J490&lt;Base!$J490," ↓",""))</f>
        <v>77</v>
      </c>
      <c r="K490" s="7" t="str" cm="1">
        <f t="array" ref="K490">INDEX(Changed!$K:$K,ROW())&amp;IF(Changed!$K490&gt;Base!$K490,"↑",IF(Changed!$K490&lt;Base!$K490," ↓",""))</f>
        <v>95</v>
      </c>
      <c r="L490" s="7" t="str" cm="1">
        <f t="array" ref="L490">INDEX(Changed!$L:$L,ROW())&amp;IF(Changed!$L490&gt;Base!$L490,"↑",IF(Changed!$L490&lt;Base!$L490," ↓",""))</f>
        <v>77</v>
      </c>
      <c r="M490" s="7" t="str" cm="1">
        <f t="array" ref="M490">INDEX(Changed!$M:$M,ROW())&amp;IF(Changed!$M490&gt;Base!$M490,"↑",IF(Changed!$M490&lt;Base!$M490," ↓",""))</f>
        <v>91</v>
      </c>
      <c r="N490" s="19">
        <f>Changed!G490-Base!G490</f>
        <v>0</v>
      </c>
    </row>
    <row r="491" spans="1:14" ht="15.75" customHeight="1" x14ac:dyDescent="0.2">
      <c r="A491" s="4">
        <v>490</v>
      </c>
      <c r="B491" s="5" t="s">
        <v>515</v>
      </c>
      <c r="C491" s="6" t="str">
        <f>IF(Changed!C491&lt;&gt;"", Changed!C491, "")</f>
        <v>Psychic</v>
      </c>
      <c r="D491" s="6" t="str">
        <f>IF(Changed!D491&lt;&gt;"", Changed!D491, "")</f>
        <v/>
      </c>
      <c r="E491" s="6" t="str">
        <f>IF(Changed!E491&lt;&gt;"", Changed!E491, "")</f>
        <v>Levitate</v>
      </c>
      <c r="F491" s="6" t="str">
        <f>IF(Changed!F491&lt;&gt;"", Changed!F491, "")</f>
        <v/>
      </c>
      <c r="G491" s="7" t="str" cm="1">
        <f t="array" ref="G491">INDEX(Changed!$G:$G,ROW())&amp;IF(Changed!$G491&gt;Base!$G491,"↑",IF(Changed!$G491&lt;Base!$G491," ↓",""))</f>
        <v>580</v>
      </c>
      <c r="H491" s="7" t="str" cm="1">
        <f t="array" ref="H491">INDEX(Changed!$H:$H,ROW())&amp;IF(Changed!$H491&gt;Base!$H491,"↑",IF(Changed!$H491&lt;Base!$H491," ↓",""))</f>
        <v>75</v>
      </c>
      <c r="I491" s="7" t="str" cm="1">
        <f t="array" ref="I491">INDEX(Changed!$I:$I,ROW())&amp;IF(Changed!$I491&gt;Base!$I491,"↑",IF(Changed!$I491&lt;Base!$I491," ↓",""))</f>
        <v>75</v>
      </c>
      <c r="J491" s="7" t="str" cm="1">
        <f t="array" ref="J491">INDEX(Changed!$J:$J,ROW())&amp;IF(Changed!$J491&gt;Base!$J491,"↑",IF(Changed!$J491&lt;Base!$J491," ↓",""))</f>
        <v>130</v>
      </c>
      <c r="K491" s="7" t="str" cm="1">
        <f t="array" ref="K491">INDEX(Changed!$K:$K,ROW())&amp;IF(Changed!$K491&gt;Base!$K491,"↑",IF(Changed!$K491&lt;Base!$K491," ↓",""))</f>
        <v>75</v>
      </c>
      <c r="L491" s="7" t="str" cm="1">
        <f t="array" ref="L491">INDEX(Changed!$L:$L,ROW())&amp;IF(Changed!$L491&gt;Base!$L491,"↑",IF(Changed!$L491&lt;Base!$L491," ↓",""))</f>
        <v>130</v>
      </c>
      <c r="M491" s="7" t="str" cm="1">
        <f t="array" ref="M491">INDEX(Changed!$M:$M,ROW())&amp;IF(Changed!$M491&gt;Base!$M491,"↑",IF(Changed!$M491&lt;Base!$M491," ↓",""))</f>
        <v>95</v>
      </c>
      <c r="N491" s="19">
        <f>Changed!G491-Base!G491</f>
        <v>0</v>
      </c>
    </row>
    <row r="492" spans="1:14" ht="15.75" customHeight="1" x14ac:dyDescent="0.2">
      <c r="A492" s="4">
        <v>491</v>
      </c>
      <c r="B492" s="5" t="s">
        <v>516</v>
      </c>
      <c r="C492" s="6" t="str">
        <f>IF(Changed!C492&lt;&gt;"", Changed!C492, "")</f>
        <v>Psychic</v>
      </c>
      <c r="D492" s="6" t="str">
        <f>IF(Changed!D492&lt;&gt;"", Changed!D492, "")</f>
        <v/>
      </c>
      <c r="E492" s="6" t="str">
        <f>IF(Changed!E492&lt;&gt;"", Changed!E492, "")</f>
        <v>Levitate</v>
      </c>
      <c r="F492" s="6" t="str">
        <f>IF(Changed!F492&lt;&gt;"", Changed!F492, "")</f>
        <v/>
      </c>
      <c r="G492" s="7" t="str" cm="1">
        <f t="array" ref="G492">INDEX(Changed!$G:$G,ROW())&amp;IF(Changed!$G492&gt;Base!$G492,"↑",IF(Changed!$G492&lt;Base!$G492," ↓",""))</f>
        <v>580</v>
      </c>
      <c r="H492" s="7" t="str" cm="1">
        <f t="array" ref="H492">INDEX(Changed!$H:$H,ROW())&amp;IF(Changed!$H492&gt;Base!$H492,"↑",IF(Changed!$H492&lt;Base!$H492," ↓",""))</f>
        <v>80</v>
      </c>
      <c r="I492" s="7" t="str" cm="1">
        <f t="array" ref="I492">INDEX(Changed!$I:$I,ROW())&amp;IF(Changed!$I492&gt;Base!$I492,"↑",IF(Changed!$I492&lt;Base!$I492," ↓",""))</f>
        <v>105</v>
      </c>
      <c r="J492" s="7" t="str" cm="1">
        <f t="array" ref="J492">INDEX(Changed!$J:$J,ROW())&amp;IF(Changed!$J492&gt;Base!$J492,"↑",IF(Changed!$J492&lt;Base!$J492," ↓",""))</f>
        <v>105</v>
      </c>
      <c r="K492" s="7" t="str" cm="1">
        <f t="array" ref="K492">INDEX(Changed!$K:$K,ROW())&amp;IF(Changed!$K492&gt;Base!$K492,"↑",IF(Changed!$K492&lt;Base!$K492," ↓",""))</f>
        <v>105</v>
      </c>
      <c r="L492" s="7" t="str" cm="1">
        <f t="array" ref="L492">INDEX(Changed!$L:$L,ROW())&amp;IF(Changed!$L492&gt;Base!$L492,"↑",IF(Changed!$L492&lt;Base!$L492," ↓",""))</f>
        <v>105</v>
      </c>
      <c r="M492" s="7" t="str" cm="1">
        <f t="array" ref="M492">INDEX(Changed!$M:$M,ROW())&amp;IF(Changed!$M492&gt;Base!$M492,"↑",IF(Changed!$M492&lt;Base!$M492," ↓",""))</f>
        <v>80</v>
      </c>
      <c r="N492" s="19">
        <f>Changed!G492-Base!G492</f>
        <v>0</v>
      </c>
    </row>
    <row r="493" spans="1:14" ht="15.75" customHeight="1" x14ac:dyDescent="0.2">
      <c r="A493" s="4">
        <v>492</v>
      </c>
      <c r="B493" s="5" t="s">
        <v>517</v>
      </c>
      <c r="C493" s="6" t="str">
        <f>IF(Changed!C493&lt;&gt;"", Changed!C493, "")</f>
        <v>Psychic</v>
      </c>
      <c r="D493" s="6" t="str">
        <f>IF(Changed!D493&lt;&gt;"", Changed!D493, "")</f>
        <v/>
      </c>
      <c r="E493" s="6" t="str">
        <f>IF(Changed!E493&lt;&gt;"", Changed!E493, "")</f>
        <v>Levitate</v>
      </c>
      <c r="F493" s="6" t="str">
        <f>IF(Changed!F493&lt;&gt;"", Changed!F493, "")</f>
        <v/>
      </c>
      <c r="G493" s="7" t="str" cm="1">
        <f t="array" ref="G493">INDEX(Changed!$G:$G,ROW())&amp;IF(Changed!$G493&gt;Base!$G493,"↑",IF(Changed!$G493&lt;Base!$G493," ↓",""))</f>
        <v>580</v>
      </c>
      <c r="H493" s="7" t="str" cm="1">
        <f t="array" ref="H493">INDEX(Changed!$H:$H,ROW())&amp;IF(Changed!$H493&gt;Base!$H493,"↑",IF(Changed!$H493&lt;Base!$H493," ↓",""))</f>
        <v>75</v>
      </c>
      <c r="I493" s="7" t="str" cm="1">
        <f t="array" ref="I493">INDEX(Changed!$I:$I,ROW())&amp;IF(Changed!$I493&gt;Base!$I493,"↑",IF(Changed!$I493&lt;Base!$I493," ↓",""))</f>
        <v>125</v>
      </c>
      <c r="J493" s="7" t="str" cm="1">
        <f t="array" ref="J493">INDEX(Changed!$J:$J,ROW())&amp;IF(Changed!$J493&gt;Base!$J493,"↑",IF(Changed!$J493&lt;Base!$J493," ↓",""))</f>
        <v>70</v>
      </c>
      <c r="K493" s="7" t="str" cm="1">
        <f t="array" ref="K493">INDEX(Changed!$K:$K,ROW())&amp;IF(Changed!$K493&gt;Base!$K493,"↑",IF(Changed!$K493&lt;Base!$K493," ↓",""))</f>
        <v>125</v>
      </c>
      <c r="L493" s="7" t="str" cm="1">
        <f t="array" ref="L493">INDEX(Changed!$L:$L,ROW())&amp;IF(Changed!$L493&gt;Base!$L493,"↑",IF(Changed!$L493&lt;Base!$L493," ↓",""))</f>
        <v>70</v>
      </c>
      <c r="M493" s="7" t="str" cm="1">
        <f t="array" ref="M493">INDEX(Changed!$M:$M,ROW())&amp;IF(Changed!$M493&gt;Base!$M493,"↑",IF(Changed!$M493&lt;Base!$M493," ↓",""))</f>
        <v>115</v>
      </c>
      <c r="N493" s="19">
        <f>Changed!G493-Base!G493</f>
        <v>0</v>
      </c>
    </row>
    <row r="494" spans="1:14" ht="15.75" customHeight="1" x14ac:dyDescent="0.2">
      <c r="A494" s="4">
        <v>493</v>
      </c>
      <c r="B494" s="5" t="s">
        <v>518</v>
      </c>
      <c r="C494" s="6" t="str">
        <f>IF(Changed!C494&lt;&gt;"", Changed!C494, "")</f>
        <v>Steel</v>
      </c>
      <c r="D494" s="6" t="str">
        <f>IF(Changed!D494&lt;&gt;"", Changed!D494, "")</f>
        <v>Dragon</v>
      </c>
      <c r="E494" s="6" t="str">
        <f>IF(Changed!E494&lt;&gt;"", Changed!E494, "")</f>
        <v>Pressure</v>
      </c>
      <c r="F494" s="6" t="str">
        <f>IF(Changed!F494&lt;&gt;"", Changed!F494, "")</f>
        <v>Magic Guard</v>
      </c>
      <c r="G494" s="7" t="str" cm="1">
        <f t="array" ref="G494">INDEX(Changed!$G:$G,ROW())&amp;IF(Changed!$G494&gt;Base!$G494,"↑",IF(Changed!$G494&lt;Base!$G494," ↓",""))</f>
        <v>680</v>
      </c>
      <c r="H494" s="7" t="str" cm="1">
        <f t="array" ref="H494">INDEX(Changed!$H:$H,ROW())&amp;IF(Changed!$H494&gt;Base!$H494,"↑",IF(Changed!$H494&lt;Base!$H494," ↓",""))</f>
        <v>100</v>
      </c>
      <c r="I494" s="7" t="str" cm="1">
        <f t="array" ref="I494">INDEX(Changed!$I:$I,ROW())&amp;IF(Changed!$I494&gt;Base!$I494,"↑",IF(Changed!$I494&lt;Base!$I494," ↓",""))</f>
        <v>120</v>
      </c>
      <c r="J494" s="7" t="str" cm="1">
        <f t="array" ref="J494">INDEX(Changed!$J:$J,ROW())&amp;IF(Changed!$J494&gt;Base!$J494,"↑",IF(Changed!$J494&lt;Base!$J494," ↓",""))</f>
        <v>120</v>
      </c>
      <c r="K494" s="7" t="str" cm="1">
        <f t="array" ref="K494">INDEX(Changed!$K:$K,ROW())&amp;IF(Changed!$K494&gt;Base!$K494,"↑",IF(Changed!$K494&lt;Base!$K494," ↓",""))</f>
        <v>150</v>
      </c>
      <c r="L494" s="7" t="str" cm="1">
        <f t="array" ref="L494">INDEX(Changed!$L:$L,ROW())&amp;IF(Changed!$L494&gt;Base!$L494,"↑",IF(Changed!$L494&lt;Base!$L494," ↓",""))</f>
        <v>100</v>
      </c>
      <c r="M494" s="7" t="str" cm="1">
        <f t="array" ref="M494">INDEX(Changed!$M:$M,ROW())&amp;IF(Changed!$M494&gt;Base!$M494,"↑",IF(Changed!$M494&lt;Base!$M494," ↓",""))</f>
        <v>90</v>
      </c>
      <c r="N494" s="19">
        <f>Changed!G494-Base!G494</f>
        <v>0</v>
      </c>
    </row>
    <row r="495" spans="1:14" ht="15.75" customHeight="1" x14ac:dyDescent="0.2">
      <c r="A495" s="4">
        <v>494</v>
      </c>
      <c r="B495" s="5" t="s">
        <v>519</v>
      </c>
      <c r="C495" s="6" t="str">
        <f>IF(Changed!C495&lt;&gt;"", Changed!C495, "")</f>
        <v>Water</v>
      </c>
      <c r="D495" s="6" t="str">
        <f>IF(Changed!D495&lt;&gt;"", Changed!D495, "")</f>
        <v>Dragon</v>
      </c>
      <c r="E495" s="6" t="str">
        <f>IF(Changed!E495&lt;&gt;"", Changed!E495, "")</f>
        <v>Pressure</v>
      </c>
      <c r="F495" s="6" t="str">
        <f>IF(Changed!F495&lt;&gt;"", Changed!F495, "")</f>
        <v>Shadow Tag</v>
      </c>
      <c r="G495" s="7" t="str" cm="1">
        <f t="array" ref="G495">INDEX(Changed!$G:$G,ROW())&amp;IF(Changed!$G495&gt;Base!$G495,"↑",IF(Changed!$G495&lt;Base!$G495," ↓",""))</f>
        <v>680</v>
      </c>
      <c r="H495" s="7" t="str" cm="1">
        <f t="array" ref="H495">INDEX(Changed!$H:$H,ROW())&amp;IF(Changed!$H495&gt;Base!$H495,"↑",IF(Changed!$H495&lt;Base!$H495," ↓",""))</f>
        <v>90</v>
      </c>
      <c r="I495" s="7" t="str" cm="1">
        <f t="array" ref="I495">INDEX(Changed!$I:$I,ROW())&amp;IF(Changed!$I495&gt;Base!$I495,"↑",IF(Changed!$I495&lt;Base!$I495," ↓",""))</f>
        <v>120</v>
      </c>
      <c r="J495" s="7" t="str" cm="1">
        <f t="array" ref="J495">INDEX(Changed!$J:$J,ROW())&amp;IF(Changed!$J495&gt;Base!$J495,"↑",IF(Changed!$J495&lt;Base!$J495," ↓",""))</f>
        <v>100</v>
      </c>
      <c r="K495" s="7" t="str" cm="1">
        <f t="array" ref="K495">INDEX(Changed!$K:$K,ROW())&amp;IF(Changed!$K495&gt;Base!$K495,"↑",IF(Changed!$K495&lt;Base!$K495," ↓",""))</f>
        <v>150</v>
      </c>
      <c r="L495" s="7" t="str" cm="1">
        <f t="array" ref="L495">INDEX(Changed!$L:$L,ROW())&amp;IF(Changed!$L495&gt;Base!$L495,"↑",IF(Changed!$L495&lt;Base!$L495," ↓",""))</f>
        <v>120</v>
      </c>
      <c r="M495" s="7" t="str" cm="1">
        <f t="array" ref="M495">INDEX(Changed!$M:$M,ROW())&amp;IF(Changed!$M495&gt;Base!$M495,"↑",IF(Changed!$M495&lt;Base!$M495," ↓",""))</f>
        <v>100</v>
      </c>
      <c r="N495" s="19">
        <f>Changed!G495-Base!G495</f>
        <v>0</v>
      </c>
    </row>
    <row r="496" spans="1:14" ht="15.75" customHeight="1" x14ac:dyDescent="0.2">
      <c r="A496" s="4">
        <v>495</v>
      </c>
      <c r="B496" s="5" t="s">
        <v>520</v>
      </c>
      <c r="C496" s="6" t="str">
        <f>IF(Changed!C496&lt;&gt;"", Changed!C496, "")</f>
        <v>Fire</v>
      </c>
      <c r="D496" s="6" t="str">
        <f>IF(Changed!D496&lt;&gt;"", Changed!D496, "")</f>
        <v>Steel</v>
      </c>
      <c r="E496" s="6" t="str">
        <f>IF(Changed!E496&lt;&gt;"", Changed!E496, "")</f>
        <v>Flash Fire</v>
      </c>
      <c r="F496" s="6" t="str">
        <f>IF(Changed!F496&lt;&gt;"", Changed!F496, "")</f>
        <v/>
      </c>
      <c r="G496" s="7" t="str" cm="1">
        <f t="array" ref="G496">INDEX(Changed!$G:$G,ROW())&amp;IF(Changed!$G496&gt;Base!$G496,"↑",IF(Changed!$G496&lt;Base!$G496," ↓",""))</f>
        <v>600</v>
      </c>
      <c r="H496" s="7" t="str" cm="1">
        <f t="array" ref="H496">INDEX(Changed!$H:$H,ROW())&amp;IF(Changed!$H496&gt;Base!$H496,"↑",IF(Changed!$H496&lt;Base!$H496," ↓",""))</f>
        <v>91</v>
      </c>
      <c r="I496" s="7" t="str" cm="1">
        <f t="array" ref="I496">INDEX(Changed!$I:$I,ROW())&amp;IF(Changed!$I496&gt;Base!$I496,"↑",IF(Changed!$I496&lt;Base!$I496," ↓",""))</f>
        <v>90</v>
      </c>
      <c r="J496" s="7" t="str" cm="1">
        <f t="array" ref="J496">INDEX(Changed!$J:$J,ROW())&amp;IF(Changed!$J496&gt;Base!$J496,"↑",IF(Changed!$J496&lt;Base!$J496," ↓",""))</f>
        <v>106</v>
      </c>
      <c r="K496" s="7" t="str" cm="1">
        <f t="array" ref="K496">INDEX(Changed!$K:$K,ROW())&amp;IF(Changed!$K496&gt;Base!$K496,"↑",IF(Changed!$K496&lt;Base!$K496," ↓",""))</f>
        <v>130</v>
      </c>
      <c r="L496" s="7" t="str" cm="1">
        <f t="array" ref="L496">INDEX(Changed!$L:$L,ROW())&amp;IF(Changed!$L496&gt;Base!$L496,"↑",IF(Changed!$L496&lt;Base!$L496," ↓",""))</f>
        <v>106</v>
      </c>
      <c r="M496" s="7" t="str" cm="1">
        <f t="array" ref="M496">INDEX(Changed!$M:$M,ROW())&amp;IF(Changed!$M496&gt;Base!$M496,"↑",IF(Changed!$M496&lt;Base!$M496," ↓",""))</f>
        <v>77</v>
      </c>
      <c r="N496" s="19">
        <f>Changed!G496-Base!G496</f>
        <v>0</v>
      </c>
    </row>
    <row r="497" spans="1:14" ht="15.75" customHeight="1" x14ac:dyDescent="0.2">
      <c r="A497" s="4">
        <v>496</v>
      </c>
      <c r="B497" s="5" t="s">
        <v>521</v>
      </c>
      <c r="C497" s="6" t="str">
        <f>IF(Changed!C497&lt;&gt;"", Changed!C497, "")</f>
        <v>Normal</v>
      </c>
      <c r="D497" s="6" t="str">
        <f>IF(Changed!D497&lt;&gt;"", Changed!D497, "")</f>
        <v/>
      </c>
      <c r="E497" s="6" t="str">
        <f>IF(Changed!E497&lt;&gt;"", Changed!E497, "")</f>
        <v>Slow Start</v>
      </c>
      <c r="F497" s="6" t="str">
        <f>IF(Changed!F497&lt;&gt;"", Changed!F497, "")</f>
        <v>Defeatist</v>
      </c>
      <c r="G497" s="7" t="str" cm="1">
        <f t="array" ref="G497">INDEX(Changed!$G:$G,ROW())&amp;IF(Changed!$G497&gt;Base!$G497,"↑",IF(Changed!$G497&lt;Base!$G497," ↓",""))</f>
        <v>670</v>
      </c>
      <c r="H497" s="7" t="str" cm="1">
        <f t="array" ref="H497">INDEX(Changed!$H:$H,ROW())&amp;IF(Changed!$H497&gt;Base!$H497,"↑",IF(Changed!$H497&lt;Base!$H497," ↓",""))</f>
        <v>110</v>
      </c>
      <c r="I497" s="7" t="str" cm="1">
        <f t="array" ref="I497">INDEX(Changed!$I:$I,ROW())&amp;IF(Changed!$I497&gt;Base!$I497,"↑",IF(Changed!$I497&lt;Base!$I497," ↓",""))</f>
        <v>160</v>
      </c>
      <c r="J497" s="7" t="str" cm="1">
        <f t="array" ref="J497">INDEX(Changed!$J:$J,ROW())&amp;IF(Changed!$J497&gt;Base!$J497,"↑",IF(Changed!$J497&lt;Base!$J497," ↓",""))</f>
        <v>110</v>
      </c>
      <c r="K497" s="7" t="str" cm="1">
        <f t="array" ref="K497">INDEX(Changed!$K:$K,ROW())&amp;IF(Changed!$K497&gt;Base!$K497,"↑",IF(Changed!$K497&lt;Base!$K497," ↓",""))</f>
        <v>80</v>
      </c>
      <c r="L497" s="7" t="str" cm="1">
        <f t="array" ref="L497">INDEX(Changed!$L:$L,ROW())&amp;IF(Changed!$L497&gt;Base!$L497,"↑",IF(Changed!$L497&lt;Base!$L497," ↓",""))</f>
        <v>110</v>
      </c>
      <c r="M497" s="7" t="str" cm="1">
        <f t="array" ref="M497">INDEX(Changed!$M:$M,ROW())&amp;IF(Changed!$M497&gt;Base!$M497,"↑",IF(Changed!$M497&lt;Base!$M497," ↓",""))</f>
        <v>100</v>
      </c>
      <c r="N497" s="19">
        <f>Changed!G497-Base!G497</f>
        <v>0</v>
      </c>
    </row>
    <row r="498" spans="1:14" ht="15.75" customHeight="1" x14ac:dyDescent="0.2">
      <c r="A498" s="4">
        <v>497</v>
      </c>
      <c r="B498" s="5" t="s">
        <v>522</v>
      </c>
      <c r="C498" s="6" t="str">
        <f>IF(Changed!C498&lt;&gt;"", Changed!C498, "")</f>
        <v>Ghost</v>
      </c>
      <c r="D498" s="6" t="str">
        <f>IF(Changed!D498&lt;&gt;"", Changed!D498, "")</f>
        <v>Dragon</v>
      </c>
      <c r="E498" s="6" t="s">
        <v>605</v>
      </c>
      <c r="F498" s="6" t="str">
        <f>IF(Changed!F498&lt;&gt;"", Changed!F498, "")</f>
        <v/>
      </c>
      <c r="G498" s="7" t="str" cm="1">
        <f t="array" ref="G498">INDEX(Changed!$G:$G,ROW())&amp;IF(Changed!$G498&gt;Base!$G498,"↑",IF(Changed!$G498&lt;Base!$G498," ↓",""))</f>
        <v>680</v>
      </c>
      <c r="H498" s="7" t="str" cm="1">
        <f t="array" ref="H498">INDEX(Changed!$H:$H,ROW())&amp;IF(Changed!$H498&gt;Base!$H498,"↑",IF(Changed!$H498&lt;Base!$H498," ↓",""))</f>
        <v>150</v>
      </c>
      <c r="I498" s="7" t="str" cm="1">
        <f t="array" ref="I498">INDEX(Changed!$I:$I,ROW())&amp;IF(Changed!$I498&gt;Base!$I498,"↑",IF(Changed!$I498&lt;Base!$I498," ↓",""))</f>
        <v>100</v>
      </c>
      <c r="J498" s="7" t="str" cm="1">
        <f t="array" ref="J498">INDEX(Changed!$J:$J,ROW())&amp;IF(Changed!$J498&gt;Base!$J498,"↑",IF(Changed!$J498&lt;Base!$J498," ↓",""))</f>
        <v>120</v>
      </c>
      <c r="K498" s="7" t="str" cm="1">
        <f t="array" ref="K498">INDEX(Changed!$K:$K,ROW())&amp;IF(Changed!$K498&gt;Base!$K498,"↑",IF(Changed!$K498&lt;Base!$K498," ↓",""))</f>
        <v>100</v>
      </c>
      <c r="L498" s="7" t="str" cm="1">
        <f t="array" ref="L498">INDEX(Changed!$L:$L,ROW())&amp;IF(Changed!$L498&gt;Base!$L498,"↑",IF(Changed!$L498&lt;Base!$L498," ↓",""))</f>
        <v>120</v>
      </c>
      <c r="M498" s="7" t="str" cm="1">
        <f t="array" ref="M498">INDEX(Changed!$M:$M,ROW())&amp;IF(Changed!$M498&gt;Base!$M498,"↑",IF(Changed!$M498&lt;Base!$M498," ↓",""))</f>
        <v>90</v>
      </c>
      <c r="N498" s="19">
        <f>Changed!G498-Base!G498</f>
        <v>0</v>
      </c>
    </row>
    <row r="499" spans="1:14" ht="15.75" customHeight="1" x14ac:dyDescent="0.2">
      <c r="A499" s="4">
        <v>498</v>
      </c>
      <c r="B499" s="5" t="s">
        <v>523</v>
      </c>
      <c r="C499" s="6" t="str">
        <f>IF(Changed!C499&lt;&gt;"", Changed!C499, "")</f>
        <v>Psychic</v>
      </c>
      <c r="D499" s="6" t="str">
        <f>IF(Changed!D499&lt;&gt;"", Changed!D499, "")</f>
        <v/>
      </c>
      <c r="E499" s="6" t="str">
        <f>IF(Changed!E499&lt;&gt;"", Changed!E499, "")</f>
        <v>Levitate</v>
      </c>
      <c r="F499" s="6" t="str">
        <f>IF(Changed!F499&lt;&gt;"", Changed!F499, "")</f>
        <v>Friend Guard</v>
      </c>
      <c r="G499" s="7" t="str" cm="1">
        <f t="array" ref="G499">INDEX(Changed!$G:$G,ROW())&amp;IF(Changed!$G499&gt;Base!$G499,"↑",IF(Changed!$G499&lt;Base!$G499," ↓",""))</f>
        <v>580</v>
      </c>
      <c r="H499" s="7" t="str" cm="1">
        <f t="array" ref="H499">INDEX(Changed!$H:$H,ROW())&amp;IF(Changed!$H499&gt;Base!$H499,"↑",IF(Changed!$H499&lt;Base!$H499," ↓",""))</f>
        <v>120</v>
      </c>
      <c r="I499" s="7" t="str" cm="1">
        <f t="array" ref="I499">INDEX(Changed!$I:$I,ROW())&amp;IF(Changed!$I499&gt;Base!$I499,"↑",IF(Changed!$I499&lt;Base!$I499," ↓",""))</f>
        <v>70</v>
      </c>
      <c r="J499" s="7" t="str" cm="1">
        <f t="array" ref="J499">INDEX(Changed!$J:$J,ROW())&amp;IF(Changed!$J499&gt;Base!$J499,"↑",IF(Changed!$J499&lt;Base!$J499," ↓",""))</f>
        <v>110</v>
      </c>
      <c r="K499" s="7" t="str" cm="1">
        <f t="array" ref="K499">INDEX(Changed!$K:$K,ROW())&amp;IF(Changed!$K499&gt;Base!$K499,"↑",IF(Changed!$K499&lt;Base!$K499," ↓",""))</f>
        <v>75</v>
      </c>
      <c r="L499" s="7" t="str" cm="1">
        <f t="array" ref="L499">INDEX(Changed!$L:$L,ROW())&amp;IF(Changed!$L499&gt;Base!$L499,"↑",IF(Changed!$L499&lt;Base!$L499," ↓",""))</f>
        <v>120</v>
      </c>
      <c r="M499" s="7" t="str" cm="1">
        <f t="array" ref="M499">INDEX(Changed!$M:$M,ROW())&amp;IF(Changed!$M499&gt;Base!$M499,"↑",IF(Changed!$M499&lt;Base!$M499," ↓",""))</f>
        <v>85</v>
      </c>
      <c r="N499" s="19">
        <f>Changed!G499-Base!G499</f>
        <v>0</v>
      </c>
    </row>
    <row r="500" spans="1:14" ht="15.75" customHeight="1" x14ac:dyDescent="0.2">
      <c r="A500" s="4">
        <v>499</v>
      </c>
      <c r="B500" s="5" t="s">
        <v>524</v>
      </c>
      <c r="C500" s="6" t="str">
        <f>IF(Changed!C500&lt;&gt;"", Changed!C500, "")</f>
        <v>Water</v>
      </c>
      <c r="D500" s="6" t="str">
        <f>IF(Changed!D500&lt;&gt;"", Changed!D500, "")</f>
        <v/>
      </c>
      <c r="E500" s="6" t="str">
        <f>IF(Changed!E500&lt;&gt;"", Changed!E500, "")</f>
        <v>Hydration</v>
      </c>
      <c r="F500" s="6" t="str">
        <f>IF(Changed!F500&lt;&gt;"", Changed!F500, "")</f>
        <v/>
      </c>
      <c r="G500" s="7" t="str" cm="1">
        <f t="array" ref="G500">INDEX(Changed!$G:$G,ROW())&amp;IF(Changed!$G500&gt;Base!$G500,"↑",IF(Changed!$G500&lt;Base!$G500," ↓",""))</f>
        <v>480</v>
      </c>
      <c r="H500" s="7" t="str" cm="1">
        <f t="array" ref="H500">INDEX(Changed!$H:$H,ROW())&amp;IF(Changed!$H500&gt;Base!$H500,"↑",IF(Changed!$H500&lt;Base!$H500," ↓",""))</f>
        <v>80</v>
      </c>
      <c r="I500" s="7" t="str" cm="1">
        <f t="array" ref="I500">INDEX(Changed!$I:$I,ROW())&amp;IF(Changed!$I500&gt;Base!$I500,"↑",IF(Changed!$I500&lt;Base!$I500," ↓",""))</f>
        <v>80</v>
      </c>
      <c r="J500" s="7" t="str" cm="1">
        <f t="array" ref="J500">INDEX(Changed!$J:$J,ROW())&amp;IF(Changed!$J500&gt;Base!$J500,"↑",IF(Changed!$J500&lt;Base!$J500," ↓",""))</f>
        <v>80</v>
      </c>
      <c r="K500" s="7" t="str" cm="1">
        <f t="array" ref="K500">INDEX(Changed!$K:$K,ROW())&amp;IF(Changed!$K500&gt;Base!$K500,"↑",IF(Changed!$K500&lt;Base!$K500," ↓",""))</f>
        <v>80</v>
      </c>
      <c r="L500" s="7" t="str" cm="1">
        <f t="array" ref="L500">INDEX(Changed!$L:$L,ROW())&amp;IF(Changed!$L500&gt;Base!$L500,"↑",IF(Changed!$L500&lt;Base!$L500," ↓",""))</f>
        <v>80</v>
      </c>
      <c r="M500" s="7" t="str" cm="1">
        <f t="array" ref="M500">INDEX(Changed!$M:$M,ROW())&amp;IF(Changed!$M500&gt;Base!$M500,"↑",IF(Changed!$M500&lt;Base!$M500," ↓",""))</f>
        <v>80</v>
      </c>
      <c r="N500" s="19">
        <f>Changed!G500-Base!G500</f>
        <v>0</v>
      </c>
    </row>
    <row r="501" spans="1:14" ht="15.75" customHeight="1" x14ac:dyDescent="0.2">
      <c r="A501" s="4">
        <v>500</v>
      </c>
      <c r="B501" s="5" t="s">
        <v>525</v>
      </c>
      <c r="C501" s="6" t="str">
        <f>IF(Changed!C501&lt;&gt;"", Changed!C501, "")</f>
        <v>Water</v>
      </c>
      <c r="D501" s="6" t="str">
        <f>IF(Changed!D501&lt;&gt;"", Changed!D501, "")</f>
        <v/>
      </c>
      <c r="E501" s="6" t="str">
        <f>IF(Changed!E501&lt;&gt;"", Changed!E501, "")</f>
        <v>Hydration</v>
      </c>
      <c r="F501" s="6" t="str">
        <f>IF(Changed!F501&lt;&gt;"", Changed!F501, "")</f>
        <v/>
      </c>
      <c r="G501" s="7" t="str" cm="1">
        <f t="array" ref="G501">INDEX(Changed!$G:$G,ROW())&amp;IF(Changed!$G501&gt;Base!$G501,"↑",IF(Changed!$G501&lt;Base!$G501," ↓",""))</f>
        <v>600</v>
      </c>
      <c r="H501" s="7" t="str" cm="1">
        <f t="array" ref="H501">INDEX(Changed!$H:$H,ROW())&amp;IF(Changed!$H501&gt;Base!$H501,"↑",IF(Changed!$H501&lt;Base!$H501," ↓",""))</f>
        <v>100</v>
      </c>
      <c r="I501" s="7" t="str" cm="1">
        <f t="array" ref="I501">INDEX(Changed!$I:$I,ROW())&amp;IF(Changed!$I501&gt;Base!$I501,"↑",IF(Changed!$I501&lt;Base!$I501," ↓",""))</f>
        <v>100</v>
      </c>
      <c r="J501" s="7" t="str" cm="1">
        <f t="array" ref="J501">INDEX(Changed!$J:$J,ROW())&amp;IF(Changed!$J501&gt;Base!$J501,"↑",IF(Changed!$J501&lt;Base!$J501," ↓",""))</f>
        <v>100</v>
      </c>
      <c r="K501" s="7" t="str" cm="1">
        <f t="array" ref="K501">INDEX(Changed!$K:$K,ROW())&amp;IF(Changed!$K501&gt;Base!$K501,"↑",IF(Changed!$K501&lt;Base!$K501," ↓",""))</f>
        <v>100</v>
      </c>
      <c r="L501" s="7" t="str" cm="1">
        <f t="array" ref="L501">INDEX(Changed!$L:$L,ROW())&amp;IF(Changed!$L501&gt;Base!$L501,"↑",IF(Changed!$L501&lt;Base!$L501," ↓",""))</f>
        <v>100</v>
      </c>
      <c r="M501" s="7" t="str" cm="1">
        <f t="array" ref="M501">INDEX(Changed!$M:$M,ROW())&amp;IF(Changed!$M501&gt;Base!$M501,"↑",IF(Changed!$M501&lt;Base!$M501," ↓",""))</f>
        <v>100</v>
      </c>
      <c r="N501" s="19">
        <f>Changed!G501-Base!G501</f>
        <v>0</v>
      </c>
    </row>
    <row r="502" spans="1:14" ht="15.75" customHeight="1" x14ac:dyDescent="0.2">
      <c r="A502" s="4">
        <v>501</v>
      </c>
      <c r="B502" s="5" t="s">
        <v>526</v>
      </c>
      <c r="C502" s="6" t="str">
        <f>IF(Changed!C502&lt;&gt;"", Changed!C502, "")</f>
        <v>Dark</v>
      </c>
      <c r="D502" s="6" t="str">
        <f>IF(Changed!D502&lt;&gt;"", Changed!D502, "")</f>
        <v/>
      </c>
      <c r="E502" s="6" t="str">
        <f>IF(Changed!E502&lt;&gt;"", Changed!E502, "")</f>
        <v>Bad Dreams</v>
      </c>
      <c r="F502" s="6" t="str">
        <f>IF(Changed!F502&lt;&gt;"", Changed!F502, "")</f>
        <v/>
      </c>
      <c r="G502" s="7" t="str" cm="1">
        <f t="array" ref="G502">INDEX(Changed!$G:$G,ROW())&amp;IF(Changed!$G502&gt;Base!$G502,"↑",IF(Changed!$G502&lt;Base!$G502," ↓",""))</f>
        <v>600</v>
      </c>
      <c r="H502" s="7" t="str" cm="1">
        <f t="array" ref="H502">INDEX(Changed!$H:$H,ROW())&amp;IF(Changed!$H502&gt;Base!$H502,"↑",IF(Changed!$H502&lt;Base!$H502," ↓",""))</f>
        <v>70</v>
      </c>
      <c r="I502" s="7" t="str" cm="1">
        <f t="array" ref="I502">INDEX(Changed!$I:$I,ROW())&amp;IF(Changed!$I502&gt;Base!$I502,"↑",IF(Changed!$I502&lt;Base!$I502," ↓",""))</f>
        <v>90</v>
      </c>
      <c r="J502" s="7" t="str" cm="1">
        <f t="array" ref="J502">INDEX(Changed!$J:$J,ROW())&amp;IF(Changed!$J502&gt;Base!$J502,"↑",IF(Changed!$J502&lt;Base!$J502," ↓",""))</f>
        <v>90</v>
      </c>
      <c r="K502" s="7" t="str" cm="1">
        <f t="array" ref="K502">INDEX(Changed!$K:$K,ROW())&amp;IF(Changed!$K502&gt;Base!$K502,"↑",IF(Changed!$K502&lt;Base!$K502," ↓",""))</f>
        <v>135</v>
      </c>
      <c r="L502" s="7" t="str" cm="1">
        <f t="array" ref="L502">INDEX(Changed!$L:$L,ROW())&amp;IF(Changed!$L502&gt;Base!$L502,"↑",IF(Changed!$L502&lt;Base!$L502," ↓",""))</f>
        <v>90</v>
      </c>
      <c r="M502" s="7" t="str" cm="1">
        <f t="array" ref="M502">INDEX(Changed!$M:$M,ROW())&amp;IF(Changed!$M502&gt;Base!$M502,"↑",IF(Changed!$M502&lt;Base!$M502," ↓",""))</f>
        <v>125</v>
      </c>
      <c r="N502" s="19">
        <f>Changed!G502-Base!G502</f>
        <v>0</v>
      </c>
    </row>
    <row r="503" spans="1:14" ht="15.75" customHeight="1" x14ac:dyDescent="0.2">
      <c r="A503" s="4">
        <v>502</v>
      </c>
      <c r="B503" s="5" t="s">
        <v>527</v>
      </c>
      <c r="C503" s="6" t="str">
        <f>IF(Changed!C503&lt;&gt;"", Changed!C503, "")</f>
        <v>Grass</v>
      </c>
      <c r="D503" s="6" t="str">
        <f>IF(Changed!D503&lt;&gt;"", Changed!D503, "")</f>
        <v/>
      </c>
      <c r="E503" s="6" t="str">
        <f>IF(Changed!E503&lt;&gt;"", Changed!E503, "")</f>
        <v>Natural Cure</v>
      </c>
      <c r="F503" s="6" t="str">
        <f>IF(Changed!F503&lt;&gt;"", Changed!F503, "")</f>
        <v/>
      </c>
      <c r="G503" s="7" t="str" cm="1">
        <f t="array" ref="G503">INDEX(Changed!$G:$G,ROW())&amp;IF(Changed!$G503&gt;Base!$G503,"↑",IF(Changed!$G503&lt;Base!$G503," ↓",""))</f>
        <v>600</v>
      </c>
      <c r="H503" s="7" t="str" cm="1">
        <f t="array" ref="H503">INDEX(Changed!$H:$H,ROW())&amp;IF(Changed!$H503&gt;Base!$H503,"↑",IF(Changed!$H503&lt;Base!$H503," ↓",""))</f>
        <v>100</v>
      </c>
      <c r="I503" s="7" t="str" cm="1">
        <f t="array" ref="I503">INDEX(Changed!$I:$I,ROW())&amp;IF(Changed!$I503&gt;Base!$I503,"↑",IF(Changed!$I503&lt;Base!$I503," ↓",""))</f>
        <v>100</v>
      </c>
      <c r="J503" s="7" t="str" cm="1">
        <f t="array" ref="J503">INDEX(Changed!$J:$J,ROW())&amp;IF(Changed!$J503&gt;Base!$J503,"↑",IF(Changed!$J503&lt;Base!$J503," ↓",""))</f>
        <v>100</v>
      </c>
      <c r="K503" s="7" t="str" cm="1">
        <f t="array" ref="K503">INDEX(Changed!$K:$K,ROW())&amp;IF(Changed!$K503&gt;Base!$K503,"↑",IF(Changed!$K503&lt;Base!$K503," ↓",""))</f>
        <v>100</v>
      </c>
      <c r="L503" s="7" t="str" cm="1">
        <f t="array" ref="L503">INDEX(Changed!$L:$L,ROW())&amp;IF(Changed!$L503&gt;Base!$L503,"↑",IF(Changed!$L503&lt;Base!$L503," ↓",""))</f>
        <v>100</v>
      </c>
      <c r="M503" s="7" t="str" cm="1">
        <f t="array" ref="M503">INDEX(Changed!$M:$M,ROW())&amp;IF(Changed!$M503&gt;Base!$M503,"↑",IF(Changed!$M503&lt;Base!$M503," ↓",""))</f>
        <v>100</v>
      </c>
      <c r="N503" s="19">
        <f>Changed!G503-Base!G503</f>
        <v>0</v>
      </c>
    </row>
    <row r="504" spans="1:14" ht="15.75" customHeight="1" x14ac:dyDescent="0.2">
      <c r="A504" s="4">
        <v>503</v>
      </c>
      <c r="B504" s="5" t="s">
        <v>528</v>
      </c>
      <c r="C504" s="6" t="str">
        <f>IF(Changed!C504&lt;&gt;"", Changed!C504, "")</f>
        <v>Normal</v>
      </c>
      <c r="D504" s="6" t="str">
        <f>IF(Changed!D504&lt;&gt;"", Changed!D504, "")</f>
        <v/>
      </c>
      <c r="E504" s="6" t="str">
        <f>IF(Changed!E504&lt;&gt;"", Changed!E504, "")</f>
        <v>Multitype</v>
      </c>
      <c r="F504" s="6" t="str">
        <f>IF(Changed!F504&lt;&gt;"", Changed!F504, "")</f>
        <v/>
      </c>
      <c r="G504" s="7" t="str" cm="1">
        <f t="array" ref="G504">INDEX(Changed!$G:$G,ROW())&amp;IF(Changed!$G504&gt;Base!$G504,"↑",IF(Changed!$G504&lt;Base!$G504," ↓",""))</f>
        <v>720</v>
      </c>
      <c r="H504" s="7" t="str" cm="1">
        <f t="array" ref="H504">INDEX(Changed!$H:$H,ROW())&amp;IF(Changed!$H504&gt;Base!$H504,"↑",IF(Changed!$H504&lt;Base!$H504," ↓",""))</f>
        <v>120</v>
      </c>
      <c r="I504" s="7" t="str" cm="1">
        <f t="array" ref="I504">INDEX(Changed!$I:$I,ROW())&amp;IF(Changed!$I504&gt;Base!$I504,"↑",IF(Changed!$I504&lt;Base!$I504," ↓",""))</f>
        <v>120</v>
      </c>
      <c r="J504" s="7" t="str" cm="1">
        <f t="array" ref="J504">INDEX(Changed!$J:$J,ROW())&amp;IF(Changed!$J504&gt;Base!$J504,"↑",IF(Changed!$J504&lt;Base!$J504," ↓",""))</f>
        <v>120</v>
      </c>
      <c r="K504" s="7" t="str" cm="1">
        <f t="array" ref="K504">INDEX(Changed!$K:$K,ROW())&amp;IF(Changed!$K504&gt;Base!$K504,"↑",IF(Changed!$K504&lt;Base!$K504," ↓",""))</f>
        <v>120</v>
      </c>
      <c r="L504" s="7" t="str" cm="1">
        <f t="array" ref="L504">INDEX(Changed!$L:$L,ROW())&amp;IF(Changed!$L504&gt;Base!$L504,"↑",IF(Changed!$L504&lt;Base!$L504," ↓",""))</f>
        <v>120</v>
      </c>
      <c r="M504" s="7" t="str" cm="1">
        <f t="array" ref="M504">INDEX(Changed!$M:$M,ROW())&amp;IF(Changed!$M504&gt;Base!$M504,"↑",IF(Changed!$M504&lt;Base!$M504," ↓",""))</f>
        <v>120</v>
      </c>
      <c r="N504" s="19">
        <f>Changed!G504-Base!G504</f>
        <v>0</v>
      </c>
    </row>
    <row r="505" spans="1:14" ht="15.75" customHeight="1" x14ac:dyDescent="0.2">
      <c r="A505" s="4" t="s">
        <v>1366</v>
      </c>
      <c r="B505" s="5" t="s">
        <v>1174</v>
      </c>
      <c r="C505" s="6" t="str">
        <f>IF(Changed!C505&lt;&gt;"", Changed!C505, "")</f>
        <v>Fire</v>
      </c>
      <c r="D505" s="6" t="str">
        <f>IF(Changed!D505&lt;&gt;"", Changed!D505, "")</f>
        <v/>
      </c>
      <c r="E505" s="6" t="str">
        <f>IF(Changed!E505&lt;&gt;"", Changed!E505, "")</f>
        <v>Forecast</v>
      </c>
      <c r="F505" s="6" t="str">
        <f>IF(Changed!F505&lt;&gt;"", Changed!F505, "")</f>
        <v/>
      </c>
      <c r="G505" s="7" t="str" cm="1">
        <f t="array" ref="G505">INDEX(Changed!$G:$G,ROW())&amp;IF(Changed!$G505&gt;Base!$G505,"↑",IF(Changed!$G505&lt;Base!$G505," ↓",""))</f>
        <v>480↑</v>
      </c>
      <c r="H505" s="7" t="str" cm="1">
        <f t="array" ref="H505">INDEX(Changed!$H:$H,ROW())&amp;IF(Changed!$H505&gt;Base!$H505,"↑",IF(Changed!$H505&lt;Base!$H505," ↓",""))</f>
        <v>70</v>
      </c>
      <c r="I505" s="7" t="str" cm="1">
        <f t="array" ref="I505">INDEX(Changed!$I:$I,ROW())&amp;IF(Changed!$I505&gt;Base!$I505,"↑",IF(Changed!$I505&lt;Base!$I505," ↓",""))</f>
        <v>70</v>
      </c>
      <c r="J505" s="7" t="str" cm="1">
        <f t="array" ref="J505">INDEX(Changed!$J:$J,ROW())&amp;IF(Changed!$J505&gt;Base!$J505,"↑",IF(Changed!$J505&lt;Base!$J505," ↓",""))</f>
        <v>70</v>
      </c>
      <c r="K505" s="7" t="str" cm="1">
        <f t="array" ref="K505">INDEX(Changed!$K:$K,ROW())&amp;IF(Changed!$K505&gt;Base!$K505,"↑",IF(Changed!$K505&lt;Base!$K505," ↓",""))</f>
        <v>100↑</v>
      </c>
      <c r="L505" s="7" t="str" cm="1">
        <f t="array" ref="L505">INDEX(Changed!$L:$L,ROW())&amp;IF(Changed!$L505&gt;Base!$L505,"↑",IF(Changed!$L505&lt;Base!$L505," ↓",""))</f>
        <v>70</v>
      </c>
      <c r="M505" s="7" t="str" cm="1">
        <f t="array" ref="M505">INDEX(Changed!$M:$M,ROW())&amp;IF(Changed!$M505&gt;Base!$M505,"↑",IF(Changed!$M505&lt;Base!$M505," ↓",""))</f>
        <v>100↑</v>
      </c>
      <c r="N505" s="19">
        <f>Changed!G505-Base!G505</f>
        <v>60</v>
      </c>
    </row>
    <row r="506" spans="1:14" ht="15.75" customHeight="1" x14ac:dyDescent="0.2">
      <c r="A506" s="4" t="s">
        <v>1367</v>
      </c>
      <c r="B506" s="5" t="s">
        <v>1175</v>
      </c>
      <c r="C506" s="6" t="str">
        <f>IF(Changed!C506&lt;&gt;"", Changed!C506, "")</f>
        <v>Water</v>
      </c>
      <c r="D506" s="6" t="str">
        <f>IF(Changed!D506&lt;&gt;"", Changed!D506, "")</f>
        <v/>
      </c>
      <c r="E506" s="6" t="str">
        <f>IF(Changed!E506&lt;&gt;"", Changed!E506, "")</f>
        <v>Forecast</v>
      </c>
      <c r="F506" s="6" t="str">
        <f>IF(Changed!F506&lt;&gt;"", Changed!F506, "")</f>
        <v/>
      </c>
      <c r="G506" s="7" t="str" cm="1">
        <f t="array" ref="G506">INDEX(Changed!$G:$G,ROW())&amp;IF(Changed!$G506&gt;Base!$G506,"↑",IF(Changed!$G506&lt;Base!$G506," ↓",""))</f>
        <v>480↑</v>
      </c>
      <c r="H506" s="7" t="str" cm="1">
        <f t="array" ref="H506">INDEX(Changed!$H:$H,ROW())&amp;IF(Changed!$H506&gt;Base!$H506,"↑",IF(Changed!$H506&lt;Base!$H506," ↓",""))</f>
        <v>70</v>
      </c>
      <c r="I506" s="7" t="str" cm="1">
        <f t="array" ref="I506">INDEX(Changed!$I:$I,ROW())&amp;IF(Changed!$I506&gt;Base!$I506,"↑",IF(Changed!$I506&lt;Base!$I506," ↓",""))</f>
        <v>70</v>
      </c>
      <c r="J506" s="7" t="str" cm="1">
        <f t="array" ref="J506">INDEX(Changed!$J:$J,ROW())&amp;IF(Changed!$J506&gt;Base!$J506,"↑",IF(Changed!$J506&lt;Base!$J506," ↓",""))</f>
        <v>100↑</v>
      </c>
      <c r="K506" s="7" t="str" cm="1">
        <f t="array" ref="K506">INDEX(Changed!$K:$K,ROW())&amp;IF(Changed!$K506&gt;Base!$K506,"↑",IF(Changed!$K506&lt;Base!$K506," ↓",""))</f>
        <v>70</v>
      </c>
      <c r="L506" s="7" t="str" cm="1">
        <f t="array" ref="L506">INDEX(Changed!$L:$L,ROW())&amp;IF(Changed!$L506&gt;Base!$L506,"↑",IF(Changed!$L506&lt;Base!$L506," ↓",""))</f>
        <v>100↑</v>
      </c>
      <c r="M506" s="7" t="str" cm="1">
        <f t="array" ref="M506">INDEX(Changed!$M:$M,ROW())&amp;IF(Changed!$M506&gt;Base!$M506,"↑",IF(Changed!$M506&lt;Base!$M506," ↓",""))</f>
        <v>70</v>
      </c>
      <c r="N506" s="19">
        <f>Changed!G506-Base!G506</f>
        <v>60</v>
      </c>
    </row>
    <row r="507" spans="1:14" ht="15.75" customHeight="1" x14ac:dyDescent="0.2">
      <c r="A507" s="4" t="s">
        <v>1368</v>
      </c>
      <c r="B507" s="5" t="s">
        <v>1176</v>
      </c>
      <c r="C507" s="6" t="str">
        <f>IF(Changed!C507&lt;&gt;"", Changed!C507, "")</f>
        <v>Ice</v>
      </c>
      <c r="D507" s="6" t="str">
        <f>IF(Changed!D507&lt;&gt;"", Changed!D507, "")</f>
        <v/>
      </c>
      <c r="E507" s="6" t="str">
        <f>IF(Changed!E507&lt;&gt;"", Changed!E507, "")</f>
        <v>Forecast</v>
      </c>
      <c r="F507" s="6" t="str">
        <f>IF(Changed!F507&lt;&gt;"", Changed!F507, "")</f>
        <v/>
      </c>
      <c r="G507" s="7" t="str" cm="1">
        <f t="array" ref="G507">INDEX(Changed!$G:$G,ROW())&amp;IF(Changed!$G507&gt;Base!$G507,"↑",IF(Changed!$G507&lt;Base!$G507," ↓",""))</f>
        <v>480↑</v>
      </c>
      <c r="H507" s="7" t="str" cm="1">
        <f t="array" ref="H507">INDEX(Changed!$H:$H,ROW())&amp;IF(Changed!$H507&gt;Base!$H507,"↑",IF(Changed!$H507&lt;Base!$H507," ↓",""))</f>
        <v>70</v>
      </c>
      <c r="I507" s="7" t="str" cm="1">
        <f t="array" ref="I507">INDEX(Changed!$I:$I,ROW())&amp;IF(Changed!$I507&gt;Base!$I507,"↑",IF(Changed!$I507&lt;Base!$I507," ↓",""))</f>
        <v>70</v>
      </c>
      <c r="J507" s="7" t="str" cm="1">
        <f t="array" ref="J507">INDEX(Changed!$J:$J,ROW())&amp;IF(Changed!$J507&gt;Base!$J507,"↑",IF(Changed!$J507&lt;Base!$J507," ↓",""))</f>
        <v>75↑</v>
      </c>
      <c r="K507" s="7" t="str" cm="1">
        <f t="array" ref="K507">INDEX(Changed!$K:$K,ROW())&amp;IF(Changed!$K507&gt;Base!$K507,"↑",IF(Changed!$K507&lt;Base!$K507," ↓",""))</f>
        <v>95↑</v>
      </c>
      <c r="L507" s="7" t="str" cm="1">
        <f t="array" ref="L507">INDEX(Changed!$L:$L,ROW())&amp;IF(Changed!$L507&gt;Base!$L507,"↑",IF(Changed!$L507&lt;Base!$L507," ↓",""))</f>
        <v>85↑</v>
      </c>
      <c r="M507" s="7" t="str" cm="1">
        <f t="array" ref="M507">INDEX(Changed!$M:$M,ROW())&amp;IF(Changed!$M507&gt;Base!$M507,"↑",IF(Changed!$M507&lt;Base!$M507," ↓",""))</f>
        <v>85↑</v>
      </c>
      <c r="N507" s="19">
        <f>Changed!G507-Base!G507</f>
        <v>60</v>
      </c>
    </row>
    <row r="508" spans="1:14" ht="15.75" customHeight="1" x14ac:dyDescent="0.2">
      <c r="A508" s="4" t="s">
        <v>1363</v>
      </c>
      <c r="B508" s="5" t="s">
        <v>661</v>
      </c>
      <c r="C508" s="6" t="str">
        <f>IF(Changed!C508&lt;&gt;"", Changed!C508, "")</f>
        <v>Psychic</v>
      </c>
      <c r="D508" s="6" t="str">
        <f>IF(Changed!D508&lt;&gt;"", Changed!D508, "")</f>
        <v/>
      </c>
      <c r="E508" s="6" t="str">
        <f>IF(Changed!E508&lt;&gt;"", Changed!E508, "")</f>
        <v>No Guard</v>
      </c>
      <c r="F508" s="6" t="str">
        <f>IF(Changed!F508&lt;&gt;"", Changed!F508, "")</f>
        <v/>
      </c>
      <c r="G508" s="7" t="str" cm="1">
        <f t="array" ref="G508">INDEX(Changed!$G:$G,ROW())&amp;IF(Changed!$G508&gt;Base!$G508,"↑",IF(Changed!$G508&lt;Base!$G508," ↓",""))</f>
        <v>600</v>
      </c>
      <c r="H508" s="7" t="str" cm="1">
        <f t="array" ref="H508">INDEX(Changed!$H:$H,ROW())&amp;IF(Changed!$H508&gt;Base!$H508,"↑",IF(Changed!$H508&lt;Base!$H508," ↓",""))</f>
        <v>50</v>
      </c>
      <c r="I508" s="7" t="str" cm="1">
        <f t="array" ref="I508">INDEX(Changed!$I:$I,ROW())&amp;IF(Changed!$I508&gt;Base!$I508,"↑",IF(Changed!$I508&lt;Base!$I508," ↓",""))</f>
        <v>180</v>
      </c>
      <c r="J508" s="7" t="str" cm="1">
        <f t="array" ref="J508">INDEX(Changed!$J:$J,ROW())&amp;IF(Changed!$J508&gt;Base!$J508,"↑",IF(Changed!$J508&lt;Base!$J508," ↓",""))</f>
        <v>20</v>
      </c>
      <c r="K508" s="7" t="str" cm="1">
        <f t="array" ref="K508">INDEX(Changed!$K:$K,ROW())&amp;IF(Changed!$K508&gt;Base!$K508,"↑",IF(Changed!$K508&lt;Base!$K508," ↓",""))</f>
        <v>180</v>
      </c>
      <c r="L508" s="7" t="str" cm="1">
        <f t="array" ref="L508">INDEX(Changed!$L:$L,ROW())&amp;IF(Changed!$L508&gt;Base!$L508,"↑",IF(Changed!$L508&lt;Base!$L508," ↓",""))</f>
        <v>20</v>
      </c>
      <c r="M508" s="7" t="str" cm="1">
        <f t="array" ref="M508">INDEX(Changed!$M:$M,ROW())&amp;IF(Changed!$M508&gt;Base!$M508,"↑",IF(Changed!$M508&lt;Base!$M508," ↓",""))</f>
        <v>150</v>
      </c>
      <c r="N508" s="19">
        <f>Changed!G508-Base!G508</f>
        <v>0</v>
      </c>
    </row>
    <row r="509" spans="1:14" ht="15.75" customHeight="1" x14ac:dyDescent="0.2">
      <c r="A509" s="4" t="s">
        <v>1364</v>
      </c>
      <c r="B509" s="5" t="s">
        <v>663</v>
      </c>
      <c r="C509" s="6" t="str">
        <f>IF(Changed!C509&lt;&gt;"", Changed!C509, "")</f>
        <v>Psychic</v>
      </c>
      <c r="D509" s="6" t="str">
        <f>IF(Changed!D509&lt;&gt;"", Changed!D509, "")</f>
        <v/>
      </c>
      <c r="E509" s="6" t="str">
        <f>IF(Changed!E509&lt;&gt;"", Changed!E509, "")</f>
        <v>Magic Guard</v>
      </c>
      <c r="F509" s="6" t="str">
        <f>IF(Changed!F509&lt;&gt;"", Changed!F509, "")</f>
        <v/>
      </c>
      <c r="G509" s="7" t="str" cm="1">
        <f t="array" ref="G509">INDEX(Changed!$G:$G,ROW())&amp;IF(Changed!$G509&gt;Base!$G509,"↑",IF(Changed!$G509&lt;Base!$G509," ↓",""))</f>
        <v>600</v>
      </c>
      <c r="H509" s="7" t="str" cm="1">
        <f t="array" ref="H509">INDEX(Changed!$H:$H,ROW())&amp;IF(Changed!$H509&gt;Base!$H509,"↑",IF(Changed!$H509&lt;Base!$H509," ↓",""))</f>
        <v>50</v>
      </c>
      <c r="I509" s="7" t="str" cm="1">
        <f t="array" ref="I509">INDEX(Changed!$I:$I,ROW())&amp;IF(Changed!$I509&gt;Base!$I509,"↑",IF(Changed!$I509&lt;Base!$I509," ↓",""))</f>
        <v>70</v>
      </c>
      <c r="J509" s="7" t="str" cm="1">
        <f t="array" ref="J509">INDEX(Changed!$J:$J,ROW())&amp;IF(Changed!$J509&gt;Base!$J509,"↑",IF(Changed!$J509&lt;Base!$J509," ↓",""))</f>
        <v>160</v>
      </c>
      <c r="K509" s="7" t="str" cm="1">
        <f t="array" ref="K509">INDEX(Changed!$K:$K,ROW())&amp;IF(Changed!$K509&gt;Base!$K509,"↑",IF(Changed!$K509&lt;Base!$K509," ↓",""))</f>
        <v>70</v>
      </c>
      <c r="L509" s="7" t="str" cm="1">
        <f t="array" ref="L509">INDEX(Changed!$L:$L,ROW())&amp;IF(Changed!$L509&gt;Base!$L509,"↑",IF(Changed!$L509&lt;Base!$L509," ↓",""))</f>
        <v>160</v>
      </c>
      <c r="M509" s="7" t="str" cm="1">
        <f t="array" ref="M509">INDEX(Changed!$M:$M,ROW())&amp;IF(Changed!$M509&gt;Base!$M509,"↑",IF(Changed!$M509&lt;Base!$M509," ↓",""))</f>
        <v>90</v>
      </c>
      <c r="N509" s="19">
        <f>Changed!G509-Base!G509</f>
        <v>0</v>
      </c>
    </row>
    <row r="510" spans="1:14" ht="15.75" customHeight="1" x14ac:dyDescent="0.2">
      <c r="A510" s="4" t="s">
        <v>1365</v>
      </c>
      <c r="B510" s="5" t="s">
        <v>665</v>
      </c>
      <c r="C510" s="6" t="str">
        <f>IF(Changed!C510&lt;&gt;"", Changed!C510, "")</f>
        <v>Psychic</v>
      </c>
      <c r="D510" s="6" t="str">
        <f>IF(Changed!D510&lt;&gt;"", Changed!D510, "")</f>
        <v/>
      </c>
      <c r="E510" s="6" t="str">
        <f>IF(Changed!E510&lt;&gt;"", Changed!E510, "")</f>
        <v>Download</v>
      </c>
      <c r="F510" s="6" t="str">
        <f>IF(Changed!F510&lt;&gt;"", Changed!F510, "")</f>
        <v/>
      </c>
      <c r="G510" s="7" t="str" cm="1">
        <f t="array" ref="G510">INDEX(Changed!$G:$G,ROW())&amp;IF(Changed!$G510&gt;Base!$G510,"↑",IF(Changed!$G510&lt;Base!$G510," ↓",""))</f>
        <v>600</v>
      </c>
      <c r="H510" s="7" t="str" cm="1">
        <f t="array" ref="H510">INDEX(Changed!$H:$H,ROW())&amp;IF(Changed!$H510&gt;Base!$H510,"↑",IF(Changed!$H510&lt;Base!$H510," ↓",""))</f>
        <v>50</v>
      </c>
      <c r="I510" s="7" t="str" cm="1">
        <f t="array" ref="I510">INDEX(Changed!$I:$I,ROW())&amp;IF(Changed!$I510&gt;Base!$I510,"↑",IF(Changed!$I510&lt;Base!$I510," ↓",""))</f>
        <v>95</v>
      </c>
      <c r="J510" s="7" t="str" cm="1">
        <f t="array" ref="J510">INDEX(Changed!$J:$J,ROW())&amp;IF(Changed!$J510&gt;Base!$J510,"↑",IF(Changed!$J510&lt;Base!$J510," ↓",""))</f>
        <v>90</v>
      </c>
      <c r="K510" s="7" t="str" cm="1">
        <f t="array" ref="K510">INDEX(Changed!$K:$K,ROW())&amp;IF(Changed!$K510&gt;Base!$K510,"↑",IF(Changed!$K510&lt;Base!$K510," ↓",""))</f>
        <v>95</v>
      </c>
      <c r="L510" s="7" t="str" cm="1">
        <f t="array" ref="L510">INDEX(Changed!$L:$L,ROW())&amp;IF(Changed!$L510&gt;Base!$L510,"↑",IF(Changed!$L510&lt;Base!$L510," ↓",""))</f>
        <v>90</v>
      </c>
      <c r="M510" s="7" t="str" cm="1">
        <f t="array" ref="M510">INDEX(Changed!$M:$M,ROW())&amp;IF(Changed!$M510&gt;Base!$M510,"↑",IF(Changed!$M510&lt;Base!$M510," ↓",""))</f>
        <v>180</v>
      </c>
      <c r="N510" s="19">
        <f>Changed!G510-Base!G510</f>
        <v>0</v>
      </c>
    </row>
    <row r="511" spans="1:14" ht="15.75" customHeight="1" x14ac:dyDescent="0.2">
      <c r="A511" s="4" t="s">
        <v>1362</v>
      </c>
      <c r="B511" s="5" t="s">
        <v>667</v>
      </c>
      <c r="C511" s="6" t="str">
        <f>IF(Changed!C511&lt;&gt;"", Changed!C511, "")</f>
        <v xml:space="preserve">Bug </v>
      </c>
      <c r="D511" s="6" t="str">
        <f>IF(Changed!D511&lt;&gt;"", Changed!D511, "")</f>
        <v>Ground</v>
      </c>
      <c r="E511" s="6" t="str">
        <f>IF(Changed!E511&lt;&gt;"", Changed!E511, "")</f>
        <v>Anticipation</v>
      </c>
      <c r="F511" s="6" t="str">
        <f>IF(Changed!F511&lt;&gt;"", Changed!F511, "")</f>
        <v/>
      </c>
      <c r="G511" s="7" t="str" cm="1">
        <f t="array" ref="G511">INDEX(Changed!$G:$G,ROW())&amp;IF(Changed!$G511&gt;Base!$G511,"↑",IF(Changed!$G511&lt;Base!$G511," ↓",""))</f>
        <v>424</v>
      </c>
      <c r="H511" s="7" t="str" cm="1">
        <f t="array" ref="H511">INDEX(Changed!$H:$H,ROW())&amp;IF(Changed!$H511&gt;Base!$H511,"↑",IF(Changed!$H511&lt;Base!$H511," ↓",""))</f>
        <v>60</v>
      </c>
      <c r="I511" s="7" t="str" cm="1">
        <f t="array" ref="I511">INDEX(Changed!$I:$I,ROW())&amp;IF(Changed!$I511&gt;Base!$I511,"↑",IF(Changed!$I511&lt;Base!$I511," ↓",""))</f>
        <v>79</v>
      </c>
      <c r="J511" s="7" t="str" cm="1">
        <f t="array" ref="J511">INDEX(Changed!$J:$J,ROW())&amp;IF(Changed!$J511&gt;Base!$J511,"↑",IF(Changed!$J511&lt;Base!$J511," ↓",""))</f>
        <v>105</v>
      </c>
      <c r="K511" s="7" t="str" cm="1">
        <f t="array" ref="K511">INDEX(Changed!$K:$K,ROW())&amp;IF(Changed!$K511&gt;Base!$K511,"↑",IF(Changed!$K511&lt;Base!$K511," ↓",""))</f>
        <v>59</v>
      </c>
      <c r="L511" s="7" t="str" cm="1">
        <f t="array" ref="L511">INDEX(Changed!$L:$L,ROW())&amp;IF(Changed!$L511&gt;Base!$L511,"↑",IF(Changed!$L511&lt;Base!$L511," ↓",""))</f>
        <v>85</v>
      </c>
      <c r="M511" s="7" t="str" cm="1">
        <f t="array" ref="M511">INDEX(Changed!$M:$M,ROW())&amp;IF(Changed!$M511&gt;Base!$M511,"↑",IF(Changed!$M511&lt;Base!$M511," ↓",""))</f>
        <v>36</v>
      </c>
      <c r="N511" s="19">
        <f>Changed!G511-Base!G511</f>
        <v>0</v>
      </c>
    </row>
    <row r="512" spans="1:14" ht="15.75" customHeight="1" x14ac:dyDescent="0.2">
      <c r="A512" s="4" t="s">
        <v>1361</v>
      </c>
      <c r="B512" s="5" t="s">
        <v>670</v>
      </c>
      <c r="C512" s="6" t="str">
        <f>IF(Changed!C512&lt;&gt;"", Changed!C512, "")</f>
        <v>Bug</v>
      </c>
      <c r="D512" s="6" t="str">
        <f>IF(Changed!D512&lt;&gt;"", Changed!D512, "")</f>
        <v>Steel</v>
      </c>
      <c r="E512" s="6" t="str">
        <f>IF(Changed!E512&lt;&gt;"", Changed!E512, "")</f>
        <v>Anticipation</v>
      </c>
      <c r="F512" s="6" t="str">
        <f>IF(Changed!F512&lt;&gt;"", Changed!F512, "")</f>
        <v/>
      </c>
      <c r="G512" s="7" t="str" cm="1">
        <f t="array" ref="G512">INDEX(Changed!$G:$G,ROW())&amp;IF(Changed!$G512&gt;Base!$G512,"↑",IF(Changed!$G512&lt;Base!$G512," ↓",""))</f>
        <v>424</v>
      </c>
      <c r="H512" s="7" t="str" cm="1">
        <f t="array" ref="H512">INDEX(Changed!$H:$H,ROW())&amp;IF(Changed!$H512&gt;Base!$H512,"↑",IF(Changed!$H512&lt;Base!$H512," ↓",""))</f>
        <v>60</v>
      </c>
      <c r="I512" s="7" t="str" cm="1">
        <f t="array" ref="I512">INDEX(Changed!$I:$I,ROW())&amp;IF(Changed!$I512&gt;Base!$I512,"↑",IF(Changed!$I512&lt;Base!$I512," ↓",""))</f>
        <v>69</v>
      </c>
      <c r="J512" s="7" t="str" cm="1">
        <f t="array" ref="J512">INDEX(Changed!$J:$J,ROW())&amp;IF(Changed!$J512&gt;Base!$J512,"↑",IF(Changed!$J512&lt;Base!$J512," ↓",""))</f>
        <v>95</v>
      </c>
      <c r="K512" s="7" t="str" cm="1">
        <f t="array" ref="K512">INDEX(Changed!$K:$K,ROW())&amp;IF(Changed!$K512&gt;Base!$K512,"↑",IF(Changed!$K512&lt;Base!$K512," ↓",""))</f>
        <v>69</v>
      </c>
      <c r="L512" s="7" t="str" cm="1">
        <f t="array" ref="L512">INDEX(Changed!$L:$L,ROW())&amp;IF(Changed!$L512&gt;Base!$L512,"↑",IF(Changed!$L512&lt;Base!$L512," ↓",""))</f>
        <v>95</v>
      </c>
      <c r="M512" s="7" t="str" cm="1">
        <f t="array" ref="M512">INDEX(Changed!$M:$M,ROW())&amp;IF(Changed!$M512&gt;Base!$M512,"↑",IF(Changed!$M512&lt;Base!$M512," ↓",""))</f>
        <v>36</v>
      </c>
      <c r="N512" s="19">
        <f>Changed!G512-Base!G512</f>
        <v>0</v>
      </c>
    </row>
    <row r="513" spans="1:14" ht="15.75" customHeight="1" x14ac:dyDescent="0.2">
      <c r="A513" s="4" t="s">
        <v>1358</v>
      </c>
      <c r="B513" s="5" t="s">
        <v>1139</v>
      </c>
      <c r="C513" s="6" t="str">
        <f>IF(Changed!C513&lt;&gt;"", Changed!C513, "")</f>
        <v>Grass</v>
      </c>
      <c r="D513" s="6" t="str">
        <f>IF(Changed!D513&lt;&gt;"", Changed!D513, "")</f>
        <v>Fire</v>
      </c>
      <c r="E513" s="6" t="str">
        <f>IF(Changed!E513&lt;&gt;"", Changed!E513, "")</f>
        <v>Flower Gift</v>
      </c>
      <c r="F513" s="6" t="str">
        <f>IF(Changed!F513&lt;&gt;"", Changed!F513, "")</f>
        <v/>
      </c>
      <c r="G513" s="7" t="str" cm="1">
        <f t="array" ref="G513">INDEX(Changed!$G:$G,ROW())&amp;IF(Changed!$G513&gt;Base!$G513,"↑",IF(Changed!$G513&lt;Base!$G513," ↓",""))</f>
        <v>488↑</v>
      </c>
      <c r="H513" s="7" t="str" cm="1">
        <f t="array" ref="H513">INDEX(Changed!$H:$H,ROW())&amp;IF(Changed!$H513&gt;Base!$H513,"↑",IF(Changed!$H513&lt;Base!$H513," ↓",""))</f>
        <v>70</v>
      </c>
      <c r="I513" s="7" t="str" cm="1">
        <f t="array" ref="I513">INDEX(Changed!$I:$I,ROW())&amp;IF(Changed!$I513&gt;Base!$I513,"↑",IF(Changed!$I513&lt;Base!$I513," ↓",""))</f>
        <v>90↑</v>
      </c>
      <c r="J513" s="7" t="str" cm="1">
        <f t="array" ref="J513">INDEX(Changed!$J:$J,ROW())&amp;IF(Changed!$J513&gt;Base!$J513,"↑",IF(Changed!$J513&lt;Base!$J513," ↓",""))</f>
        <v>60 ↓</v>
      </c>
      <c r="K513" s="7" t="str" cm="1">
        <f t="array" ref="K513">INDEX(Changed!$K:$K,ROW())&amp;IF(Changed!$K513&gt;Base!$K513,"↑",IF(Changed!$K513&lt;Base!$K513," ↓",""))</f>
        <v>110↑</v>
      </c>
      <c r="L513" s="7" t="str" cm="1">
        <f t="array" ref="L513">INDEX(Changed!$L:$L,ROW())&amp;IF(Changed!$L513&gt;Base!$L513,"↑",IF(Changed!$L513&lt;Base!$L513," ↓",""))</f>
        <v>50 ↓</v>
      </c>
      <c r="M513" s="7" t="str" cm="1">
        <f t="array" ref="M513">INDEX(Changed!$M:$M,ROW())&amp;IF(Changed!$M513&gt;Base!$M513,"↑",IF(Changed!$M513&lt;Base!$M513," ↓",""))</f>
        <v>108↑</v>
      </c>
      <c r="N513" s="19">
        <f>Changed!G513-Base!G513</f>
        <v>38</v>
      </c>
    </row>
    <row r="514" spans="1:14" ht="15.75" customHeight="1" x14ac:dyDescent="0.2">
      <c r="A514" s="4" t="s">
        <v>1359</v>
      </c>
      <c r="B514" s="5" t="s">
        <v>1180</v>
      </c>
      <c r="C514" s="6" t="str">
        <f>IF(Changed!C514&lt;&gt;"", Changed!C514, "")</f>
        <v>Water</v>
      </c>
      <c r="D514" s="6" t="str">
        <f>IF(Changed!D514&lt;&gt;"", Changed!D514, "")</f>
        <v>Poison</v>
      </c>
      <c r="E514" s="6" t="str">
        <f>IF(Changed!E514&lt;&gt;"", Changed!E514, "")</f>
        <v>Sticky Hold</v>
      </c>
      <c r="F514" s="6" t="str">
        <f>IF(Changed!F514&lt;&gt;"", Changed!F514, "")</f>
        <v>Storm Drain</v>
      </c>
      <c r="G514" s="7" t="str" cm="1">
        <f t="array" ref="G514">INDEX(Changed!$G:$G,ROW())&amp;IF(Changed!$G514&gt;Base!$G514,"↑",IF(Changed!$G514&lt;Base!$G514," ↓",""))</f>
        <v>325</v>
      </c>
      <c r="H514" s="7" t="str" cm="1">
        <f t="array" ref="H514">INDEX(Changed!$H:$H,ROW())&amp;IF(Changed!$H514&gt;Base!$H514,"↑",IF(Changed!$H514&lt;Base!$H514," ↓",""))</f>
        <v>76</v>
      </c>
      <c r="I514" s="7" t="str" cm="1">
        <f t="array" ref="I514">INDEX(Changed!$I:$I,ROW())&amp;IF(Changed!$I514&gt;Base!$I514,"↑",IF(Changed!$I514&lt;Base!$I514," ↓",""))</f>
        <v>48</v>
      </c>
      <c r="J514" s="7" t="str" cm="1">
        <f t="array" ref="J514">INDEX(Changed!$J:$J,ROW())&amp;IF(Changed!$J514&gt;Base!$J514,"↑",IF(Changed!$J514&lt;Base!$J514," ↓",""))</f>
        <v>48</v>
      </c>
      <c r="K514" s="7" t="str" cm="1">
        <f t="array" ref="K514">INDEX(Changed!$K:$K,ROW())&amp;IF(Changed!$K514&gt;Base!$K514,"↑",IF(Changed!$K514&lt;Base!$K514," ↓",""))</f>
        <v>57</v>
      </c>
      <c r="L514" s="7" t="str" cm="1">
        <f t="array" ref="L514">INDEX(Changed!$L:$L,ROW())&amp;IF(Changed!$L514&gt;Base!$L514,"↑",IF(Changed!$L514&lt;Base!$L514," ↓",""))</f>
        <v>62</v>
      </c>
      <c r="M514" s="7" t="str" cm="1">
        <f t="array" ref="M514">INDEX(Changed!$M:$M,ROW())&amp;IF(Changed!$M514&gt;Base!$M514,"↑",IF(Changed!$M514&lt;Base!$M514," ↓",""))</f>
        <v>34</v>
      </c>
      <c r="N514" s="19">
        <f>Changed!G514-Base!G514</f>
        <v>0</v>
      </c>
    </row>
    <row r="515" spans="1:14" ht="15.75" customHeight="1" x14ac:dyDescent="0.2">
      <c r="A515" s="4" t="s">
        <v>1360</v>
      </c>
      <c r="B515" s="5" t="s">
        <v>1178</v>
      </c>
      <c r="C515" s="6" t="str">
        <f>IF(Changed!C515&lt;&gt;"", Changed!C515, "")</f>
        <v>Poison</v>
      </c>
      <c r="D515" s="6" t="str">
        <f>IF(Changed!D515&lt;&gt;"", Changed!D515, "")</f>
        <v>Ground</v>
      </c>
      <c r="E515" s="6" t="str">
        <f>IF(Changed!E515&lt;&gt;"", Changed!E515, "")</f>
        <v>Sticky Hold</v>
      </c>
      <c r="F515" s="6" t="str">
        <f>IF(Changed!F515&lt;&gt;"", Changed!F515, "")</f>
        <v>Storm Drain</v>
      </c>
      <c r="G515" s="7" t="str" cm="1">
        <f t="array" ref="G515">INDEX(Changed!$G:$G,ROW())&amp;IF(Changed!$G515&gt;Base!$G515,"↑",IF(Changed!$G515&lt;Base!$G515," ↓",""))</f>
        <v>475</v>
      </c>
      <c r="H515" s="7" t="str" cm="1">
        <f t="array" ref="H515">INDEX(Changed!$H:$H,ROW())&amp;IF(Changed!$H515&gt;Base!$H515,"↑",IF(Changed!$H515&lt;Base!$H515," ↓",""))</f>
        <v>111</v>
      </c>
      <c r="I515" s="7" t="str" cm="1">
        <f t="array" ref="I515">INDEX(Changed!$I:$I,ROW())&amp;IF(Changed!$I515&gt;Base!$I515,"↑",IF(Changed!$I515&lt;Base!$I515," ↓",""))</f>
        <v>83</v>
      </c>
      <c r="J515" s="7" t="str" cm="1">
        <f t="array" ref="J515">INDEX(Changed!$J:$J,ROW())&amp;IF(Changed!$J515&gt;Base!$J515,"↑",IF(Changed!$J515&lt;Base!$J515," ↓",""))</f>
        <v>68</v>
      </c>
      <c r="K515" s="7" t="str" cm="1">
        <f t="array" ref="K515">INDEX(Changed!$K:$K,ROW())&amp;IF(Changed!$K515&gt;Base!$K515,"↑",IF(Changed!$K515&lt;Base!$K515," ↓",""))</f>
        <v>92</v>
      </c>
      <c r="L515" s="7" t="str" cm="1">
        <f t="array" ref="L515">INDEX(Changed!$L:$L,ROW())&amp;IF(Changed!$L515&gt;Base!$L515,"↑",IF(Changed!$L515&lt;Base!$L515," ↓",""))</f>
        <v>82</v>
      </c>
      <c r="M515" s="7" t="str" cm="1">
        <f t="array" ref="M515">INDEX(Changed!$M:$M,ROW())&amp;IF(Changed!$M515&gt;Base!$M515,"↑",IF(Changed!$M515&lt;Base!$M515," ↓",""))</f>
        <v>39</v>
      </c>
      <c r="N515" s="19">
        <f>Changed!G515-Base!G515</f>
        <v>0</v>
      </c>
    </row>
    <row r="516" spans="1:14" ht="15.75" customHeight="1" x14ac:dyDescent="0.2">
      <c r="A516" s="4" t="s">
        <v>1356</v>
      </c>
      <c r="B516" s="5" t="s">
        <v>676</v>
      </c>
      <c r="C516" s="6" t="str">
        <f>IF(Changed!C516&lt;&gt;"", Changed!C516, "")</f>
        <v>Electric</v>
      </c>
      <c r="D516" s="6" t="str">
        <f>IF(Changed!D516&lt;&gt;"", Changed!D516, "")</f>
        <v>Fire</v>
      </c>
      <c r="E516" s="6" t="str">
        <f>IF(Changed!E516&lt;&gt;"", Changed!E516, "")</f>
        <v>Levitate</v>
      </c>
      <c r="F516" s="6" t="str">
        <f>IF(Changed!F516&lt;&gt;"", Changed!F516, "")</f>
        <v/>
      </c>
      <c r="G516" s="7" t="str" cm="1">
        <f t="array" ref="G516">INDEX(Changed!$G:$G,ROW())&amp;IF(Changed!$G516&gt;Base!$G516,"↑",IF(Changed!$G516&lt;Base!$G516," ↓",""))</f>
        <v>520</v>
      </c>
      <c r="H516" s="7" t="str" cm="1">
        <f t="array" ref="H516">INDEX(Changed!$H:$H,ROW())&amp;IF(Changed!$H516&gt;Base!$H516,"↑",IF(Changed!$H516&lt;Base!$H516," ↓",""))</f>
        <v>50</v>
      </c>
      <c r="I516" s="7" t="str" cm="1">
        <f t="array" ref="I516">INDEX(Changed!$I:$I,ROW())&amp;IF(Changed!$I516&gt;Base!$I516,"↑",IF(Changed!$I516&lt;Base!$I516," ↓",""))</f>
        <v>65</v>
      </c>
      <c r="J516" s="7" t="str" cm="1">
        <f t="array" ref="J516">INDEX(Changed!$J:$J,ROW())&amp;IF(Changed!$J516&gt;Base!$J516,"↑",IF(Changed!$J516&lt;Base!$J516," ↓",""))</f>
        <v>107</v>
      </c>
      <c r="K516" s="7" t="str" cm="1">
        <f t="array" ref="K516">INDEX(Changed!$K:$K,ROW())&amp;IF(Changed!$K516&gt;Base!$K516,"↑",IF(Changed!$K516&lt;Base!$K516," ↓",""))</f>
        <v>105</v>
      </c>
      <c r="L516" s="7" t="str" cm="1">
        <f t="array" ref="L516">INDEX(Changed!$L:$L,ROW())&amp;IF(Changed!$L516&gt;Base!$L516,"↑",IF(Changed!$L516&lt;Base!$L516," ↓",""))</f>
        <v>107</v>
      </c>
      <c r="M516" s="7" t="str" cm="1">
        <f t="array" ref="M516">INDEX(Changed!$M:$M,ROW())&amp;IF(Changed!$M516&gt;Base!$M516,"↑",IF(Changed!$M516&lt;Base!$M516," ↓",""))</f>
        <v>86</v>
      </c>
      <c r="N516" s="19">
        <f>Changed!G516-Base!G516</f>
        <v>0</v>
      </c>
    </row>
    <row r="517" spans="1:14" ht="15.75" customHeight="1" x14ac:dyDescent="0.2">
      <c r="A517" s="4" t="s">
        <v>1355</v>
      </c>
      <c r="B517" s="5" t="s">
        <v>678</v>
      </c>
      <c r="C517" s="6" t="str">
        <f>IF(Changed!C517&lt;&gt;"", Changed!C517, "")</f>
        <v>Electric</v>
      </c>
      <c r="D517" s="6" t="str">
        <f>IF(Changed!D517&lt;&gt;"", Changed!D517, "")</f>
        <v>Water</v>
      </c>
      <c r="E517" s="6" t="str">
        <f>IF(Changed!E517&lt;&gt;"", Changed!E517, "")</f>
        <v>Levitate</v>
      </c>
      <c r="F517" s="6" t="str">
        <f>IF(Changed!F517&lt;&gt;"", Changed!F517, "")</f>
        <v/>
      </c>
      <c r="G517" s="7" t="str" cm="1">
        <f t="array" ref="G517">INDEX(Changed!$G:$G,ROW())&amp;IF(Changed!$G517&gt;Base!$G517,"↑",IF(Changed!$G517&lt;Base!$G517," ↓",""))</f>
        <v>520</v>
      </c>
      <c r="H517" s="7" t="str" cm="1">
        <f t="array" ref="H517">INDEX(Changed!$H:$H,ROW())&amp;IF(Changed!$H517&gt;Base!$H517,"↑",IF(Changed!$H517&lt;Base!$H517," ↓",""))</f>
        <v>50</v>
      </c>
      <c r="I517" s="7" t="str" cm="1">
        <f t="array" ref="I517">INDEX(Changed!$I:$I,ROW())&amp;IF(Changed!$I517&gt;Base!$I517,"↑",IF(Changed!$I517&lt;Base!$I517," ↓",""))</f>
        <v>65</v>
      </c>
      <c r="J517" s="7" t="str" cm="1">
        <f t="array" ref="J517">INDEX(Changed!$J:$J,ROW())&amp;IF(Changed!$J517&gt;Base!$J517,"↑",IF(Changed!$J517&lt;Base!$J517," ↓",""))</f>
        <v>107</v>
      </c>
      <c r="K517" s="7" t="str" cm="1">
        <f t="array" ref="K517">INDEX(Changed!$K:$K,ROW())&amp;IF(Changed!$K517&gt;Base!$K517,"↑",IF(Changed!$K517&lt;Base!$K517," ↓",""))</f>
        <v>105</v>
      </c>
      <c r="L517" s="7" t="str" cm="1">
        <f t="array" ref="L517">INDEX(Changed!$L:$L,ROW())&amp;IF(Changed!$L517&gt;Base!$L517,"↑",IF(Changed!$L517&lt;Base!$L517," ↓",""))</f>
        <v>107</v>
      </c>
      <c r="M517" s="7" t="str" cm="1">
        <f t="array" ref="M517">INDEX(Changed!$M:$M,ROW())&amp;IF(Changed!$M517&gt;Base!$M517,"↑",IF(Changed!$M517&lt;Base!$M517," ↓",""))</f>
        <v>86</v>
      </c>
      <c r="N517" s="19">
        <f>Changed!G517-Base!G517</f>
        <v>0</v>
      </c>
    </row>
    <row r="518" spans="1:14" ht="15.75" customHeight="1" x14ac:dyDescent="0.2">
      <c r="A518" s="4" t="s">
        <v>1353</v>
      </c>
      <c r="B518" s="5" t="s">
        <v>680</v>
      </c>
      <c r="C518" s="6" t="str">
        <f>IF(Changed!C518&lt;&gt;"", Changed!C518, "")</f>
        <v>Electric</v>
      </c>
      <c r="D518" s="6" t="str">
        <f>IF(Changed!D518&lt;&gt;"", Changed!D518, "")</f>
        <v>Ice</v>
      </c>
      <c r="E518" s="6" t="str">
        <f>IF(Changed!E518&lt;&gt;"", Changed!E518, "")</f>
        <v>Levitate</v>
      </c>
      <c r="F518" s="6" t="str">
        <f>IF(Changed!F518&lt;&gt;"", Changed!F518, "")</f>
        <v/>
      </c>
      <c r="G518" s="7" t="str" cm="1">
        <f t="array" ref="G518">INDEX(Changed!$G:$G,ROW())&amp;IF(Changed!$G518&gt;Base!$G518,"↑",IF(Changed!$G518&lt;Base!$G518," ↓",""))</f>
        <v>520</v>
      </c>
      <c r="H518" s="7" t="str" cm="1">
        <f t="array" ref="H518">INDEX(Changed!$H:$H,ROW())&amp;IF(Changed!$H518&gt;Base!$H518,"↑",IF(Changed!$H518&lt;Base!$H518," ↓",""))</f>
        <v>50</v>
      </c>
      <c r="I518" s="7" t="str" cm="1">
        <f t="array" ref="I518">INDEX(Changed!$I:$I,ROW())&amp;IF(Changed!$I518&gt;Base!$I518,"↑",IF(Changed!$I518&lt;Base!$I518," ↓",""))</f>
        <v>65</v>
      </c>
      <c r="J518" s="7" t="str" cm="1">
        <f t="array" ref="J518">INDEX(Changed!$J:$J,ROW())&amp;IF(Changed!$J518&gt;Base!$J518,"↑",IF(Changed!$J518&lt;Base!$J518," ↓",""))</f>
        <v>107</v>
      </c>
      <c r="K518" s="7" t="str" cm="1">
        <f t="array" ref="K518">INDEX(Changed!$K:$K,ROW())&amp;IF(Changed!$K518&gt;Base!$K518,"↑",IF(Changed!$K518&lt;Base!$K518," ↓",""))</f>
        <v>105</v>
      </c>
      <c r="L518" s="7" t="str" cm="1">
        <f t="array" ref="L518">INDEX(Changed!$L:$L,ROW())&amp;IF(Changed!$L518&gt;Base!$L518,"↑",IF(Changed!$L518&lt;Base!$L518," ↓",""))</f>
        <v>107</v>
      </c>
      <c r="M518" s="7" t="str" cm="1">
        <f t="array" ref="M518">INDEX(Changed!$M:$M,ROW())&amp;IF(Changed!$M518&gt;Base!$M518,"↑",IF(Changed!$M518&lt;Base!$M518," ↓",""))</f>
        <v>86</v>
      </c>
      <c r="N518" s="19">
        <f>Changed!G518-Base!G518</f>
        <v>0</v>
      </c>
    </row>
    <row r="519" spans="1:14" ht="15.75" customHeight="1" x14ac:dyDescent="0.2">
      <c r="A519" s="4" t="s">
        <v>1354</v>
      </c>
      <c r="B519" s="5" t="s">
        <v>682</v>
      </c>
      <c r="C519" s="6" t="str">
        <f>IF(Changed!C519&lt;&gt;"", Changed!C519, "")</f>
        <v>Electric</v>
      </c>
      <c r="D519" s="6" t="str">
        <f>IF(Changed!D519&lt;&gt;"", Changed!D519, "")</f>
        <v>Flying</v>
      </c>
      <c r="E519" s="6" t="str">
        <f>IF(Changed!E519&lt;&gt;"", Changed!E519, "")</f>
        <v>Speed Boost</v>
      </c>
      <c r="F519" s="6" t="str">
        <f>IF(Changed!F519&lt;&gt;"", Changed!F519, "")</f>
        <v/>
      </c>
      <c r="G519" s="7" t="str" cm="1">
        <f t="array" ref="G519">INDEX(Changed!$G:$G,ROW())&amp;IF(Changed!$G519&gt;Base!$G519,"↑",IF(Changed!$G519&lt;Base!$G519," ↓",""))</f>
        <v>520</v>
      </c>
      <c r="H519" s="7" t="str" cm="1">
        <f t="array" ref="H519">INDEX(Changed!$H:$H,ROW())&amp;IF(Changed!$H519&gt;Base!$H519,"↑",IF(Changed!$H519&lt;Base!$H519," ↓",""))</f>
        <v>50</v>
      </c>
      <c r="I519" s="7" t="str" cm="1">
        <f t="array" ref="I519">INDEX(Changed!$I:$I,ROW())&amp;IF(Changed!$I519&gt;Base!$I519,"↑",IF(Changed!$I519&lt;Base!$I519," ↓",""))</f>
        <v>65</v>
      </c>
      <c r="J519" s="7" t="str" cm="1">
        <f t="array" ref="J519">INDEX(Changed!$J:$J,ROW())&amp;IF(Changed!$J519&gt;Base!$J519,"↑",IF(Changed!$J519&lt;Base!$J519," ↓",""))</f>
        <v>107</v>
      </c>
      <c r="K519" s="7" t="str" cm="1">
        <f t="array" ref="K519">INDEX(Changed!$K:$K,ROW())&amp;IF(Changed!$K519&gt;Base!$K519,"↑",IF(Changed!$K519&lt;Base!$K519," ↓",""))</f>
        <v>105</v>
      </c>
      <c r="L519" s="7" t="str" cm="1">
        <f t="array" ref="L519">INDEX(Changed!$L:$L,ROW())&amp;IF(Changed!$L519&gt;Base!$L519,"↑",IF(Changed!$L519&lt;Base!$L519," ↓",""))</f>
        <v>107</v>
      </c>
      <c r="M519" s="7" t="str" cm="1">
        <f t="array" ref="M519">INDEX(Changed!$M:$M,ROW())&amp;IF(Changed!$M519&gt;Base!$M519,"↑",IF(Changed!$M519&lt;Base!$M519," ↓",""))</f>
        <v>86</v>
      </c>
      <c r="N519" s="19">
        <f>Changed!G519-Base!G519</f>
        <v>0</v>
      </c>
    </row>
    <row r="520" spans="1:14" ht="15.75" customHeight="1" x14ac:dyDescent="0.2">
      <c r="A520" s="4" t="s">
        <v>1357</v>
      </c>
      <c r="B520" s="5" t="s">
        <v>684</v>
      </c>
      <c r="C520" s="6" t="str">
        <f>IF(Changed!C520&lt;&gt;"", Changed!C520, "")</f>
        <v>Electric</v>
      </c>
      <c r="D520" s="6" t="str">
        <f>IF(Changed!D520&lt;&gt;"", Changed!D520, "")</f>
        <v>Grass</v>
      </c>
      <c r="E520" s="6" t="str">
        <f>IF(Changed!E520&lt;&gt;"", Changed!E520, "")</f>
        <v>Levitate</v>
      </c>
      <c r="F520" s="6" t="str">
        <f>IF(Changed!F520&lt;&gt;"", Changed!F520, "")</f>
        <v/>
      </c>
      <c r="G520" s="7" t="str" cm="1">
        <f t="array" ref="G520">INDEX(Changed!$G:$G,ROW())&amp;IF(Changed!$G520&gt;Base!$G520,"↑",IF(Changed!$G520&lt;Base!$G520," ↓",""))</f>
        <v>520</v>
      </c>
      <c r="H520" s="7" t="str" cm="1">
        <f t="array" ref="H520">INDEX(Changed!$H:$H,ROW())&amp;IF(Changed!$H520&gt;Base!$H520,"↑",IF(Changed!$H520&lt;Base!$H520," ↓",""))</f>
        <v>50</v>
      </c>
      <c r="I520" s="7" t="str" cm="1">
        <f t="array" ref="I520">INDEX(Changed!$I:$I,ROW())&amp;IF(Changed!$I520&gt;Base!$I520,"↑",IF(Changed!$I520&lt;Base!$I520," ↓",""))</f>
        <v>65</v>
      </c>
      <c r="J520" s="7" t="str" cm="1">
        <f t="array" ref="J520">INDEX(Changed!$J:$J,ROW())&amp;IF(Changed!$J520&gt;Base!$J520,"↑",IF(Changed!$J520&lt;Base!$J520," ↓",""))</f>
        <v>107</v>
      </c>
      <c r="K520" s="7" t="str" cm="1">
        <f t="array" ref="K520">INDEX(Changed!$K:$K,ROW())&amp;IF(Changed!$K520&gt;Base!$K520,"↑",IF(Changed!$K520&lt;Base!$K520," ↓",""))</f>
        <v>105</v>
      </c>
      <c r="L520" s="7" t="str" cm="1">
        <f t="array" ref="L520">INDEX(Changed!$L:$L,ROW())&amp;IF(Changed!$L520&gt;Base!$L520,"↑",IF(Changed!$L520&lt;Base!$L520," ↓",""))</f>
        <v>107</v>
      </c>
      <c r="M520" s="7" t="str" cm="1">
        <f t="array" ref="M520">INDEX(Changed!$M:$M,ROW())&amp;IF(Changed!$M520&gt;Base!$M520,"↑",IF(Changed!$M520&lt;Base!$M520," ↓",""))</f>
        <v>86</v>
      </c>
      <c r="N520" s="19">
        <f>Changed!G520-Base!G520</f>
        <v>0</v>
      </c>
    </row>
    <row r="521" spans="1:14" ht="15.75" customHeight="1" x14ac:dyDescent="0.2">
      <c r="A521" s="4" t="s">
        <v>1352</v>
      </c>
      <c r="B521" s="5" t="s">
        <v>672</v>
      </c>
      <c r="C521" s="6" t="str">
        <f>IF(Changed!C521&lt;&gt;"", Changed!C521, "")</f>
        <v>Ghost</v>
      </c>
      <c r="D521" s="6" t="str">
        <f>IF(Changed!D521&lt;&gt;"", Changed!D521, "")</f>
        <v>Dragon</v>
      </c>
      <c r="E521" s="6" t="str">
        <f>IF(Changed!E521&lt;&gt;"", Changed!E521, "")</f>
        <v>Levitate</v>
      </c>
      <c r="F521" s="6" t="str">
        <f>IF(Changed!F521&lt;&gt;"", Changed!F521, "")</f>
        <v/>
      </c>
      <c r="G521" s="7" t="str" cm="1">
        <f t="array" ref="G521">INDEX(Changed!$G:$G,ROW())&amp;IF(Changed!$G521&gt;Base!$G521,"↑",IF(Changed!$G521&lt;Base!$G521," ↓",""))</f>
        <v>680</v>
      </c>
      <c r="H521" s="7" t="str" cm="1">
        <f t="array" ref="H521">INDEX(Changed!$H:$H,ROW())&amp;IF(Changed!$H521&gt;Base!$H521,"↑",IF(Changed!$H521&lt;Base!$H521," ↓",""))</f>
        <v>150</v>
      </c>
      <c r="I521" s="7" t="str" cm="1">
        <f t="array" ref="I521">INDEX(Changed!$I:$I,ROW())&amp;IF(Changed!$I521&gt;Base!$I521,"↑",IF(Changed!$I521&lt;Base!$I521," ↓",""))</f>
        <v>120</v>
      </c>
      <c r="J521" s="7" t="str" cm="1">
        <f t="array" ref="J521">INDEX(Changed!$J:$J,ROW())&amp;IF(Changed!$J521&gt;Base!$J521,"↑",IF(Changed!$J521&lt;Base!$J521," ↓",""))</f>
        <v>100</v>
      </c>
      <c r="K521" s="7" t="str" cm="1">
        <f t="array" ref="K521">INDEX(Changed!$K:$K,ROW())&amp;IF(Changed!$K521&gt;Base!$K521,"↑",IF(Changed!$K521&lt;Base!$K521," ↓",""))</f>
        <v>120</v>
      </c>
      <c r="L521" s="7" t="str" cm="1">
        <f t="array" ref="L521">INDEX(Changed!$L:$L,ROW())&amp;IF(Changed!$L521&gt;Base!$L521,"↑",IF(Changed!$L521&lt;Base!$L521," ↓",""))</f>
        <v>100</v>
      </c>
      <c r="M521" s="7" t="str" cm="1">
        <f t="array" ref="M521">INDEX(Changed!$M:$M,ROW())&amp;IF(Changed!$M521&gt;Base!$M521,"↑",IF(Changed!$M521&lt;Base!$M521," ↓",""))</f>
        <v>90</v>
      </c>
      <c r="N521" s="19">
        <f>Changed!G521-Base!G521</f>
        <v>0</v>
      </c>
    </row>
    <row r="522" spans="1:14" ht="15.75" customHeight="1" x14ac:dyDescent="0.2">
      <c r="A522" s="4" t="s">
        <v>1244</v>
      </c>
      <c r="B522" s="5" t="s">
        <v>674</v>
      </c>
      <c r="C522" s="6" t="str">
        <f>IF(Changed!C522&lt;&gt;"", Changed!C522, "")</f>
        <v>Grass</v>
      </c>
      <c r="D522" s="6" t="str">
        <f>IF(Changed!D522&lt;&gt;"", Changed!D522, "")</f>
        <v>Flying</v>
      </c>
      <c r="E522" s="6" t="str">
        <f>IF(Changed!E522&lt;&gt;"", Changed!E522, "")</f>
        <v>Serene Grace</v>
      </c>
      <c r="F522" s="6" t="str">
        <f>IF(Changed!F522&lt;&gt;"", Changed!F522, "")</f>
        <v/>
      </c>
      <c r="G522" s="7" t="str" cm="1">
        <f t="array" ref="G522">INDEX(Changed!$G:$G,ROW())&amp;IF(Changed!$G522&gt;Base!$G522,"↑",IF(Changed!$G522&lt;Base!$G522," ↓",""))</f>
        <v>600</v>
      </c>
      <c r="H522" s="7" t="str" cm="1">
        <f t="array" ref="H522">INDEX(Changed!$H:$H,ROW())&amp;IF(Changed!$H522&gt;Base!$H522,"↑",IF(Changed!$H522&lt;Base!$H522," ↓",""))</f>
        <v>100</v>
      </c>
      <c r="I522" s="7" t="str" cm="1">
        <f t="array" ref="I522">INDEX(Changed!$I:$I,ROW())&amp;IF(Changed!$I522&gt;Base!$I522,"↑",IF(Changed!$I522&lt;Base!$I522," ↓",""))</f>
        <v>103</v>
      </c>
      <c r="J522" s="7" t="str" cm="1">
        <f t="array" ref="J522">INDEX(Changed!$J:$J,ROW())&amp;IF(Changed!$J522&gt;Base!$J522,"↑",IF(Changed!$J522&lt;Base!$J522," ↓",""))</f>
        <v>75</v>
      </c>
      <c r="K522" s="7" t="str" cm="1">
        <f t="array" ref="K522">INDEX(Changed!$K:$K,ROW())&amp;IF(Changed!$K522&gt;Base!$K522,"↑",IF(Changed!$K522&lt;Base!$K522," ↓",""))</f>
        <v>120</v>
      </c>
      <c r="L522" s="7" t="str" cm="1">
        <f t="array" ref="L522">INDEX(Changed!$L:$L,ROW())&amp;IF(Changed!$L522&gt;Base!$L522,"↑",IF(Changed!$L522&lt;Base!$L522," ↓",""))</f>
        <v>75</v>
      </c>
      <c r="M522" s="7" t="str" cm="1">
        <f t="array" ref="M522">INDEX(Changed!$M:$M,ROW())&amp;IF(Changed!$M522&gt;Base!$M522,"↑",IF(Changed!$M522&lt;Base!$M522," ↓",""))</f>
        <v>127</v>
      </c>
      <c r="N522" s="19">
        <f>Changed!G522-Base!G522</f>
        <v>0</v>
      </c>
    </row>
    <row r="523" spans="1:14" ht="15.75" customHeight="1" x14ac:dyDescent="0.2">
      <c r="A523" s="4" t="s">
        <v>1300</v>
      </c>
      <c r="B523" s="5" t="s">
        <v>1248</v>
      </c>
      <c r="C523" s="6" t="str">
        <f>IF(Changed!C523&lt;&gt;"", Changed!C523, "")</f>
        <v>Grass</v>
      </c>
      <c r="D523" s="6" t="str">
        <f>IF(Changed!D523&lt;&gt;"", Changed!D523, "")</f>
        <v>Poison</v>
      </c>
      <c r="E523" s="6" t="str">
        <f>IF(Changed!E523&lt;&gt;"", Changed!E523, "")</f>
        <v>Thick Fat</v>
      </c>
      <c r="F523" s="6" t="str">
        <f>IF(Changed!F523&lt;&gt;"", Changed!F523, "")</f>
        <v/>
      </c>
      <c r="G523" s="7" t="str" cm="1">
        <f t="array" ref="G523">INDEX(Changed!$G:$G,ROW())&amp;IF(Changed!$G523&gt;Base!$G523,"↑",IF(Changed!$G523&lt;Base!$G523," ↓",""))</f>
        <v>580 ↓</v>
      </c>
      <c r="H523" s="7" t="str" cm="1">
        <f t="array" ref="H523">INDEX(Changed!$H:$H,ROW())&amp;IF(Changed!$H523&gt;Base!$H523,"↑",IF(Changed!$H523&lt;Base!$H523," ↓",""))</f>
        <v>80</v>
      </c>
      <c r="I523" s="7" t="str" cm="1">
        <f t="array" ref="I523">INDEX(Changed!$I:$I,ROW())&amp;IF(Changed!$I523&gt;Base!$I523,"↑",IF(Changed!$I523&lt;Base!$I523," ↓",""))</f>
        <v>90 ↓</v>
      </c>
      <c r="J523" s="7" t="str" cm="1">
        <f t="array" ref="J523">INDEX(Changed!$J:$J,ROW())&amp;IF(Changed!$J523&gt;Base!$J523,"↑",IF(Changed!$J523&lt;Base!$J523," ↓",""))</f>
        <v>110 ↓</v>
      </c>
      <c r="K523" s="7" t="str" cm="1">
        <f t="array" ref="K523">INDEX(Changed!$K:$K,ROW())&amp;IF(Changed!$K523&gt;Base!$K523,"↑",IF(Changed!$K523&lt;Base!$K523," ↓",""))</f>
        <v>120 ↓</v>
      </c>
      <c r="L523" s="7" t="str" cm="1">
        <f t="array" ref="L523">INDEX(Changed!$L:$L,ROW())&amp;IF(Changed!$L523&gt;Base!$L523,"↑",IF(Changed!$L523&lt;Base!$L523," ↓",""))</f>
        <v>100 ↓</v>
      </c>
      <c r="M523" s="7" t="str" cm="1">
        <f t="array" ref="M523">INDEX(Changed!$M:$M,ROW())&amp;IF(Changed!$M523&gt;Base!$M523,"↑",IF(Changed!$M523&lt;Base!$M523," ↓",""))</f>
        <v>80</v>
      </c>
      <c r="N523" s="19">
        <f>Changed!G523-Base!G523</f>
        <v>-45</v>
      </c>
    </row>
    <row r="524" spans="1:14" ht="15.75" customHeight="1" x14ac:dyDescent="0.2">
      <c r="A524" s="4" t="s">
        <v>1301</v>
      </c>
      <c r="B524" s="5" t="s">
        <v>1249</v>
      </c>
      <c r="C524" s="6" t="str">
        <f>IF(Changed!C524&lt;&gt;"", Changed!C524, "")</f>
        <v>Grass</v>
      </c>
      <c r="D524" s="6" t="str">
        <f>IF(Changed!D524&lt;&gt;"", Changed!D524, "")</f>
        <v>Poison</v>
      </c>
      <c r="E524" s="6" t="str">
        <f>IF(Changed!E524&lt;&gt;"", Changed!E524, "")</f>
        <v>Grassy Surge</v>
      </c>
      <c r="F524" s="6" t="str">
        <f>IF(Changed!F524&lt;&gt;"", Changed!F524, "")</f>
        <v/>
      </c>
      <c r="G524" s="7" t="str" cm="1">
        <f t="array" ref="G524">INDEX(Changed!$G:$G,ROW())&amp;IF(Changed!$G524&gt;Base!$G524,"↑",IF(Changed!$G524&lt;Base!$G524," ↓",""))</f>
        <v>580 ↓</v>
      </c>
      <c r="H524" s="7" t="str" cm="1">
        <f t="array" ref="H524">INDEX(Changed!$H:$H,ROW())&amp;IF(Changed!$H524&gt;Base!$H524,"↑",IF(Changed!$H524&lt;Base!$H524," ↓",""))</f>
        <v>80</v>
      </c>
      <c r="I524" s="7" t="str" cm="1">
        <f t="array" ref="I524">INDEX(Changed!$I:$I,ROW())&amp;IF(Changed!$I524&gt;Base!$I524,"↑",IF(Changed!$I524&lt;Base!$I524," ↓",""))</f>
        <v>90 ↓</v>
      </c>
      <c r="J524" s="7" t="str" cm="1">
        <f t="array" ref="J524">INDEX(Changed!$J:$J,ROW())&amp;IF(Changed!$J524&gt;Base!$J524,"↑",IF(Changed!$J524&lt;Base!$J524," ↓",""))</f>
        <v>110 ↓</v>
      </c>
      <c r="K524" s="7" t="str" cm="1">
        <f t="array" ref="K524">INDEX(Changed!$K:$K,ROW())&amp;IF(Changed!$K524&gt;Base!$K524,"↑",IF(Changed!$K524&lt;Base!$K524," ↓",""))</f>
        <v>100 ↓</v>
      </c>
      <c r="L524" s="7" t="str" cm="1">
        <f t="array" ref="L524">INDEX(Changed!$L:$L,ROW())&amp;IF(Changed!$L524&gt;Base!$L524,"↑",IF(Changed!$L524&lt;Base!$L524," ↓",""))</f>
        <v>120</v>
      </c>
      <c r="M524" s="7" t="str" cm="1">
        <f t="array" ref="M524">INDEX(Changed!$M:$M,ROW())&amp;IF(Changed!$M524&gt;Base!$M524,"↑",IF(Changed!$M524&lt;Base!$M524," ↓",""))</f>
        <v>80</v>
      </c>
      <c r="N524" s="19">
        <f>Changed!G524-Base!G524</f>
        <v>-45</v>
      </c>
    </row>
    <row r="525" spans="1:14" ht="15.75" customHeight="1" x14ac:dyDescent="0.2">
      <c r="A525" s="4" t="s">
        <v>1302</v>
      </c>
      <c r="B525" s="5" t="s">
        <v>1247</v>
      </c>
      <c r="C525" s="6" t="str">
        <f>IF(Changed!C525&lt;&gt;"", Changed!C525, "")</f>
        <v xml:space="preserve">Fire </v>
      </c>
      <c r="D525" s="6" t="str">
        <f>IF(Changed!D525&lt;&gt;"", Changed!D525, "")</f>
        <v>Dragon</v>
      </c>
      <c r="E525" s="6" t="str">
        <f>IF(Changed!E525&lt;&gt;"", Changed!E525, "")</f>
        <v>Tough Claws</v>
      </c>
      <c r="F525" s="6" t="str">
        <f>IF(Changed!F525&lt;&gt;"", Changed!F525, "")</f>
        <v/>
      </c>
      <c r="G525" s="7" t="str" cm="1">
        <f t="array" ref="G525">INDEX(Changed!$G:$G,ROW())&amp;IF(Changed!$G525&gt;Base!$G525,"↑",IF(Changed!$G525&lt;Base!$G525," ↓",""))</f>
        <v>589 ↓</v>
      </c>
      <c r="H525" s="7" t="str" cm="1">
        <f t="array" ref="H525">INDEX(Changed!$H:$H,ROW())&amp;IF(Changed!$H525&gt;Base!$H525,"↑",IF(Changed!$H525&lt;Base!$H525," ↓",""))</f>
        <v>78</v>
      </c>
      <c r="I525" s="7" t="str" cm="1">
        <f t="array" ref="I525">INDEX(Changed!$I:$I,ROW())&amp;IF(Changed!$I525&gt;Base!$I525,"↑",IF(Changed!$I525&lt;Base!$I525," ↓",""))</f>
        <v>120 ↓</v>
      </c>
      <c r="J525" s="7" t="str" cm="1">
        <f t="array" ref="J525">INDEX(Changed!$J:$J,ROW())&amp;IF(Changed!$J525&gt;Base!$J525,"↑",IF(Changed!$J525&lt;Base!$J525," ↓",""))</f>
        <v>100 ↓</v>
      </c>
      <c r="K525" s="7" t="str" cm="1">
        <f t="array" ref="K525">INDEX(Changed!$K:$K,ROW())&amp;IF(Changed!$K525&gt;Base!$K525,"↑",IF(Changed!$K525&lt;Base!$K525," ↓",""))</f>
        <v>106 ↓</v>
      </c>
      <c r="L525" s="7" t="str" cm="1">
        <f t="array" ref="L525">INDEX(Changed!$L:$L,ROW())&amp;IF(Changed!$L525&gt;Base!$L525,"↑",IF(Changed!$L525&lt;Base!$L525," ↓",""))</f>
        <v>85</v>
      </c>
      <c r="M525" s="7" t="str" cm="1">
        <f t="array" ref="M525">INDEX(Changed!$M:$M,ROW())&amp;IF(Changed!$M525&gt;Base!$M525,"↑",IF(Changed!$M525&lt;Base!$M525," ↓",""))</f>
        <v>100</v>
      </c>
      <c r="N525" s="19">
        <f>Changed!G525-Base!G525</f>
        <v>-45</v>
      </c>
    </row>
    <row r="526" spans="1:14" ht="15.75" customHeight="1" x14ac:dyDescent="0.2">
      <c r="A526" s="4" t="s">
        <v>1369</v>
      </c>
      <c r="B526" s="5" t="s">
        <v>1250</v>
      </c>
      <c r="C526" s="6" t="str">
        <f>IF(Changed!C526&lt;&gt;"", Changed!C526, "")</f>
        <v xml:space="preserve">Fire </v>
      </c>
      <c r="D526" s="6" t="str">
        <f>IF(Changed!D526&lt;&gt;"", Changed!D526, "")</f>
        <v>Flying</v>
      </c>
      <c r="E526" s="6" t="str">
        <f>IF(Changed!E526&lt;&gt;"", Changed!E526, "")</f>
        <v>Drought</v>
      </c>
      <c r="F526" s="6" t="str">
        <f>IF(Changed!F526&lt;&gt;"", Changed!F526, "")</f>
        <v/>
      </c>
      <c r="G526" s="7" t="str" cm="1">
        <f t="array" ref="G526">INDEX(Changed!$G:$G,ROW())&amp;IF(Changed!$G526&gt;Base!$G526,"↑",IF(Changed!$G526&lt;Base!$G526," ↓",""))</f>
        <v>589 ↓</v>
      </c>
      <c r="H526" s="7" t="str" cm="1">
        <f t="array" ref="H526">INDEX(Changed!$H:$H,ROW())&amp;IF(Changed!$H526&gt;Base!$H526,"↑",IF(Changed!$H526&lt;Base!$H526," ↓",""))</f>
        <v>78</v>
      </c>
      <c r="I526" s="7" t="str" cm="1">
        <f t="array" ref="I526">INDEX(Changed!$I:$I,ROW())&amp;IF(Changed!$I526&gt;Base!$I526,"↑",IF(Changed!$I526&lt;Base!$I526," ↓",""))</f>
        <v>94 ↓</v>
      </c>
      <c r="J526" s="7" t="str" cm="1">
        <f t="array" ref="J526">INDEX(Changed!$J:$J,ROW())&amp;IF(Changed!$J526&gt;Base!$J526,"↑",IF(Changed!$J526&lt;Base!$J526," ↓",""))</f>
        <v>78</v>
      </c>
      <c r="K526" s="7" t="str" cm="1">
        <f t="array" ref="K526">INDEX(Changed!$K:$K,ROW())&amp;IF(Changed!$K526&gt;Base!$K526,"↑",IF(Changed!$K526&lt;Base!$K526," ↓",""))</f>
        <v>139 ↓</v>
      </c>
      <c r="L526" s="7" t="str" cm="1">
        <f t="array" ref="L526">INDEX(Changed!$L:$L,ROW())&amp;IF(Changed!$L526&gt;Base!$L526,"↑",IF(Changed!$L526&lt;Base!$L526," ↓",""))</f>
        <v>100 ↓</v>
      </c>
      <c r="M526" s="7" t="str" cm="1">
        <f t="array" ref="M526">INDEX(Changed!$M:$M,ROW())&amp;IF(Changed!$M526&gt;Base!$M526,"↑",IF(Changed!$M526&lt;Base!$M526," ↓",""))</f>
        <v>100</v>
      </c>
      <c r="N526" s="19">
        <f>Changed!G526-Base!G526</f>
        <v>-45</v>
      </c>
    </row>
    <row r="527" spans="1:14" ht="15.75" customHeight="1" x14ac:dyDescent="0.2">
      <c r="A527" s="4" t="s">
        <v>1303</v>
      </c>
      <c r="B527" s="5" t="s">
        <v>1251</v>
      </c>
      <c r="C527" s="6" t="str">
        <f>IF(Changed!C528&lt;&gt;"", Changed!C528, "")</f>
        <v>Water</v>
      </c>
      <c r="D527" s="6" t="str">
        <f>IF(Changed!D528&lt;&gt;"", Changed!D528, "")</f>
        <v/>
      </c>
      <c r="E527" s="6" t="str">
        <f>IF(Changed!E528&lt;&gt;"", Changed!E528, "")</f>
        <v>Mega Launcher</v>
      </c>
      <c r="F527" s="6" t="str">
        <f>IF(Changed!F528&lt;&gt;"", Changed!F528, "")</f>
        <v/>
      </c>
      <c r="G527" s="7" t="str" cm="1">
        <f t="array" ref="G527">INDEX(Changed!$G:$G,ROW())&amp;IF(Changed!$G528&gt;Base!$G527,"↑",IF(Changed!$G528&lt;Base!$G527," ↓",""))</f>
        <v>589 ↓</v>
      </c>
      <c r="H527" s="7" t="str" cm="1">
        <f t="array" ref="H527">INDEX(Changed!$H:$H,ROW())&amp;IF(Changed!$H528&gt;Base!$H527,"↑",IF(Changed!$H528&lt;Base!$H527," ↓",""))</f>
        <v>78</v>
      </c>
      <c r="I527" s="7" t="str" cm="1">
        <f t="array" ref="I527">INDEX(Changed!$I:$I,ROW())&amp;IF(Changed!$I528&gt;Base!$I527,"↑",IF(Changed!$I528&lt;Base!$I527," ↓",""))</f>
        <v>127 ↓</v>
      </c>
      <c r="J527" s="7" t="str" cm="1">
        <f t="array" ref="J527">INDEX(Changed!$J:$J,ROW())&amp;IF(Changed!$J528&gt;Base!$J527,"↑",IF(Changed!$J528&lt;Base!$J527," ↓",""))</f>
        <v>110 ↓</v>
      </c>
      <c r="K527" s="7" t="str" cm="1">
        <f t="array" ref="K527">INDEX(Changed!$K:$K,ROW())&amp;IF(Changed!$K528&gt;Base!$K527,"↑",IF(Changed!$K528&lt;Base!$K527," ↓",""))</f>
        <v>84 ↓</v>
      </c>
      <c r="L527" s="7" t="str" cm="1">
        <f t="array" ref="L527">INDEX(Changed!$L:$L,ROW())&amp;IF(Changed!$L528&gt;Base!$L527,"↑",IF(Changed!$L528&lt;Base!$L527," ↓",""))</f>
        <v>90</v>
      </c>
      <c r="M527" s="7" t="str" cm="1">
        <f t="array" ref="M527">INDEX(Changed!$M:$M,ROW())&amp;IF(Changed!$M528&gt;Base!$M527,"↑",IF(Changed!$M528&lt;Base!$M527," ↓",""))</f>
        <v>100</v>
      </c>
      <c r="N527" s="19">
        <f>Changed!G528-Base!G527</f>
        <v>-45</v>
      </c>
    </row>
    <row r="528" spans="1:14" ht="15.75" customHeight="1" x14ac:dyDescent="0.2">
      <c r="A528" s="4" t="s">
        <v>1304</v>
      </c>
      <c r="B528" s="5" t="s">
        <v>1252</v>
      </c>
      <c r="C528" s="6" t="str">
        <f>IF(Changed!C529&lt;&gt;"", Changed!C529, "")</f>
        <v xml:space="preserve">Water </v>
      </c>
      <c r="D528" s="6" t="str">
        <f>IF(Changed!D529&lt;&gt;"", Changed!D529, "")</f>
        <v>Steel</v>
      </c>
      <c r="E528" s="6" t="str">
        <f>IF(Changed!E529&lt;&gt;"", Changed!E529, "")</f>
        <v>Parental Bond</v>
      </c>
      <c r="F528" s="6" t="str">
        <f>IF(Changed!F529&lt;&gt;"", Changed!F529, "")</f>
        <v/>
      </c>
      <c r="G528" s="7" t="str" cm="1">
        <f t="array" ref="G528">INDEX(Changed!$G:$G,ROW())&amp;IF(Changed!$G529&gt;Base!$G528,"↑",IF(Changed!$G529&lt;Base!$G528," ↓",""))</f>
        <v>585 ↓</v>
      </c>
      <c r="H528" s="7" t="str" cm="1">
        <f t="array" ref="H528">INDEX(Changed!$H:$H,ROW())&amp;IF(Changed!$H529&gt;Base!$H528,"↑",IF(Changed!$H529&lt;Base!$H528," ↓",""))</f>
        <v>79</v>
      </c>
      <c r="I528" s="7" t="str" cm="1">
        <f t="array" ref="I528">INDEX(Changed!$I:$I,ROW())&amp;IF(Changed!$I529&gt;Base!$I528,"↑",IF(Changed!$I529&lt;Base!$I528," ↓",""))</f>
        <v>88↑</v>
      </c>
      <c r="J528" s="7" t="str" cm="1">
        <f t="array" ref="J528">INDEX(Changed!$J:$J,ROW())&amp;IF(Changed!$J529&gt;Base!$J528,"↑",IF(Changed!$J529&lt;Base!$J528," ↓",""))</f>
        <v>110↑</v>
      </c>
      <c r="K528" s="7" t="str" cm="1">
        <f t="array" ref="K528">INDEX(Changed!$K:$K,ROW())&amp;IF(Changed!$K529&gt;Base!$K528,"↑",IF(Changed!$K529&lt;Base!$K528," ↓",""))</f>
        <v>115 ↓</v>
      </c>
      <c r="L528" s="7" t="str" cm="1">
        <f t="array" ref="L528">INDEX(Changed!$L:$L,ROW())&amp;IF(Changed!$L529&gt;Base!$L528,"↑",IF(Changed!$L529&lt;Base!$L528," ↓",""))</f>
        <v>115 ↓</v>
      </c>
      <c r="M528" s="7" t="str" cm="1">
        <f t="array" ref="M528">INDEX(Changed!$M:$M,ROW())&amp;IF(Changed!$M529&gt;Base!$M528,"↑",IF(Changed!$M529&lt;Base!$M528," ↓",""))</f>
        <v>78 ↓</v>
      </c>
      <c r="N528" s="19">
        <f>Changed!G529-Base!G528</f>
        <v>-45</v>
      </c>
    </row>
    <row r="529" spans="1:15" ht="15.75" customHeight="1" x14ac:dyDescent="0.2">
      <c r="A529" s="4" t="s">
        <v>1305</v>
      </c>
      <c r="B529" s="5" t="s">
        <v>1253</v>
      </c>
      <c r="C529" s="6" t="str">
        <f>IF(Changed!C530&lt;&gt;"", Changed!C530, "")</f>
        <v>Bug</v>
      </c>
      <c r="D529" s="6" t="str">
        <f>IF(Changed!D530&lt;&gt;"", Changed!D530, "")</f>
        <v>Psychic</v>
      </c>
      <c r="E529" s="6" t="str">
        <f>IF(Changed!E530&lt;&gt;"", Changed!E530, "")</f>
        <v>Adaptability</v>
      </c>
      <c r="F529" s="6" t="str">
        <f>IF(Changed!F530&lt;&gt;"", Changed!F530, "")</f>
        <v/>
      </c>
      <c r="G529" s="7" t="str" cm="1">
        <f t="array" ref="G529">INDEX(Changed!$G:$G,ROW())&amp;IF(Changed!$G530&gt;Base!$G529,"↑",IF(Changed!$G530&lt;Base!$G529," ↓",""))</f>
        <v>585↑</v>
      </c>
      <c r="H529" s="7" t="str" cm="1">
        <f t="array" ref="H529">INDEX(Changed!$H:$H,ROW())&amp;IF(Changed!$H530&gt;Base!$H529,"↑",IF(Changed!$H530&lt;Base!$H529," ↓",""))</f>
        <v>79</v>
      </c>
      <c r="I529" s="7" t="str" cm="1">
        <f t="array" ref="I529">INDEX(Changed!$I:$I,ROW())&amp;IF(Changed!$I530&gt;Base!$I529,"↑",IF(Changed!$I530&lt;Base!$I529," ↓",""))</f>
        <v>113 ↓</v>
      </c>
      <c r="J529" s="7" t="str" cm="1">
        <f t="array" ref="J529">INDEX(Changed!$J:$J,ROW())&amp;IF(Changed!$J530&gt;Base!$J529,"↑",IF(Changed!$J530&lt;Base!$J529," ↓",""))</f>
        <v>130</v>
      </c>
      <c r="K529" s="7" t="str" cm="1">
        <f t="array" ref="K529">INDEX(Changed!$K:$K,ROW())&amp;IF(Changed!$K530&gt;Base!$K529,"↑",IF(Changed!$K530&lt;Base!$K529," ↓",""))</f>
        <v>100↑</v>
      </c>
      <c r="L529" s="7" t="str" cm="1">
        <f t="array" ref="L529">INDEX(Changed!$L:$L,ROW())&amp;IF(Changed!$L530&gt;Base!$L529,"↑",IF(Changed!$L530&lt;Base!$L529," ↓",""))</f>
        <v>105</v>
      </c>
      <c r="M529" s="7" t="str" cm="1">
        <f t="array" ref="M529">INDEX(Changed!$M:$M,ROW())&amp;IF(Changed!$M530&gt;Base!$M529,"↑",IF(Changed!$M530&lt;Base!$M529," ↓",""))</f>
        <v>58↑</v>
      </c>
      <c r="N529" s="19">
        <f>Changed!G530-Base!G529</f>
        <v>62</v>
      </c>
    </row>
    <row r="530" spans="1:15" ht="15.75" customHeight="1" x14ac:dyDescent="0.2">
      <c r="A530" s="4" t="s">
        <v>1306</v>
      </c>
      <c r="B530" s="5" t="s">
        <v>1254</v>
      </c>
      <c r="C530" s="6" t="str">
        <f>IF(Changed!C531&lt;&gt;"", Changed!C531, "")</f>
        <v>Bug</v>
      </c>
      <c r="D530" s="6" t="str">
        <f>IF(Changed!D531&lt;&gt;"", Changed!D531, "")</f>
        <v>Poison</v>
      </c>
      <c r="E530" s="6" t="str">
        <f>IF(Changed!E531&lt;&gt;"", Changed!E531, "")</f>
        <v>Adaptability</v>
      </c>
      <c r="F530" s="6" t="str">
        <f>IF(Changed!F531&lt;&gt;"", Changed!F531, "")</f>
        <v/>
      </c>
      <c r="G530" s="7" t="str" cm="1">
        <f t="array" ref="G530">INDEX(Changed!$G:$G,ROW())&amp;IF(Changed!$G531&gt;Base!$G530,"↑",IF(Changed!$G531&lt;Base!$G530," ↓",""))</f>
        <v>457 ↓</v>
      </c>
      <c r="H530" s="7" t="str" cm="1">
        <f t="array" ref="H530">INDEX(Changed!$H:$H,ROW())&amp;IF(Changed!$H531&gt;Base!$H530,"↑",IF(Changed!$H531&lt;Base!$H530," ↓",""))</f>
        <v>60</v>
      </c>
      <c r="I530" s="7" t="str" cm="1">
        <f t="array" ref="I530">INDEX(Changed!$I:$I,ROW())&amp;IF(Changed!$I531&gt;Base!$I530,"↑",IF(Changed!$I531&lt;Base!$I530," ↓",""))</f>
        <v>15 ↓</v>
      </c>
      <c r="J530" s="7" t="str" cm="1">
        <f t="array" ref="J530">INDEX(Changed!$J:$J,ROW())&amp;IF(Changed!$J531&gt;Base!$J530,"↑",IF(Changed!$J531&lt;Base!$J530," ↓",""))</f>
        <v>50</v>
      </c>
      <c r="K530" s="7" t="str" cm="1">
        <f t="array" ref="K530">INDEX(Changed!$K:$K,ROW())&amp;IF(Changed!$K531&gt;Base!$K530,"↑",IF(Changed!$K531&lt;Base!$K530," ↓",""))</f>
        <v>132</v>
      </c>
      <c r="L530" s="7" t="str" cm="1">
        <f t="array" ref="L530">INDEX(Changed!$L:$L,ROW())&amp;IF(Changed!$L531&gt;Base!$L530,"↑",IF(Changed!$L531&lt;Base!$L530," ↓",""))</f>
        <v>80</v>
      </c>
      <c r="M530" s="7" t="str" cm="1">
        <f t="array" ref="M530">INDEX(Changed!$M:$M,ROW())&amp;IF(Changed!$M531&gt;Base!$M530,"↑",IF(Changed!$M531&lt;Base!$M530," ↓",""))</f>
        <v>120 ↓</v>
      </c>
      <c r="N530" s="19">
        <f>Changed!G531-Base!G530</f>
        <v>-28</v>
      </c>
    </row>
    <row r="531" spans="1:15" ht="15.75" customHeight="1" x14ac:dyDescent="0.2">
      <c r="A531" s="4" t="s">
        <v>1308</v>
      </c>
      <c r="B531" s="5" t="s">
        <v>1256</v>
      </c>
      <c r="C531" s="6" t="str">
        <f>IF(Changed!C532&lt;&gt;"", Changed!C532, "")</f>
        <v>Flying</v>
      </c>
      <c r="D531" s="6" t="str">
        <f>IF(Changed!D532&lt;&gt;"", Changed!D532, "")</f>
        <v>Dragon</v>
      </c>
      <c r="E531" s="6" t="str">
        <f>IF(Changed!E532&lt;&gt;"", Changed!E532, "")</f>
        <v>No Guard</v>
      </c>
      <c r="F531" s="6" t="str">
        <f>IF(Changed!F532&lt;&gt;"", Changed!F532, "")</f>
        <v/>
      </c>
      <c r="G531" s="7" t="str" cm="1">
        <f t="array" ref="G531">INDEX(Changed!$G:$G,ROW())&amp;IF(Changed!$G532&gt;Base!$G531,"↑",IF(Changed!$G532&lt;Base!$G531," ↓",""))</f>
        <v>467 ↓</v>
      </c>
      <c r="H531" s="7" t="str" cm="1">
        <f t="array" ref="H531">INDEX(Changed!$H:$H,ROW())&amp;IF(Changed!$H532&gt;Base!$H531,"↑",IF(Changed!$H532&lt;Base!$H531," ↓",""))</f>
        <v>65</v>
      </c>
      <c r="I531" s="7" t="str" cm="1">
        <f t="array" ref="I531">INDEX(Changed!$I:$I,ROW())&amp;IF(Changed!$I532&gt;Base!$I531,"↑",IF(Changed!$I532&lt;Base!$I531," ↓",""))</f>
        <v>130</v>
      </c>
      <c r="J531" s="7" t="str" cm="1">
        <f t="array" ref="J531">INDEX(Changed!$J:$J,ROW())&amp;IF(Changed!$J532&gt;Base!$J531,"↑",IF(Changed!$J532&lt;Base!$J531," ↓",""))</f>
        <v>40 ↓</v>
      </c>
      <c r="K531" s="7" t="str" cm="1">
        <f t="array" ref="K531">INDEX(Changed!$K:$K,ROW())&amp;IF(Changed!$K532&gt;Base!$K531,"↑",IF(Changed!$K532&lt;Base!$K531," ↓",""))</f>
        <v>15 ↓</v>
      </c>
      <c r="L531" s="7" t="str" cm="1">
        <f t="array" ref="L531">INDEX(Changed!$L:$L,ROW())&amp;IF(Changed!$L532&gt;Base!$L531,"↑",IF(Changed!$L532&lt;Base!$L531," ↓",""))</f>
        <v>80 ↓</v>
      </c>
      <c r="M531" s="7" t="str" cm="1">
        <f t="array" ref="M531">INDEX(Changed!$M:$M,ROW())&amp;IF(Changed!$M532&gt;Base!$M531,"↑",IF(Changed!$M532&lt;Base!$M531," ↓",""))</f>
        <v>137</v>
      </c>
      <c r="N531" s="19">
        <f>Changed!G532-Base!G531</f>
        <v>-45</v>
      </c>
    </row>
    <row r="532" spans="1:15" ht="15.75" customHeight="1" x14ac:dyDescent="0.2">
      <c r="A532" s="4" t="s">
        <v>1307</v>
      </c>
      <c r="B532" s="5" t="s">
        <v>1245</v>
      </c>
      <c r="C532" s="6" t="str">
        <f>IF(Changed!C537&lt;&gt;"", Changed!C537, "")</f>
        <v>Psychic</v>
      </c>
      <c r="D532" s="6" t="str">
        <f>IF(Changed!D537&lt;&gt;"", Changed!D537, "")</f>
        <v/>
      </c>
      <c r="E532" s="6" t="str">
        <f>IF(Changed!E537&lt;&gt;"", Changed!E537, "")</f>
        <v>Trace</v>
      </c>
      <c r="F532" s="6" t="str">
        <f>IF(Changed!F537&lt;&gt;"", Changed!F537, "")</f>
        <v/>
      </c>
      <c r="G532" s="7" t="str" cm="1">
        <f t="array" ref="G532">INDEX(Changed!$G:$G,ROW())&amp;IF(Changed!$G537&gt;Base!$G532,"↑",IF(Changed!$G537&lt;Base!$G532," ↓",""))</f>
        <v>534 ↓</v>
      </c>
      <c r="H532" s="7" t="str" cm="1">
        <f t="array" ref="H532">INDEX(Changed!$H:$H,ROW())&amp;IF(Changed!$H537&gt;Base!$H532,"↑",IF(Changed!$H537&lt;Base!$H532," ↓",""))</f>
        <v>83</v>
      </c>
      <c r="I532" s="7" t="str" cm="1">
        <f t="array" ref="I532">INDEX(Changed!$I:$I,ROW())&amp;IF(Changed!$I537&gt;Base!$I532,"↑",IF(Changed!$I537&lt;Base!$I532," ↓",""))</f>
        <v>80</v>
      </c>
      <c r="J532" s="7" t="str" cm="1">
        <f t="array" ref="J532">INDEX(Changed!$J:$J,ROW())&amp;IF(Changed!$J537&gt;Base!$J532,"↑",IF(Changed!$J537&lt;Base!$J532," ↓",""))</f>
        <v>75</v>
      </c>
      <c r="K532" s="7" t="str" cm="1">
        <f t="array" ref="K532">INDEX(Changed!$K:$K,ROW())&amp;IF(Changed!$K537&gt;Base!$K532,"↑",IF(Changed!$K537&lt;Base!$K532," ↓",""))</f>
        <v>105 ↓</v>
      </c>
      <c r="L532" s="7" t="str" cm="1">
        <f t="array" ref="L532">INDEX(Changed!$L:$L,ROW())&amp;IF(Changed!$L537&gt;Base!$L532,"↑",IF(Changed!$L537&lt;Base!$L532," ↓",""))</f>
        <v>70</v>
      </c>
      <c r="M532" s="7" t="str" cm="1">
        <f t="array" ref="M532">INDEX(Changed!$M:$M,ROW())&amp;IF(Changed!$M537&gt;Base!$M532,"↑",IF(Changed!$M537&lt;Base!$M532," ↓",""))</f>
        <v>121 ↓</v>
      </c>
      <c r="N532" s="19">
        <f>Changed!G537-Base!G532</f>
        <v>-55</v>
      </c>
    </row>
    <row r="533" spans="1:15" ht="15.75" customHeight="1" x14ac:dyDescent="0.2">
      <c r="A533" s="4" t="s">
        <v>1309</v>
      </c>
      <c r="B533" s="5" t="s">
        <v>1255</v>
      </c>
      <c r="C533" s="6" t="str">
        <f>IF(Changed!C538&lt;&gt;"", Changed!C538, "")</f>
        <v>Poison</v>
      </c>
      <c r="D533" s="6" t="str">
        <f>IF(Changed!D538&lt;&gt;"", Changed!D538, "")</f>
        <v>Psychic</v>
      </c>
      <c r="E533" s="6" t="str">
        <f>IF(Changed!E538&lt;&gt;"", Changed!E538, "")</f>
        <v>Shell Armor</v>
      </c>
      <c r="F533" s="6" t="str">
        <f>IF(Changed!F538&lt;&gt;"", Changed!F538, "")</f>
        <v/>
      </c>
      <c r="G533" s="7" t="str" cm="1">
        <f t="array" ref="G533">INDEX(Changed!$G:$G,ROW())&amp;IF(Changed!$G538&gt;Base!$G533,"↑",IF(Changed!$G538&lt;Base!$G533," ↓",""))</f>
        <v>530 ↓</v>
      </c>
      <c r="H533" s="7" t="str" cm="1">
        <f t="array" ref="H533">INDEX(Changed!$H:$H,ROW())&amp;IF(Changed!$H538&gt;Base!$H533,"↑",IF(Changed!$H538&lt;Base!$H533," ↓",""))</f>
        <v>60</v>
      </c>
      <c r="I533" s="7" t="str" cm="1">
        <f t="array" ref="I533">INDEX(Changed!$I:$I,ROW())&amp;IF(Changed!$I538&gt;Base!$I533,"↑",IF(Changed!$I538&lt;Base!$I533," ↓",""))</f>
        <v>110</v>
      </c>
      <c r="J533" s="7" t="str" cm="1">
        <f t="array" ref="J533">INDEX(Changed!$J:$J,ROW())&amp;IF(Changed!$J538&gt;Base!$J533,"↑",IF(Changed!$J538&lt;Base!$J533," ↓",""))</f>
        <v>85 ↓</v>
      </c>
      <c r="K533" s="7" t="str" cm="1">
        <f t="array" ref="K533">INDEX(Changed!$K:$K,ROW())&amp;IF(Changed!$K538&gt;Base!$K533,"↑",IF(Changed!$K538&lt;Base!$K533," ↓",""))</f>
        <v>90 ↓</v>
      </c>
      <c r="L533" s="7" t="str" cm="1">
        <f t="array" ref="L533">INDEX(Changed!$L:$L,ROW())&amp;IF(Changed!$L538&gt;Base!$L533,"↑",IF(Changed!$L538&lt;Base!$L533," ↓",""))</f>
        <v>85↑</v>
      </c>
      <c r="M533" s="7" t="str" cm="1">
        <f t="array" ref="M533">INDEX(Changed!$M:$M,ROW())&amp;IF(Changed!$M538&gt;Base!$M533,"↑",IF(Changed!$M538&lt;Base!$M533," ↓",""))</f>
        <v>100</v>
      </c>
      <c r="N533" s="19">
        <f>Changed!G538-Base!G533</f>
        <v>-45</v>
      </c>
    </row>
    <row r="534" spans="1:15" ht="15.75" customHeight="1" x14ac:dyDescent="0.2">
      <c r="A534" s="4" t="s">
        <v>1310</v>
      </c>
      <c r="B534" s="5" t="s">
        <v>1246</v>
      </c>
      <c r="C534" s="6" t="str">
        <f>IF(Changed!C539&lt;&gt;"", Changed!C539, "")</f>
        <v>Ghost</v>
      </c>
      <c r="D534" s="6" t="str">
        <f>IF(Changed!D539&lt;&gt;"", Changed!D539, "")</f>
        <v>Poison</v>
      </c>
      <c r="E534" s="6" t="str">
        <f>IF(Changed!E539&lt;&gt;"", Changed!E539, "")</f>
        <v>Levitate</v>
      </c>
      <c r="F534" s="6" t="str">
        <f>IF(Changed!F539&lt;&gt;"", Changed!F539, "")</f>
        <v/>
      </c>
      <c r="G534" s="7" t="str" cm="1">
        <f t="array" ref="G534">INDEX(Changed!$G:$G,ROW())&amp;IF(Changed!$G539&gt;Base!$G534,"↑",IF(Changed!$G539&lt;Base!$G534," ↓",""))</f>
        <v>530</v>
      </c>
      <c r="H534" s="7" t="str" cm="1">
        <f t="array" ref="H534">INDEX(Changed!$H:$H,ROW())&amp;IF(Changed!$H539&gt;Base!$H534,"↑",IF(Changed!$H539&lt;Base!$H534," ↓",""))</f>
        <v>60</v>
      </c>
      <c r="I534" s="7" t="str" cm="1">
        <f t="array" ref="I534">INDEX(Changed!$I:$I,ROW())&amp;IF(Changed!$I539&gt;Base!$I534,"↑",IF(Changed!$I539&lt;Base!$I534," ↓",""))</f>
        <v>90</v>
      </c>
      <c r="J534" s="7" t="str" cm="1">
        <f t="array" ref="J534">INDEX(Changed!$J:$J,ROW())&amp;IF(Changed!$J539&gt;Base!$J534,"↑",IF(Changed!$J539&lt;Base!$J534," ↓",""))</f>
        <v>60</v>
      </c>
      <c r="K534" s="7" t="str" cm="1">
        <f t="array" ref="K534">INDEX(Changed!$K:$K,ROW())&amp;IF(Changed!$K539&gt;Base!$K534,"↑",IF(Changed!$K539&lt;Base!$K534," ↓",""))</f>
        <v>120</v>
      </c>
      <c r="L534" s="7" t="str" cm="1">
        <f t="array" ref="L534">INDEX(Changed!$L:$L,ROW())&amp;IF(Changed!$L539&gt;Base!$L534,"↑",IF(Changed!$L539&lt;Base!$L534," ↓",""))</f>
        <v>80</v>
      </c>
      <c r="M534" s="7" t="str" cm="1">
        <f t="array" ref="M534">INDEX(Changed!$M:$M,ROW())&amp;IF(Changed!$M539&gt;Base!$M534,"↑",IF(Changed!$M539&lt;Base!$M534," ↓",""))</f>
        <v>120</v>
      </c>
      <c r="N534" s="19">
        <f>Changed!G539-Base!G534</f>
        <v>0</v>
      </c>
    </row>
    <row r="535" spans="1:15" ht="15.75" customHeight="1" x14ac:dyDescent="0.2">
      <c r="A535" s="4" t="s">
        <v>1311</v>
      </c>
      <c r="B535" s="5" t="s">
        <v>1294</v>
      </c>
      <c r="C535" s="6" t="str">
        <f>IF(Changed!C540&lt;&gt;"", Changed!C540, "")</f>
        <v>Ground</v>
      </c>
      <c r="D535" s="6" t="str">
        <f>IF(Changed!D540&lt;&gt;"", Changed!D540, "")</f>
        <v>Steel</v>
      </c>
      <c r="E535" s="6" t="str">
        <f>IF(Changed!E540&lt;&gt;"", Changed!E540, "")</f>
        <v>Sand Force</v>
      </c>
      <c r="F535" s="6" t="str">
        <f>IF(Changed!F540&lt;&gt;"", Changed!F540, "")</f>
        <v/>
      </c>
      <c r="G535" s="7" t="str" cm="1">
        <f t="array" ref="G535">INDEX(Changed!$G:$G,ROW())&amp;IF(Changed!$G540&gt;Base!$G535,"↑",IF(Changed!$G540&lt;Base!$G535," ↓",""))</f>
        <v>523 ↓</v>
      </c>
      <c r="H535" s="7" t="str" cm="1">
        <f t="array" ref="H535">INDEX(Changed!$H:$H,ROW())&amp;IF(Changed!$H540&gt;Base!$H535,"↑",IF(Changed!$H540&lt;Base!$H535," ↓",""))</f>
        <v>95</v>
      </c>
      <c r="I535" s="7" t="str" cm="1">
        <f t="array" ref="I535">INDEX(Changed!$I:$I,ROW())&amp;IF(Changed!$I540&gt;Base!$I535,"↑",IF(Changed!$I540&lt;Base!$I535," ↓",""))</f>
        <v>70</v>
      </c>
      <c r="J535" s="7" t="str" cm="1">
        <f t="array" ref="J535">INDEX(Changed!$J:$J,ROW())&amp;IF(Changed!$J540&gt;Base!$J535,"↑",IF(Changed!$J540&lt;Base!$J535," ↓",""))</f>
        <v>73 ↓</v>
      </c>
      <c r="K535" s="7" t="str" cm="1">
        <f t="array" ref="K535">INDEX(Changed!$K:$K,ROW())&amp;IF(Changed!$K540&gt;Base!$K535,"↑",IF(Changed!$K540&lt;Base!$K535," ↓",""))</f>
        <v>115</v>
      </c>
      <c r="L535" s="7" t="str" cm="1">
        <f t="array" ref="L535">INDEX(Changed!$L:$L,ROW())&amp;IF(Changed!$L540&gt;Base!$L535,"↑",IF(Changed!$L540&lt;Base!$L535," ↓",""))</f>
        <v>110</v>
      </c>
      <c r="M535" s="7" t="str" cm="1">
        <f t="array" ref="M535">INDEX(Changed!$M:$M,ROW())&amp;IF(Changed!$M540&gt;Base!$M535,"↑",IF(Changed!$M540&lt;Base!$M535," ↓",""))</f>
        <v>60</v>
      </c>
      <c r="N535" s="19">
        <f>Changed!G540-Base!G535</f>
        <v>-45</v>
      </c>
      <c r="O535" s="253" t="s">
        <v>1398</v>
      </c>
    </row>
    <row r="536" spans="1:15" ht="15.75" customHeight="1" x14ac:dyDescent="0.2">
      <c r="A536" s="4" t="s">
        <v>1312</v>
      </c>
      <c r="B536" s="5" t="s">
        <v>1293</v>
      </c>
      <c r="C536" s="6" t="str">
        <f>IF(Changed!C541&lt;&gt;"", Changed!C541, "")</f>
        <v>Water</v>
      </c>
      <c r="D536" s="6" t="str">
        <f>IF(Changed!D541&lt;&gt;"", Changed!D541, "")</f>
        <v>Steel</v>
      </c>
      <c r="E536" s="6" t="str">
        <f>IF(Changed!E541&lt;&gt;"", Changed!E541, "")</f>
        <v>Tough Claws</v>
      </c>
      <c r="F536" s="6" t="str">
        <f>IF(Changed!F541&lt;&gt;"", Changed!F541, "")</f>
        <v/>
      </c>
      <c r="G536" s="7" t="str" cm="1">
        <f t="array" ref="G536">INDEX(Changed!$G:$G,ROW())&amp;IF(Changed!$G541&gt;Base!$G536,"↑",IF(Changed!$G541&lt;Base!$G536," ↓",""))</f>
        <v>535↑</v>
      </c>
      <c r="H536" s="7" t="str" cm="1">
        <f t="array" ref="H536">INDEX(Changed!$H:$H,ROW())&amp;IF(Changed!$H541&gt;Base!$H536,"↑",IF(Changed!$H541&lt;Base!$H536," ↓",""))</f>
        <v>80↑</v>
      </c>
      <c r="I536" s="7" t="str" cm="1">
        <f t="array" ref="I536">INDEX(Changed!$I:$I,ROW())&amp;IF(Changed!$I541&gt;Base!$I536,"↑",IF(Changed!$I541&lt;Base!$I536," ↓",""))</f>
        <v>110↑</v>
      </c>
      <c r="J536" s="7" t="str" cm="1">
        <f t="array" ref="J536">INDEX(Changed!$J:$J,ROW())&amp;IF(Changed!$J541&gt;Base!$J536,"↑",IF(Changed!$J541&lt;Base!$J536," ↓",""))</f>
        <v>85↑</v>
      </c>
      <c r="K536" s="7" t="str" cm="1">
        <f t="array" ref="K536">INDEX(Changed!$K:$K,ROW())&amp;IF(Changed!$K541&gt;Base!$K536,"↑",IF(Changed!$K541&lt;Base!$K536," ↓",""))</f>
        <v>115</v>
      </c>
      <c r="L536" s="7" t="str" cm="1">
        <f t="array" ref="L536">INDEX(Changed!$L:$L,ROW())&amp;IF(Changed!$L541&gt;Base!$L536,"↑",IF(Changed!$L541&lt;Base!$L536," ↓",""))</f>
        <v>75↑</v>
      </c>
      <c r="M536" s="7" t="str" cm="1">
        <f t="array" ref="M536">INDEX(Changed!$M:$M,ROW())&amp;IF(Changed!$M541&gt;Base!$M536,"↑",IF(Changed!$M541&lt;Base!$M536," ↓",""))</f>
        <v>70</v>
      </c>
      <c r="N536" s="19">
        <f>Changed!G541-Base!G536</f>
        <v>75</v>
      </c>
    </row>
    <row r="537" spans="1:15" ht="15.75" customHeight="1" x14ac:dyDescent="0.2">
      <c r="A537" s="4" t="s">
        <v>1313</v>
      </c>
      <c r="B537" s="5" t="s">
        <v>1257</v>
      </c>
      <c r="C537" s="6" t="str">
        <f>IF(Changed!C543&lt;&gt;"", Changed!C543, "")</f>
        <v>Normal</v>
      </c>
      <c r="D537" s="6" t="str">
        <f>IF(Changed!D543&lt;&gt;"", Changed!D543, "")</f>
        <v/>
      </c>
      <c r="E537" s="6" t="str">
        <f>IF(Changed!E543&lt;&gt;"", Changed!E543, "")</f>
        <v>Parental Bond</v>
      </c>
      <c r="F537" s="6" t="str">
        <f>IF(Changed!F543&lt;&gt;"", Changed!F543, "")</f>
        <v/>
      </c>
      <c r="G537" s="7" t="str" cm="1">
        <f t="array" ref="G537">INDEX(Changed!$G:$G,ROW())&amp;IF(Changed!$G543&gt;Base!$G537,"↑",IF(Changed!$G543&lt;Base!$G537," ↓",""))</f>
        <v>545 ↓</v>
      </c>
      <c r="H537" s="7" t="str" cm="1">
        <f t="array" ref="H537">INDEX(Changed!$H:$H,ROW())&amp;IF(Changed!$H543&gt;Base!$H537,"↑",IF(Changed!$H543&lt;Base!$H537," ↓",""))</f>
        <v>55</v>
      </c>
      <c r="I537" s="7" t="str" cm="1">
        <f t="array" ref="I537">INDEX(Changed!$I:$I,ROW())&amp;IF(Changed!$I543&gt;Base!$I537,"↑",IF(Changed!$I543&lt;Base!$I537," ↓",""))</f>
        <v>50 ↓</v>
      </c>
      <c r="J537" s="7" t="str" cm="1">
        <f t="array" ref="J537">INDEX(Changed!$J:$J,ROW())&amp;IF(Changed!$J543&gt;Base!$J537,"↑",IF(Changed!$J543&lt;Base!$J537," ↓",""))</f>
        <v>65</v>
      </c>
      <c r="K537" s="7" t="str" cm="1">
        <f t="array" ref="K537">INDEX(Changed!$K:$K,ROW())&amp;IF(Changed!$K543&gt;Base!$K537,"↑",IF(Changed!$K543&lt;Base!$K537," ↓",""))</f>
        <v>150 ↓</v>
      </c>
      <c r="L537" s="7" t="str" cm="1">
        <f t="array" ref="L537">INDEX(Changed!$L:$L,ROW())&amp;IF(Changed!$L543&gt;Base!$L537,"↑",IF(Changed!$L543&lt;Base!$L537," ↓",""))</f>
        <v>105 ↓</v>
      </c>
      <c r="M537" s="7" t="str" cm="1">
        <f t="array" ref="M537">INDEX(Changed!$M:$M,ROW())&amp;IF(Changed!$M543&gt;Base!$M537,"↑",IF(Changed!$M543&lt;Base!$M537," ↓",""))</f>
        <v>120 ↓</v>
      </c>
      <c r="N537" s="19">
        <f>Changed!G543-Base!G537</f>
        <v>-45</v>
      </c>
    </row>
    <row r="538" spans="1:15" ht="15.75" customHeight="1" x14ac:dyDescent="0.2">
      <c r="A538" s="4" t="s">
        <v>1322</v>
      </c>
      <c r="B538" s="5" t="s">
        <v>1266</v>
      </c>
      <c r="C538" s="6" t="str">
        <f>IF(Changed!C546&lt;&gt;"", Changed!C546, "")</f>
        <v>Bug</v>
      </c>
      <c r="D538" s="6" t="str">
        <f>IF(Changed!D546&lt;&gt;"", Changed!D546, "")</f>
        <v>Flying</v>
      </c>
      <c r="E538" s="6" t="str">
        <f>IF(Changed!E544&lt;&gt;"", Changed!E544, "")</f>
        <v>Technician</v>
      </c>
      <c r="F538" s="6" t="str">
        <f>IF(Changed!F544&lt;&gt;"", Changed!F544, "")</f>
        <v/>
      </c>
      <c r="G538" s="7" t="str" cm="1">
        <f t="array" ref="G538">INDEX(Changed!$G:$G,ROW())&amp;IF(Changed!$G544&gt;Base!$G538,"↑",IF(Changed!$G544&lt;Base!$G538," ↓",""))</f>
        <v>545↑</v>
      </c>
      <c r="H538" s="7" t="str" cm="1">
        <f t="array" ref="H538">INDEX(Changed!$H:$H,ROW())&amp;IF(Changed!$H544&gt;Base!$H538,"↑",IF(Changed!$H544&lt;Base!$H538," ↓",""))</f>
        <v>95 ↓</v>
      </c>
      <c r="I538" s="7" t="str" cm="1">
        <f t="array" ref="I538">INDEX(Changed!$I:$I,ROW())&amp;IF(Changed!$I544&gt;Base!$I538,"↑",IF(Changed!$I544&lt;Base!$I538," ↓",""))</f>
        <v>75</v>
      </c>
      <c r="J538" s="7" t="str" cm="1">
        <f t="array" ref="J538">INDEX(Changed!$J:$J,ROW())&amp;IF(Changed!$J544&gt;Base!$J538,"↑",IF(Changed!$J544&lt;Base!$J538," ↓",""))</f>
        <v>150↑</v>
      </c>
      <c r="K538" s="7" t="str" cm="1">
        <f t="array" ref="K538">INDEX(Changed!$K:$K,ROW())&amp;IF(Changed!$K544&gt;Base!$K538,"↑",IF(Changed!$K544&lt;Base!$K538," ↓",""))</f>
        <v>110 ↓</v>
      </c>
      <c r="L538" s="7" t="str" cm="1">
        <f t="array" ref="L538">INDEX(Changed!$L:$L,ROW())&amp;IF(Changed!$L544&gt;Base!$L538,"↑",IF(Changed!$L544&lt;Base!$L538," ↓",""))</f>
        <v>85↑</v>
      </c>
      <c r="M538" s="7" t="str" cm="1">
        <f t="array" ref="M538">INDEX(Changed!$M:$M,ROW())&amp;IF(Changed!$M544&gt;Base!$M538,"↑",IF(Changed!$M544&lt;Base!$M538," ↓",""))</f>
        <v>30↑</v>
      </c>
      <c r="N538" s="19">
        <f>Changed!G544-Base!G538</f>
        <v>25</v>
      </c>
    </row>
    <row r="539" spans="1:15" ht="15.75" customHeight="1" x14ac:dyDescent="0.2">
      <c r="A539" s="4" t="s">
        <v>1314</v>
      </c>
      <c r="B539" s="5" t="s">
        <v>1258</v>
      </c>
      <c r="C539" s="6" t="str">
        <f>IF(Changed!C547&lt;&gt;"", Changed!C547, "")</f>
        <v>Water</v>
      </c>
      <c r="D539" s="6" t="str">
        <f>IF(Changed!D547&lt;&gt;"", Changed!D547, "")</f>
        <v>Dark</v>
      </c>
      <c r="E539" s="6" t="str">
        <f>IF(Changed!E546&lt;&gt;"", Changed!E546, "")</f>
        <v>Aerilate</v>
      </c>
      <c r="F539" s="6" t="str">
        <f>IF(Changed!F546&lt;&gt;"", Changed!F546, "")</f>
        <v/>
      </c>
      <c r="G539" s="7" t="str" cm="1">
        <f t="array" ref="G539">INDEX(Changed!$G:$G,ROW())&amp;IF(Changed!$G546&gt;Base!$G539,"↑",IF(Changed!$G546&lt;Base!$G539," ↓",""))</f>
        <v>600 ↓</v>
      </c>
      <c r="H539" s="7" t="str" cm="1">
        <f t="array" ref="H539">INDEX(Changed!$H:$H,ROW())&amp;IF(Changed!$H546&gt;Base!$H539,"↑",IF(Changed!$H546&lt;Base!$H539," ↓",""))</f>
        <v>60</v>
      </c>
      <c r="I539" s="7" t="str" cm="1">
        <f t="array" ref="I539">INDEX(Changed!$I:$I,ROW())&amp;IF(Changed!$I546&gt;Base!$I539,"↑",IF(Changed!$I546&lt;Base!$I539," ↓",""))</f>
        <v>65 ↓</v>
      </c>
      <c r="J539" s="7" t="str" cm="1">
        <f t="array" ref="J539">INDEX(Changed!$J:$J,ROW())&amp;IF(Changed!$J546&gt;Base!$J539,"↑",IF(Changed!$J546&lt;Base!$J539," ↓",""))</f>
        <v>80 ↓</v>
      </c>
      <c r="K539" s="7" t="str" cm="1">
        <f t="array" ref="K539">INDEX(Changed!$K:$K,ROW())&amp;IF(Changed!$K546&gt;Base!$K539,"↑",IF(Changed!$K546&lt;Base!$K539," ↓",""))</f>
        <v>170 ↓</v>
      </c>
      <c r="L539" s="7" t="str" cm="1">
        <f t="array" ref="L539">INDEX(Changed!$L:$L,ROW())&amp;IF(Changed!$L546&gt;Base!$L539,"↑",IF(Changed!$L546&lt;Base!$L539," ↓",""))</f>
        <v>95 ↓</v>
      </c>
      <c r="M539" s="7" t="str" cm="1">
        <f t="array" ref="M539">INDEX(Changed!$M:$M,ROW())&amp;IF(Changed!$M546&gt;Base!$M539,"↑",IF(Changed!$M546&lt;Base!$M539," ↓",""))</f>
        <v>130</v>
      </c>
      <c r="N539" s="19">
        <f>Changed!G546-Base!G539</f>
        <v>-45</v>
      </c>
    </row>
    <row r="540" spans="1:15" ht="15.75" customHeight="1" x14ac:dyDescent="0.2">
      <c r="A540" s="4" t="s">
        <v>1315</v>
      </c>
      <c r="B540" s="5" t="s">
        <v>1259</v>
      </c>
      <c r="C540" s="6" t="str">
        <f>IF(Changed!C548&lt;&gt;"", Changed!C548, "")</f>
        <v>Water</v>
      </c>
      <c r="D540" s="6" t="str">
        <f>IF(Changed!D548&lt;&gt;"", Changed!D548, "")</f>
        <v/>
      </c>
      <c r="E540" s="6" t="str">
        <f>IF(Changed!E547&lt;&gt;"", Changed!E547, "")</f>
        <v>Mold Breaker</v>
      </c>
      <c r="F540" s="6" t="str">
        <f>IF(Changed!F547&lt;&gt;"", Changed!F547, "")</f>
        <v/>
      </c>
      <c r="G540" s="7" t="str" cm="1">
        <f t="array" ref="G540">INDEX(Changed!$G:$G,ROW())&amp;IF(Changed!$G547&gt;Base!$G540,"↑",IF(Changed!$G547&lt;Base!$G540," ↓",""))</f>
        <v>565 ↓</v>
      </c>
      <c r="H540" s="7" t="str" cm="1">
        <f t="array" ref="H540">INDEX(Changed!$H:$H,ROW())&amp;IF(Changed!$H547&gt;Base!$H540,"↑",IF(Changed!$H547&lt;Base!$H540," ↓",""))</f>
        <v>75</v>
      </c>
      <c r="I540" s="7" t="str" cm="1">
        <f t="array" ref="I540">INDEX(Changed!$I:$I,ROW())&amp;IF(Changed!$I547&gt;Base!$I540,"↑",IF(Changed!$I547&lt;Base!$I540," ↓",""))</f>
        <v>125 ↓</v>
      </c>
      <c r="J540" s="7" t="str" cm="1">
        <f t="array" ref="J540">INDEX(Changed!$J:$J,ROW())&amp;IF(Changed!$J547&gt;Base!$J540,"↑",IF(Changed!$J547&lt;Base!$J540," ↓",""))</f>
        <v>185 ↓</v>
      </c>
      <c r="K540" s="7" t="str" cm="1">
        <f t="array" ref="K540">INDEX(Changed!$K:$K,ROW())&amp;IF(Changed!$K547&gt;Base!$K540,"↑",IF(Changed!$K547&lt;Base!$K540," ↓",""))</f>
        <v>55</v>
      </c>
      <c r="L540" s="7" t="str" cm="1">
        <f t="array" ref="L540">INDEX(Changed!$L:$L,ROW())&amp;IF(Changed!$L547&gt;Base!$L540,"↑",IF(Changed!$L547&lt;Base!$L540," ↓",""))</f>
        <v>95 ↓</v>
      </c>
      <c r="M540" s="7" t="str" cm="1">
        <f t="array" ref="M540">INDEX(Changed!$M:$M,ROW())&amp;IF(Changed!$M547&gt;Base!$M540,"↑",IF(Changed!$M547&lt;Base!$M540," ↓",""))</f>
        <v>30</v>
      </c>
      <c r="N540" s="19">
        <f>Changed!G547-Base!G540</f>
        <v>-45</v>
      </c>
    </row>
    <row r="541" spans="1:15" ht="15.75" customHeight="1" x14ac:dyDescent="0.2">
      <c r="A541" s="4" t="s">
        <v>1316</v>
      </c>
      <c r="B541" s="5" t="s">
        <v>1260</v>
      </c>
      <c r="C541" s="6" t="str">
        <f>IF(Changed!C549&lt;&gt;"", Changed!C549, "")</f>
        <v>Normal</v>
      </c>
      <c r="D541" s="6" t="str">
        <f>IF(Changed!D549&lt;&gt;"", Changed!D549, "")</f>
        <v/>
      </c>
      <c r="E541" s="6" t="str">
        <f>IF(Changed!E548&lt;&gt;"", Changed!E548, "")</f>
        <v>Liquid Voice</v>
      </c>
      <c r="F541" s="6" t="str">
        <f>IF(Changed!F548&lt;&gt;"", Changed!F548, "")</f>
        <v/>
      </c>
      <c r="G541" s="7" t="str" cm="1">
        <f t="array" ref="G541">INDEX(Changed!$G:$G,ROW())&amp;IF(Changed!$G548&gt;Base!$G541,"↑",IF(Changed!$G548&lt;Base!$G541," ↓",""))</f>
        <v>550↑</v>
      </c>
      <c r="H541" s="7" t="str" cm="1">
        <f t="array" ref="H541">INDEX(Changed!$H:$H,ROW())&amp;IF(Changed!$H548&gt;Base!$H541,"↑",IF(Changed!$H548&lt;Base!$H541," ↓",""))</f>
        <v>75</v>
      </c>
      <c r="I541" s="7" t="str" cm="1">
        <f t="array" ref="I541">INDEX(Changed!$I:$I,ROW())&amp;IF(Changed!$I548&gt;Base!$I541,"↑",IF(Changed!$I548&lt;Base!$I541," ↓",""))</f>
        <v>140</v>
      </c>
      <c r="J541" s="7" t="str" cm="1">
        <f t="array" ref="J541">INDEX(Changed!$J:$J,ROW())&amp;IF(Changed!$J548&gt;Base!$J541,"↑",IF(Changed!$J548&lt;Base!$J541," ↓",""))</f>
        <v>135↑</v>
      </c>
      <c r="K541" s="7" t="str" cm="1">
        <f t="array" ref="K541">INDEX(Changed!$K:$K,ROW())&amp;IF(Changed!$K548&gt;Base!$K541,"↑",IF(Changed!$K548&lt;Base!$K541," ↓",""))</f>
        <v>50↑</v>
      </c>
      <c r="L541" s="7" t="str" cm="1">
        <f t="array" ref="L541">INDEX(Changed!$L:$L,ROW())&amp;IF(Changed!$L548&gt;Base!$L541,"↑",IF(Changed!$L548&lt;Base!$L541," ↓",""))</f>
        <v>75↑</v>
      </c>
      <c r="M541" s="7" t="str" cm="1">
        <f t="array" ref="M541">INDEX(Changed!$M:$M,ROW())&amp;IF(Changed!$M548&gt;Base!$M541,"↑",IF(Changed!$M548&lt;Base!$M541," ↓",""))</f>
        <v>75 ↓</v>
      </c>
      <c r="N541" s="19">
        <f>Changed!G548-Base!G541</f>
        <v>55</v>
      </c>
    </row>
    <row r="542" spans="1:15" ht="15.75" customHeight="1" x14ac:dyDescent="0.2">
      <c r="A542" s="4" t="s">
        <v>1317</v>
      </c>
      <c r="B542" s="5" t="s">
        <v>1261</v>
      </c>
      <c r="C542" s="6" t="str">
        <f>IF(Changed!C550&lt;&gt;"", Changed!C550, "")</f>
        <v>Rock</v>
      </c>
      <c r="D542" s="6" t="str">
        <f>IF(Changed!D550&lt;&gt;"", Changed!D550, "")</f>
        <v>Flying</v>
      </c>
      <c r="E542" s="6" t="str">
        <f>IF(Changed!E549&lt;&gt;"", Changed!E549, "")</f>
        <v>Protean</v>
      </c>
      <c r="F542" s="6" t="str">
        <f>IF(Changed!F549&lt;&gt;"", Changed!F549, "")</f>
        <v/>
      </c>
      <c r="G542" s="7" t="str" cm="1">
        <f t="array" ref="G542">INDEX(Changed!$G:$G,ROW())&amp;IF(Changed!$G549&gt;Base!$G542,"↑",IF(Changed!$G549&lt;Base!$G542," ↓",""))</f>
        <v>575↑</v>
      </c>
      <c r="H542" s="7" t="str" cm="1">
        <f t="array" ref="H542">INDEX(Changed!$H:$H,ROW())&amp;IF(Changed!$H549&gt;Base!$H542,"↑",IF(Changed!$H549&lt;Base!$H542," ↓",""))</f>
        <v>60</v>
      </c>
      <c r="I542" s="7" t="str" cm="1">
        <f t="array" ref="I542">INDEX(Changed!$I:$I,ROW())&amp;IF(Changed!$I549&gt;Base!$I542,"↑",IF(Changed!$I549&lt;Base!$I542," ↓",""))</f>
        <v>100↑</v>
      </c>
      <c r="J542" s="7" t="str" cm="1">
        <f t="array" ref="J542">INDEX(Changed!$J:$J,ROW())&amp;IF(Changed!$J549&gt;Base!$J542,"↑",IF(Changed!$J549&lt;Base!$J542," ↓",""))</f>
        <v>90↑</v>
      </c>
      <c r="K542" s="7" t="str" cm="1">
        <f t="array" ref="K542">INDEX(Changed!$K:$K,ROW())&amp;IF(Changed!$K549&gt;Base!$K542,"↑",IF(Changed!$K549&lt;Base!$K542," ↓",""))</f>
        <v>110↑</v>
      </c>
      <c r="L542" s="7" t="str" cm="1">
        <f t="array" ref="L542">INDEX(Changed!$L:$L,ROW())&amp;IF(Changed!$L549&gt;Base!$L542,"↑",IF(Changed!$L549&lt;Base!$L542," ↓",""))</f>
        <v>90↑</v>
      </c>
      <c r="M542" s="7" t="str" cm="1">
        <f t="array" ref="M542">INDEX(Changed!$M:$M,ROW())&amp;IF(Changed!$M549&gt;Base!$M542,"↑",IF(Changed!$M549&lt;Base!$M542," ↓",""))</f>
        <v>125↑</v>
      </c>
      <c r="N542" s="19">
        <f>Changed!G549-Base!G542</f>
        <v>125</v>
      </c>
    </row>
    <row r="543" spans="1:15" ht="15.75" customHeight="1" x14ac:dyDescent="0.2">
      <c r="A543" s="4" t="s">
        <v>1318</v>
      </c>
      <c r="B543" s="5" t="s">
        <v>1262</v>
      </c>
      <c r="C543" s="6" t="str">
        <f>IF(Changed!C552&lt;&gt;"", Changed!C552, "")</f>
        <v>Psychic</v>
      </c>
      <c r="D543" s="6" t="str">
        <f>IF(Changed!D552&lt;&gt;"", Changed!D552, "")</f>
        <v>Fighting</v>
      </c>
      <c r="E543" s="6" t="str">
        <f>IF(Changed!E550&lt;&gt;"", Changed!E550, "")</f>
        <v>Tough Claws</v>
      </c>
      <c r="F543" s="6" t="str">
        <f>IF(Changed!F550&lt;&gt;"", Changed!F550, "")</f>
        <v/>
      </c>
      <c r="G543" s="7" t="str" cm="1">
        <f t="array" ref="G543">INDEX(Changed!$G:$G,ROW())&amp;IF(Changed!$G550&gt;Base!$G543,"↑",IF(Changed!$G550&lt;Base!$G543," ↓",""))</f>
        <v>545 ↓</v>
      </c>
      <c r="H543" s="7" t="str" cm="1">
        <f t="array" ref="H543">INDEX(Changed!$H:$H,ROW())&amp;IF(Changed!$H550&gt;Base!$H543,"↑",IF(Changed!$H550&lt;Base!$H543," ↓",""))</f>
        <v>105</v>
      </c>
      <c r="I543" s="7" t="str" cm="1">
        <f t="array" ref="I543">INDEX(Changed!$I:$I,ROW())&amp;IF(Changed!$I550&gt;Base!$I543,"↑",IF(Changed!$I550&lt;Base!$I543," ↓",""))</f>
        <v>105 ↓</v>
      </c>
      <c r="J543" s="7" t="str" cm="1">
        <f t="array" ref="J543">INDEX(Changed!$J:$J,ROW())&amp;IF(Changed!$J550&gt;Base!$J543,"↑",IF(Changed!$J550&lt;Base!$J543," ↓",""))</f>
        <v>100 ↓</v>
      </c>
      <c r="K543" s="7" t="str" cm="1">
        <f t="array" ref="K543">INDEX(Changed!$K:$K,ROW())&amp;IF(Changed!$K550&gt;Base!$K543,"↑",IF(Changed!$K550&lt;Base!$K543," ↓",""))</f>
        <v>50</v>
      </c>
      <c r="L543" s="7" t="str" cm="1">
        <f t="array" ref="L543">INDEX(Changed!$L:$L,ROW())&amp;IF(Changed!$L550&gt;Base!$L543,"↑",IF(Changed!$L550&lt;Base!$L543," ↓",""))</f>
        <v>90 ↓</v>
      </c>
      <c r="M543" s="7" t="str" cm="1">
        <f t="array" ref="M543">INDEX(Changed!$M:$M,ROW())&amp;IF(Changed!$M550&gt;Base!$M543,"↑",IF(Changed!$M550&lt;Base!$M543," ↓",""))</f>
        <v>95 ↓</v>
      </c>
      <c r="N543" s="19">
        <f>Changed!G550-Base!G543</f>
        <v>-45</v>
      </c>
    </row>
    <row r="544" spans="1:15" ht="15.75" customHeight="1" x14ac:dyDescent="0.2">
      <c r="A544" s="4" t="s">
        <v>1319</v>
      </c>
      <c r="B544" s="5" t="s">
        <v>1263</v>
      </c>
      <c r="C544" s="6" t="str">
        <f>IF(Changed!C553&lt;&gt;"", Changed!C553, "")</f>
        <v>Psychic</v>
      </c>
      <c r="D544" s="6" t="str">
        <f>IF(Changed!D553&lt;&gt;"", Changed!D553, "")</f>
        <v/>
      </c>
      <c r="E544" s="6" t="str">
        <f>IF(Changed!E552&lt;&gt;"", Changed!E552, "")</f>
        <v>Steadfast</v>
      </c>
      <c r="F544" s="6" t="str">
        <f>IF(Changed!F552&lt;&gt;"", Changed!F552, "")</f>
        <v/>
      </c>
      <c r="G544" s="7" t="str" cm="1">
        <f t="array" ref="G544">INDEX(Changed!$G:$G,ROW())&amp;IF(Changed!$G552&gt;Base!$G544,"↑",IF(Changed!$G552&lt;Base!$G544," ↓",""))</f>
        <v>555 ↓</v>
      </c>
      <c r="H544" s="7" t="str" cm="1">
        <f t="array" ref="H544">INDEX(Changed!$H:$H,ROW())&amp;IF(Changed!$H552&gt;Base!$H544,"↑",IF(Changed!$H552&lt;Base!$H544," ↓",""))</f>
        <v>70</v>
      </c>
      <c r="I544" s="7" t="str" cm="1">
        <f t="array" ref="I544">INDEX(Changed!$I:$I,ROW())&amp;IF(Changed!$I552&gt;Base!$I544,"↑",IF(Changed!$I552&lt;Base!$I544," ↓",""))</f>
        <v>140 ↓</v>
      </c>
      <c r="J544" s="7" t="str" cm="1">
        <f t="array" ref="J544">INDEX(Changed!$J:$J,ROW())&amp;IF(Changed!$J552&gt;Base!$J544,"↑",IF(Changed!$J552&lt;Base!$J544," ↓",""))</f>
        <v>120↑</v>
      </c>
      <c r="K544" s="7" t="str" cm="1">
        <f t="array" ref="K544">INDEX(Changed!$K:$K,ROW())&amp;IF(Changed!$K552&gt;Base!$K544,"↑",IF(Changed!$K552&lt;Base!$K544," ↓",""))</f>
        <v>65</v>
      </c>
      <c r="L544" s="7" t="str" cm="1">
        <f t="array" ref="L544">INDEX(Changed!$L:$L,ROW())&amp;IF(Changed!$L552&gt;Base!$L544,"↑",IF(Changed!$L552&lt;Base!$L544," ↓",""))</f>
        <v>85 ↓</v>
      </c>
      <c r="M544" s="7" t="str" cm="1">
        <f t="array" ref="M544">INDEX(Changed!$M:$M,ROW())&amp;IF(Changed!$M552&gt;Base!$M544,"↑",IF(Changed!$M552&lt;Base!$M544," ↓",""))</f>
        <v>75↑</v>
      </c>
      <c r="N544" s="19">
        <f>Changed!G552-Base!G544</f>
        <v>-45</v>
      </c>
    </row>
    <row r="545" spans="1:14" ht="15.75" customHeight="1" x14ac:dyDescent="0.2">
      <c r="A545" s="4" t="s">
        <v>1320</v>
      </c>
      <c r="B545" s="5" t="s">
        <v>1264</v>
      </c>
      <c r="C545" s="6" t="str">
        <f>IF(Changed!C556&lt;&gt;"", Changed!C556, "")</f>
        <v>Electric</v>
      </c>
      <c r="D545" s="6" t="str">
        <f>IF(Changed!D556&lt;&gt;"", Changed!D556, "")</f>
        <v>Dragon</v>
      </c>
      <c r="E545" s="6" t="str">
        <f>IF(Changed!E553&lt;&gt;"", Changed!E553, "")</f>
        <v>Insomnia</v>
      </c>
      <c r="F545" s="6" t="str">
        <f>IF(Changed!F553&lt;&gt;"", Changed!F553, "")</f>
        <v/>
      </c>
      <c r="G545" s="7" t="str" cm="1">
        <f t="array" ref="G545">INDEX(Changed!$G:$G,ROW())&amp;IF(Changed!$G553&gt;Base!$G545,"↑",IF(Changed!$G553&lt;Base!$G545," ↓",""))</f>
        <v>645 ↓</v>
      </c>
      <c r="H545" s="7" t="str" cm="1">
        <f t="array" ref="H545">INDEX(Changed!$H:$H,ROW())&amp;IF(Changed!$H553&gt;Base!$H545,"↑",IF(Changed!$H553&lt;Base!$H545," ↓",""))</f>
        <v>91</v>
      </c>
      <c r="I545" s="7" t="str" cm="1">
        <f t="array" ref="I545">INDEX(Changed!$I:$I,ROW())&amp;IF(Changed!$I553&gt;Base!$I545,"↑",IF(Changed!$I553&lt;Base!$I545," ↓",""))</f>
        <v>114 ↓</v>
      </c>
      <c r="J545" s="7" t="str" cm="1">
        <f t="array" ref="J545">INDEX(Changed!$J:$J,ROW())&amp;IF(Changed!$J553&gt;Base!$J545,"↑",IF(Changed!$J553&lt;Base!$J545," ↓",""))</f>
        <v>115↑</v>
      </c>
      <c r="K545" s="7" t="str" cm="1">
        <f t="array" ref="K545">INDEX(Changed!$K:$K,ROW())&amp;IF(Changed!$K553&gt;Base!$K545,"↑",IF(Changed!$K553&lt;Base!$K545," ↓",""))</f>
        <v>125 ↓</v>
      </c>
      <c r="L545" s="7" t="str" cm="1">
        <f t="array" ref="L545">INDEX(Changed!$L:$L,ROW())&amp;IF(Changed!$L553&gt;Base!$L545,"↑",IF(Changed!$L553&lt;Base!$L545," ↓",""))</f>
        <v>100</v>
      </c>
      <c r="M545" s="7" t="str" cm="1">
        <f t="array" ref="M545">INDEX(Changed!$M:$M,ROW())&amp;IF(Changed!$M553&gt;Base!$M545,"↑",IF(Changed!$M553&lt;Base!$M545," ↓",""))</f>
        <v>100</v>
      </c>
      <c r="N545" s="19">
        <f>Changed!G553-Base!G545</f>
        <v>-45</v>
      </c>
    </row>
    <row r="546" spans="1:14" ht="15.75" customHeight="1" x14ac:dyDescent="0.2">
      <c r="A546" s="4" t="s">
        <v>1321</v>
      </c>
      <c r="B546" s="5" t="s">
        <v>1265</v>
      </c>
      <c r="C546" s="6" t="str">
        <f>IF(Changed!C544&lt;&gt;"", Changed!C544, "")</f>
        <v>Bug</v>
      </c>
      <c r="D546" s="6" t="str">
        <f>IF(Changed!D544&lt;&gt;"", Changed!D544, "")</f>
        <v>Steel</v>
      </c>
      <c r="E546" s="6" t="str">
        <f>IF(Changed!E556&lt;&gt;"", Changed!E556, "")</f>
        <v>Mold Breaker</v>
      </c>
      <c r="F546" s="6" t="str">
        <f>IF(Changed!F556&lt;&gt;"", Changed!F556, "")</f>
        <v/>
      </c>
      <c r="G546" s="7" t="str" cm="1">
        <f t="array" ref="G546">INDEX(Changed!$G:$G,ROW())&amp;IF(Changed!$G556&gt;Base!$G546,"↑",IF(Changed!$G556&lt;Base!$G546," ↓",""))</f>
        <v>555 ↓</v>
      </c>
      <c r="H546" s="7" t="str" cm="1">
        <f t="array" ref="H546">INDEX(Changed!$H:$H,ROW())&amp;IF(Changed!$H556&gt;Base!$H546,"↑",IF(Changed!$H556&lt;Base!$H546," ↓",""))</f>
        <v>65</v>
      </c>
      <c r="I546" s="7" t="str" cm="1">
        <f t="array" ref="I546">INDEX(Changed!$I:$I,ROW())&amp;IF(Changed!$I556&gt;Base!$I546,"↑",IF(Changed!$I556&lt;Base!$I546," ↓",""))</f>
        <v>135 ↓</v>
      </c>
      <c r="J546" s="7" t="str" cm="1">
        <f t="array" ref="J546">INDEX(Changed!$J:$J,ROW())&amp;IF(Changed!$J556&gt;Base!$J546,"↑",IF(Changed!$J556&lt;Base!$J546," ↓",""))</f>
        <v>110 ↓</v>
      </c>
      <c r="K546" s="7" t="str" cm="1">
        <f t="array" ref="K546">INDEX(Changed!$K:$K,ROW())&amp;IF(Changed!$K556&gt;Base!$K546,"↑",IF(Changed!$K556&lt;Base!$K546," ↓",""))</f>
        <v>60 ↓</v>
      </c>
      <c r="L546" s="7" t="str" cm="1">
        <f t="array" ref="L546">INDEX(Changed!$L:$L,ROW())&amp;IF(Changed!$L556&gt;Base!$L546,"↑",IF(Changed!$L556&lt;Base!$L546," ↓",""))</f>
        <v>80</v>
      </c>
      <c r="M546" s="7" t="str" cm="1">
        <f t="array" ref="M546">INDEX(Changed!$M:$M,ROW())&amp;IF(Changed!$M556&gt;Base!$M546,"↑",IF(Changed!$M556&lt;Base!$M546," ↓",""))</f>
        <v>105↑</v>
      </c>
      <c r="N546" s="19">
        <f>Changed!G556-Base!G546</f>
        <v>-55</v>
      </c>
    </row>
    <row r="547" spans="1:14" ht="15.75" customHeight="1" x14ac:dyDescent="0.2">
      <c r="A547" s="4" t="s">
        <v>1323</v>
      </c>
      <c r="B547" s="5" t="s">
        <v>1267</v>
      </c>
      <c r="C547" s="6" t="str">
        <f>IF(Changed!C557&lt;&gt;"", Changed!C557, "")</f>
        <v>Bug</v>
      </c>
      <c r="D547" s="6" t="str">
        <f>IF(Changed!D557&lt;&gt;"", Changed!D557, "")</f>
        <v>Fighting</v>
      </c>
      <c r="E547" s="6" t="str">
        <f>IF(Changed!E557&lt;&gt;"", Changed!E557, "")</f>
        <v>Skill Link</v>
      </c>
      <c r="F547" s="6" t="str">
        <f>IF(Changed!F557&lt;&gt;"", Changed!F557, "")</f>
        <v/>
      </c>
      <c r="G547" s="7" t="str" cm="1">
        <f t="array" ref="G547">INDEX(Changed!$G:$G,ROW())&amp;IF(Changed!$G557&gt;Base!$G547,"↑",IF(Changed!$G557&lt;Base!$G547," ↓",""))</f>
        <v>595 ↓</v>
      </c>
      <c r="H547" s="7" t="str" cm="1">
        <f t="array" ref="H547">INDEX(Changed!$H:$H,ROW())&amp;IF(Changed!$H557&gt;Base!$H547,"↑",IF(Changed!$H557&lt;Base!$H547," ↓",""))</f>
        <v>95</v>
      </c>
      <c r="I547" s="7" t="str" cm="1">
        <f t="array" ref="I547">INDEX(Changed!$I:$I,ROW())&amp;IF(Changed!$I557&gt;Base!$I547,"↑",IF(Changed!$I557&lt;Base!$I547," ↓",""))</f>
        <v>135 ↓</v>
      </c>
      <c r="J547" s="7" t="str" cm="1">
        <f t="array" ref="J547">INDEX(Changed!$J:$J,ROW())&amp;IF(Changed!$J557&gt;Base!$J547,"↑",IF(Changed!$J557&lt;Base!$J547," ↓",""))</f>
        <v>94 ↓</v>
      </c>
      <c r="K547" s="7" t="str" cm="1">
        <f t="array" ref="K547">INDEX(Changed!$K:$K,ROW())&amp;IF(Changed!$K557&gt;Base!$K547,"↑",IF(Changed!$K557&lt;Base!$K547," ↓",""))</f>
        <v>70</v>
      </c>
      <c r="L547" s="7" t="str" cm="1">
        <f t="array" ref="L547">INDEX(Changed!$L:$L,ROW())&amp;IF(Changed!$L557&gt;Base!$L547,"↑",IF(Changed!$L557&lt;Base!$L547," ↓",""))</f>
        <v>120</v>
      </c>
      <c r="M547" s="7" t="str" cm="1">
        <f t="array" ref="M547">INDEX(Changed!$M:$M,ROW())&amp;IF(Changed!$M557&gt;Base!$M547,"↑",IF(Changed!$M557&lt;Base!$M547," ↓",""))</f>
        <v>81↑</v>
      </c>
      <c r="N547" s="19">
        <f>Changed!G557-Base!G547</f>
        <v>-45</v>
      </c>
    </row>
    <row r="548" spans="1:14" ht="15.75" customHeight="1" x14ac:dyDescent="0.2">
      <c r="A548" s="4" t="s">
        <v>1324</v>
      </c>
      <c r="B548" s="5" t="s">
        <v>1268</v>
      </c>
      <c r="C548" s="6" t="str">
        <f>IF(Changed!C558&lt;&gt;"", Changed!C558, "")</f>
        <v>Fire</v>
      </c>
      <c r="D548" s="6" t="str">
        <f>IF(Changed!D558&lt;&gt;"", Changed!D558, "")</f>
        <v>Dark</v>
      </c>
      <c r="E548" s="6" t="str">
        <f>IF(Changed!E558&lt;&gt;"", Changed!E558, "")</f>
        <v>Solar Power</v>
      </c>
      <c r="F548" s="6" t="str">
        <f>IF(Changed!F558&lt;&gt;"", Changed!F558, "")</f>
        <v/>
      </c>
      <c r="G548" s="7" t="str" cm="1">
        <f t="array" ref="G548">INDEX(Changed!$G:$G,ROW())&amp;IF(Changed!$G558&gt;Base!$G548,"↑",IF(Changed!$G558&lt;Base!$G548," ↓",""))</f>
        <v>590 ↓</v>
      </c>
      <c r="H548" s="7" t="str" cm="1">
        <f t="array" ref="H548">INDEX(Changed!$H:$H,ROW())&amp;IF(Changed!$H558&gt;Base!$H548,"↑",IF(Changed!$H558&lt;Base!$H548," ↓",""))</f>
        <v>130</v>
      </c>
      <c r="I548" s="7" t="str" cm="1">
        <f t="array" ref="I548">INDEX(Changed!$I:$I,ROW())&amp;IF(Changed!$I558&gt;Base!$I548,"↑",IF(Changed!$I558&lt;Base!$I548," ↓",""))</f>
        <v>85</v>
      </c>
      <c r="J548" s="7" t="str" cm="1">
        <f t="array" ref="J548">INDEX(Changed!$J:$J,ROW())&amp;IF(Changed!$J558&gt;Base!$J548,"↑",IF(Changed!$J558&lt;Base!$J548," ↓",""))</f>
        <v>110 ↓</v>
      </c>
      <c r="K548" s="7" t="str" cm="1">
        <f t="array" ref="K548">INDEX(Changed!$K:$K,ROW())&amp;IF(Changed!$K558&gt;Base!$K548,"↑",IF(Changed!$K558&lt;Base!$K548," ↓",""))</f>
        <v>95 ↓</v>
      </c>
      <c r="L548" s="7" t="str" cm="1">
        <f t="array" ref="L548">INDEX(Changed!$L:$L,ROW())&amp;IF(Changed!$L558&gt;Base!$L548,"↑",IF(Changed!$L558&lt;Base!$L548," ↓",""))</f>
        <v>115</v>
      </c>
      <c r="M548" s="7" t="str" cm="1">
        <f t="array" ref="M548">INDEX(Changed!$M:$M,ROW())&amp;IF(Changed!$M558&gt;Base!$M548,"↑",IF(Changed!$M558&lt;Base!$M548," ↓",""))</f>
        <v>55</v>
      </c>
      <c r="N548" s="19">
        <f>Changed!G558-Base!G548</f>
        <v>-45</v>
      </c>
    </row>
    <row r="549" spans="1:14" ht="15.75" customHeight="1" x14ac:dyDescent="0.2">
      <c r="A549" s="4" t="s">
        <v>1325</v>
      </c>
      <c r="B549" s="5" t="s">
        <v>1269</v>
      </c>
      <c r="C549" s="6" t="str">
        <f>IF(Changed!C559&lt;&gt;"", Changed!C559, "")</f>
        <v>Rock</v>
      </c>
      <c r="D549" s="6" t="str">
        <f>IF(Changed!D559&lt;&gt;"", Changed!D559, "")</f>
        <v>Dark</v>
      </c>
      <c r="E549" s="6" t="str">
        <f>IF(Changed!E559&lt;&gt;"", Changed!E559, "")</f>
        <v>Sand Stream</v>
      </c>
      <c r="F549" s="6" t="str">
        <f>IF(Changed!F559&lt;&gt;"", Changed!F559, "")</f>
        <v/>
      </c>
      <c r="G549" s="7" t="str" cm="1">
        <f t="array" ref="G549">INDEX(Changed!$G:$G,ROW())&amp;IF(Changed!$G559&gt;Base!$G549,"↑",IF(Changed!$G559&lt;Base!$G549," ↓",""))</f>
        <v>450 ↓</v>
      </c>
      <c r="H549" s="7" t="str" cm="1">
        <f t="array" ref="H549">INDEX(Changed!$H:$H,ROW())&amp;IF(Changed!$H559&gt;Base!$H549,"↑",IF(Changed!$H559&lt;Base!$H549," ↓",""))</f>
        <v>55</v>
      </c>
      <c r="I549" s="7" t="str" cm="1">
        <f t="array" ref="I549">INDEX(Changed!$I:$I,ROW())&amp;IF(Changed!$I559&gt;Base!$I549,"↑",IF(Changed!$I559&lt;Base!$I549," ↓",""))</f>
        <v>79 ↓</v>
      </c>
      <c r="J549" s="7" t="str" cm="1">
        <f t="array" ref="J549">INDEX(Changed!$J:$J,ROW())&amp;IF(Changed!$J559&gt;Base!$J549,"↑",IF(Changed!$J559&lt;Base!$J549," ↓",""))</f>
        <v>79 ↓</v>
      </c>
      <c r="K549" s="7" t="str" cm="1">
        <f t="array" ref="K549">INDEX(Changed!$K:$K,ROW())&amp;IF(Changed!$K559&gt;Base!$K549,"↑",IF(Changed!$K559&lt;Base!$K549," ↓",""))</f>
        <v>79↑</v>
      </c>
      <c r="L549" s="7" t="str" cm="1">
        <f t="array" ref="L549">INDEX(Changed!$L:$L,ROW())&amp;IF(Changed!$L559&gt;Base!$L549,"↑",IF(Changed!$L559&lt;Base!$L549," ↓",""))</f>
        <v>79 ↓</v>
      </c>
      <c r="M549" s="7" t="str" cm="1">
        <f t="array" ref="M549">INDEX(Changed!$M:$M,ROW())&amp;IF(Changed!$M559&gt;Base!$M549,"↑",IF(Changed!$M559&lt;Base!$M549," ↓",""))</f>
        <v>79 ↓</v>
      </c>
      <c r="N549" s="19">
        <f>Changed!G559-Base!G549</f>
        <v>-45</v>
      </c>
    </row>
    <row r="550" spans="1:14" ht="15.75" customHeight="1" x14ac:dyDescent="0.2">
      <c r="A550" s="4" t="s">
        <v>1326</v>
      </c>
      <c r="B550" s="5" t="s">
        <v>1282</v>
      </c>
      <c r="C550" s="6" t="str">
        <f>IF(Changed!C560&lt;&gt;"", Changed!C560, "")</f>
        <v>Grass</v>
      </c>
      <c r="D550" s="6" t="str">
        <f>IF(Changed!D560&lt;&gt;"", Changed!D560, "")</f>
        <v>Dragon</v>
      </c>
      <c r="E550" s="6" t="str">
        <f>IF(Changed!E560&lt;&gt;"", Changed!E560, "")</f>
        <v>Lightning Rod</v>
      </c>
      <c r="F550" s="6" t="str">
        <f>IF(Changed!F560&lt;&gt;"", Changed!F560, "")</f>
        <v/>
      </c>
      <c r="G550" s="7" t="str" cm="1">
        <f t="array" ref="G550">INDEX(Changed!$G:$G,ROW())&amp;IF(Changed!$G560&gt;Base!$G550,"↑",IF(Changed!$G560&lt;Base!$G550," ↓",""))</f>
        <v>570 ↓</v>
      </c>
      <c r="H550" s="7" t="str" cm="1">
        <f t="array" ref="H550">INDEX(Changed!$H:$H,ROW())&amp;IF(Changed!$H560&gt;Base!$H550,"↑",IF(Changed!$H560&lt;Base!$H550," ↓",""))</f>
        <v>80</v>
      </c>
      <c r="I550" s="7" t="str" cm="1">
        <f t="array" ref="I550">INDEX(Changed!$I:$I,ROW())&amp;IF(Changed!$I560&gt;Base!$I550,"↑",IF(Changed!$I560&lt;Base!$I550," ↓",""))</f>
        <v>130↑</v>
      </c>
      <c r="J550" s="7" t="str" cm="1">
        <f t="array" ref="J550">INDEX(Changed!$J:$J,ROW())&amp;IF(Changed!$J560&gt;Base!$J550,"↑",IF(Changed!$J560&lt;Base!$J550," ↓",""))</f>
        <v>75 ↓</v>
      </c>
      <c r="K550" s="7" t="str" cm="1">
        <f t="array" ref="K550">INDEX(Changed!$K:$K,ROW())&amp;IF(Changed!$K560&gt;Base!$K550,"↑",IF(Changed!$K560&lt;Base!$K550," ↓",""))</f>
        <v>70 ↓</v>
      </c>
      <c r="L550" s="7" t="str" cm="1">
        <f t="array" ref="L550">INDEX(Changed!$L:$L,ROW())&amp;IF(Changed!$L560&gt;Base!$L550,"↑",IF(Changed!$L560&lt;Base!$L550," ↓",""))</f>
        <v>85 ↓</v>
      </c>
      <c r="M550" s="7" t="str" cm="1">
        <f t="array" ref="M550">INDEX(Changed!$M:$M,ROW())&amp;IF(Changed!$M560&gt;Base!$M550,"↑",IF(Changed!$M560&lt;Base!$M550," ↓",""))</f>
        <v>130 ↓</v>
      </c>
      <c r="N550" s="19">
        <f>Changed!G560-Base!G550</f>
        <v>-45</v>
      </c>
    </row>
    <row r="551" spans="1:14" ht="15.75" customHeight="1" x14ac:dyDescent="0.2">
      <c r="A551" s="4" t="s">
        <v>1327</v>
      </c>
      <c r="B551" s="5" t="s">
        <v>1270</v>
      </c>
      <c r="C551" s="6" t="str">
        <f>IF(Changed!C562&lt;&gt;"", Changed!C562, "")</f>
        <v>Water</v>
      </c>
      <c r="D551" s="6" t="str">
        <f>IF(Changed!D562&lt;&gt;"", Changed!D562, "")</f>
        <v>Ground</v>
      </c>
      <c r="E551" s="6" t="str">
        <f>IF(Changed!E561&lt;&gt;"", Changed!E561, "")</f>
        <v>Speed Boost</v>
      </c>
      <c r="F551" s="6" t="str">
        <f>IF(Changed!F561&lt;&gt;"", Changed!F561, "")</f>
        <v/>
      </c>
      <c r="G551" s="7" t="str" cm="1">
        <f t="array" ref="G551">INDEX(Changed!$G:$G,ROW())&amp;IF(Changed!$G561&gt;Base!$G551,"↑",IF(Changed!$G561&lt;Base!$G551," ↓",""))</f>
        <v>520 ↓</v>
      </c>
      <c r="H551" s="7" t="str" cm="1">
        <f t="array" ref="H551">INDEX(Changed!$H:$H,ROW())&amp;IF(Changed!$H561&gt;Base!$H551,"↑",IF(Changed!$H561&lt;Base!$H551," ↓",""))</f>
        <v>65</v>
      </c>
      <c r="I551" s="7" t="str" cm="1">
        <f t="array" ref="I551">INDEX(Changed!$I:$I,ROW())&amp;IF(Changed!$I561&gt;Base!$I551,"↑",IF(Changed!$I561&lt;Base!$I551," ↓",""))</f>
        <v>120 ↓</v>
      </c>
      <c r="J551" s="7" t="str" cm="1">
        <f t="array" ref="J551">INDEX(Changed!$J:$J,ROW())&amp;IF(Changed!$J561&gt;Base!$J551,"↑",IF(Changed!$J561&lt;Base!$J551," ↓",""))</f>
        <v>140 ↓</v>
      </c>
      <c r="K551" s="7" t="str" cm="1">
        <f t="array" ref="K551">INDEX(Changed!$K:$K,ROW())&amp;IF(Changed!$K561&gt;Base!$K551,"↑",IF(Changed!$K561&lt;Base!$K551," ↓",""))</f>
        <v>40 ↓</v>
      </c>
      <c r="L551" s="7" t="str" cm="1">
        <f t="array" ref="L551">INDEX(Changed!$L:$L,ROW())&amp;IF(Changed!$L561&gt;Base!$L551,"↑",IF(Changed!$L561&lt;Base!$L551," ↓",""))</f>
        <v>70 ↓</v>
      </c>
      <c r="M551" s="7" t="str" cm="1">
        <f t="array" ref="M551">INDEX(Changed!$M:$M,ROW())&amp;IF(Changed!$M561&gt;Base!$M551,"↑",IF(Changed!$M561&lt;Base!$M551," ↓",""))</f>
        <v>85</v>
      </c>
      <c r="N551" s="19">
        <f>Changed!G561-Base!G551</f>
        <v>-45</v>
      </c>
    </row>
    <row r="552" spans="1:14" ht="15.75" customHeight="1" x14ac:dyDescent="0.2">
      <c r="A552" s="4" t="s">
        <v>1328</v>
      </c>
      <c r="B552" s="5" t="s">
        <v>1283</v>
      </c>
      <c r="C552" s="6" t="str">
        <f>IF(Changed!C561&lt;&gt;"", Changed!C561, "")</f>
        <v>Fire</v>
      </c>
      <c r="D552" s="6" t="str">
        <f>IF(Changed!D561&lt;&gt;"", Changed!D561, "")</f>
        <v>Fighting</v>
      </c>
      <c r="E552" s="6" t="str">
        <f>IF(Changed!E562&lt;&gt;"", Changed!E562, "")</f>
        <v>Swift Swim</v>
      </c>
      <c r="F552" s="6" t="str">
        <f>IF(Changed!F562&lt;&gt;"", Changed!F562, "")</f>
        <v/>
      </c>
      <c r="G552" s="7" t="str" cm="1">
        <f t="array" ref="G552">INDEX(Changed!$G:$G,ROW())&amp;IF(Changed!$G562&gt;Base!$G552,"↑",IF(Changed!$G562&lt;Base!$G552," ↓",""))</f>
        <v>735 ↓</v>
      </c>
      <c r="H552" s="7" t="str" cm="1">
        <f t="array" ref="H552">INDEX(Changed!$H:$H,ROW())&amp;IF(Changed!$H562&gt;Base!$H552,"↑",IF(Changed!$H562&lt;Base!$H552," ↓",""))</f>
        <v>106</v>
      </c>
      <c r="I552" s="7" t="str" cm="1">
        <f t="array" ref="I552">INDEX(Changed!$I:$I,ROW())&amp;IF(Changed!$I562&gt;Base!$I552,"↑",IF(Changed!$I562&lt;Base!$I552," ↓",""))</f>
        <v>135 ↓</v>
      </c>
      <c r="J552" s="7" t="str" cm="1">
        <f t="array" ref="J552">INDEX(Changed!$J:$J,ROW())&amp;IF(Changed!$J562&gt;Base!$J552,"↑",IF(Changed!$J562&lt;Base!$J552," ↓",""))</f>
        <v>110 ↓</v>
      </c>
      <c r="K552" s="7" t="str" cm="1">
        <f t="array" ref="K552">INDEX(Changed!$K:$K,ROW())&amp;IF(Changed!$K562&gt;Base!$K552,"↑",IF(Changed!$K562&lt;Base!$K552," ↓",""))</f>
        <v>154</v>
      </c>
      <c r="L552" s="7" t="str" cm="1">
        <f t="array" ref="L552">INDEX(Changed!$L:$L,ROW())&amp;IF(Changed!$L562&gt;Base!$L552,"↑",IF(Changed!$L562&lt;Base!$L552," ↓",""))</f>
        <v>90 ↓</v>
      </c>
      <c r="M552" s="7" t="str" cm="1">
        <f t="array" ref="M552">INDEX(Changed!$M:$M,ROW())&amp;IF(Changed!$M562&gt;Base!$M552,"↑",IF(Changed!$M562&lt;Base!$M552," ↓",""))</f>
        <v>140</v>
      </c>
      <c r="N552" s="19">
        <f>Changed!G562-Base!G552</f>
        <v>-50</v>
      </c>
    </row>
    <row r="553" spans="1:14" ht="15.75" customHeight="1" x14ac:dyDescent="0.2">
      <c r="A553" s="4" t="s">
        <v>1329</v>
      </c>
      <c r="B553" s="5" t="s">
        <v>1271</v>
      </c>
      <c r="C553" s="6" t="str">
        <f>IF(Changed!C563&lt;&gt;"", Changed!C563, "")</f>
        <v>Psychic</v>
      </c>
      <c r="D553" s="6" t="str">
        <f>IF(Changed!D563&lt;&gt;"", Changed!D563, "")</f>
        <v/>
      </c>
      <c r="E553" s="6" t="str">
        <f>IF(Changed!E563&lt;&gt;"", Changed!E563, "")</f>
        <v>Pixilate</v>
      </c>
      <c r="F553" s="6" t="str">
        <f>IF(Changed!F563&lt;&gt;"", Changed!F563, "")</f>
        <v/>
      </c>
      <c r="G553" s="7" t="str" cm="1">
        <f t="array" ref="G553">INDEX(Changed!$G:$G,ROW())&amp;IF(Changed!$G563&gt;Base!$G553,"↑",IF(Changed!$G563&lt;Base!$G553," ↓",""))</f>
        <v>735 ↓</v>
      </c>
      <c r="H553" s="7" t="str" cm="1">
        <f t="array" ref="H553">INDEX(Changed!$H:$H,ROW())&amp;IF(Changed!$H563&gt;Base!$H553,"↑",IF(Changed!$H563&lt;Base!$H553," ↓",""))</f>
        <v>106</v>
      </c>
      <c r="I553" s="7" t="str" cm="1">
        <f t="array" ref="I553">INDEX(Changed!$I:$I,ROW())&amp;IF(Changed!$I563&gt;Base!$I553,"↑",IF(Changed!$I563&lt;Base!$I553," ↓",""))</f>
        <v>110 ↓</v>
      </c>
      <c r="J553" s="7" t="str" cm="1">
        <f t="array" ref="J553">INDEX(Changed!$J:$J,ROW())&amp;IF(Changed!$J563&gt;Base!$J553,"↑",IF(Changed!$J563&lt;Base!$J553," ↓",""))</f>
        <v>95</v>
      </c>
      <c r="K553" s="7" t="str" cm="1">
        <f t="array" ref="K553">INDEX(Changed!$K:$K,ROW())&amp;IF(Changed!$K563&gt;Base!$K553,"↑",IF(Changed!$K563&lt;Base!$K553," ↓",""))</f>
        <v>164 ↓</v>
      </c>
      <c r="L553" s="7" t="str" cm="1">
        <f t="array" ref="L553">INDEX(Changed!$L:$L,ROW())&amp;IF(Changed!$L563&gt;Base!$L553,"↑",IF(Changed!$L563&lt;Base!$L553," ↓",""))</f>
        <v>120 ↓</v>
      </c>
      <c r="M553" s="7" t="str" cm="1">
        <f t="array" ref="M553">INDEX(Changed!$M:$M,ROW())&amp;IF(Changed!$M563&gt;Base!$M553,"↑",IF(Changed!$M563&lt;Base!$M553," ↓",""))</f>
        <v>140</v>
      </c>
      <c r="N553" s="19">
        <f>Changed!G563-Base!G553</f>
        <v>-45</v>
      </c>
    </row>
    <row r="554" spans="1:14" ht="15.75" customHeight="1" x14ac:dyDescent="0.2">
      <c r="A554" s="4" t="s">
        <v>1330</v>
      </c>
      <c r="B554" s="5" t="s">
        <v>1285</v>
      </c>
      <c r="C554" s="6" t="str">
        <f>IF(Changed!C564&lt;&gt;"", Changed!C564, "")</f>
        <v>Psychic</v>
      </c>
      <c r="D554" s="6" t="str">
        <f>IF(Changed!D564&lt;&gt;"", Changed!D564, "")</f>
        <v>Fighting</v>
      </c>
      <c r="E554" s="6" t="str">
        <f>IF(Changed!E564&lt;&gt;"", Changed!E564, "")</f>
        <v>Inner Focus</v>
      </c>
      <c r="F554" s="6" t="str">
        <f>IF(Changed!F564&lt;&gt;"", Changed!F564, "")</f>
        <v/>
      </c>
      <c r="G554" s="7" t="str" cm="1">
        <f t="array" ref="G554">INDEX(Changed!$G:$G,ROW())&amp;IF(Changed!$G564&gt;Base!$G554,"↑",IF(Changed!$G564&lt;Base!$G554," ↓",""))</f>
        <v>590 ↓</v>
      </c>
      <c r="H554" s="7" t="str" cm="1">
        <f t="array" ref="H554">INDEX(Changed!$H:$H,ROW())&amp;IF(Changed!$H564&gt;Base!$H554,"↑",IF(Changed!$H564&lt;Base!$H554," ↓",""))</f>
        <v>80</v>
      </c>
      <c r="I554" s="7" t="str" cm="1">
        <f t="array" ref="I554">INDEX(Changed!$I:$I,ROW())&amp;IF(Changed!$I564&gt;Base!$I554,"↑",IF(Changed!$I564&lt;Base!$I554," ↓",""))</f>
        <v>92 ↓</v>
      </c>
      <c r="J554" s="7" t="str" cm="1">
        <f t="array" ref="J554">INDEX(Changed!$J:$J,ROW())&amp;IF(Changed!$J564&gt;Base!$J554,"↑",IF(Changed!$J564&lt;Base!$J554," ↓",""))</f>
        <v>110 ↓</v>
      </c>
      <c r="K554" s="7" t="str" cm="1">
        <f t="array" ref="K554">INDEX(Changed!$K:$K,ROW())&amp;IF(Changed!$K564&gt;Base!$K554,"↑",IF(Changed!$K564&lt;Base!$K554," ↓",""))</f>
        <v>128</v>
      </c>
      <c r="L554" s="7" t="str" cm="1">
        <f t="array" ref="L554">INDEX(Changed!$L:$L,ROW())&amp;IF(Changed!$L564&gt;Base!$L554,"↑",IF(Changed!$L564&lt;Base!$L554," ↓",""))</f>
        <v>110</v>
      </c>
      <c r="M554" s="7" t="str" cm="1">
        <f t="array" ref="M554">INDEX(Changed!$M:$M,ROW())&amp;IF(Changed!$M564&gt;Base!$M554,"↑",IF(Changed!$M564&lt;Base!$M554," ↓",""))</f>
        <v>70 ↓</v>
      </c>
      <c r="N554" s="19">
        <f>Changed!G564-Base!G554</f>
        <v>-45</v>
      </c>
    </row>
    <row r="555" spans="1:14" ht="15.75" customHeight="1" x14ac:dyDescent="0.2">
      <c r="A555" s="4" t="s">
        <v>1331</v>
      </c>
      <c r="B555" s="5" t="s">
        <v>1284</v>
      </c>
      <c r="C555" s="6" t="str">
        <f>IF(Changed!C565&lt;&gt;"", Changed!C565, "")</f>
        <v>Dark</v>
      </c>
      <c r="D555" s="6" t="str">
        <f>IF(Changed!D565&lt;&gt;"", Changed!D565, "")</f>
        <v>Ghost</v>
      </c>
      <c r="E555" s="6" t="str">
        <f>IF(Changed!E565&lt;&gt;"", Changed!E565, "")</f>
        <v>Prankster</v>
      </c>
      <c r="F555" s="6" t="str">
        <f>IF(Changed!F565&lt;&gt;"", Changed!F565, "")</f>
        <v/>
      </c>
      <c r="G555" s="7" t="str" cm="1">
        <f t="array" ref="G555">INDEX(Changed!$G:$G,ROW())&amp;IF(Changed!$G565&gt;Base!$G555,"↑",IF(Changed!$G565&lt;Base!$G555," ↓",""))</f>
        <v>585 ↓</v>
      </c>
      <c r="H555" s="7" t="str" cm="1">
        <f t="array" ref="H555">INDEX(Changed!$H:$H,ROW())&amp;IF(Changed!$H565&gt;Base!$H555,"↑",IF(Changed!$H565&lt;Base!$H555," ↓",""))</f>
        <v>85</v>
      </c>
      <c r="I555" s="7" t="str" cm="1">
        <f t="array" ref="I555">INDEX(Changed!$I:$I,ROW())&amp;IF(Changed!$I565&gt;Base!$I555,"↑",IF(Changed!$I565&lt;Base!$I555," ↓",""))</f>
        <v>124</v>
      </c>
      <c r="J555" s="7" t="str" cm="1">
        <f t="array" ref="J555">INDEX(Changed!$J:$J,ROW())&amp;IF(Changed!$J565&gt;Base!$J555,"↑",IF(Changed!$J565&lt;Base!$J555," ↓",""))</f>
        <v>120 ↓</v>
      </c>
      <c r="K555" s="7" t="str" cm="1">
        <f t="array" ref="K555">INDEX(Changed!$K:$K,ROW())&amp;IF(Changed!$K565&gt;Base!$K555,"↑",IF(Changed!$K565&lt;Base!$K555," ↓",""))</f>
        <v>85</v>
      </c>
      <c r="L555" s="7" t="str" cm="1">
        <f t="array" ref="L555">INDEX(Changed!$L:$L,ROW())&amp;IF(Changed!$L565&gt;Base!$L555,"↑",IF(Changed!$L565&lt;Base!$L555," ↓",""))</f>
        <v>93 ↓</v>
      </c>
      <c r="M555" s="7" t="str" cm="1">
        <f t="array" ref="M555">INDEX(Changed!$M:$M,ROW())&amp;IF(Changed!$M565&gt;Base!$M555,"↑",IF(Changed!$M565&lt;Base!$M555," ↓",""))</f>
        <v>78 ↓</v>
      </c>
      <c r="N555" s="19">
        <f>Changed!G565-Base!G555</f>
        <v>-45</v>
      </c>
    </row>
    <row r="556" spans="1:14" ht="15.75" customHeight="1" x14ac:dyDescent="0.2">
      <c r="A556" s="4" t="s">
        <v>1332</v>
      </c>
      <c r="B556" s="5" t="s">
        <v>1272</v>
      </c>
      <c r="C556" s="6" t="str">
        <f>IF(Changed!C566&lt;&gt;"", Changed!C566, "")</f>
        <v>Steel</v>
      </c>
      <c r="D556" s="6" t="str">
        <f>IF(Changed!D566&lt;&gt;"", Changed!D566, "")</f>
        <v/>
      </c>
      <c r="E556" s="6" t="str">
        <f>IF(Changed!E566&lt;&gt;"", Changed!E566, "")</f>
        <v>Huge Power</v>
      </c>
      <c r="F556" s="6" t="str">
        <f>IF(Changed!F566&lt;&gt;"", Changed!F566, "")</f>
        <v/>
      </c>
      <c r="G556" s="7" t="str" cm="1">
        <f t="array" ref="G556">INDEX(Changed!$G:$G,ROW())&amp;IF(Changed!$G566&gt;Base!$G556,"↑",IF(Changed!$G566&lt;Base!$G556," ↓",""))</f>
        <v>555 ↓</v>
      </c>
      <c r="H556" s="7" t="str" cm="1">
        <f t="array" ref="H556">INDEX(Changed!$H:$H,ROW())&amp;IF(Changed!$H566&gt;Base!$H556,"↑",IF(Changed!$H566&lt;Base!$H556," ↓",""))</f>
        <v>90</v>
      </c>
      <c r="I556" s="7" t="str" cm="1">
        <f t="array" ref="I556">INDEX(Changed!$I:$I,ROW())&amp;IF(Changed!$I566&gt;Base!$I556,"↑",IF(Changed!$I566&lt;Base!$I556," ↓",""))</f>
        <v>75</v>
      </c>
      <c r="J556" s="7" t="str" cm="1">
        <f t="array" ref="J556">INDEX(Changed!$J:$J,ROW())&amp;IF(Changed!$J566&gt;Base!$J556,"↑",IF(Changed!$J566&lt;Base!$J556," ↓",""))</f>
        <v>95 ↓</v>
      </c>
      <c r="K556" s="7" t="str" cm="1">
        <f t="array" ref="K556">INDEX(Changed!$K:$K,ROW())&amp;IF(Changed!$K566&gt;Base!$K556,"↑",IF(Changed!$K566&lt;Base!$K556," ↓",""))</f>
        <v>135</v>
      </c>
      <c r="L556" s="7" t="str" cm="1">
        <f t="array" ref="L556">INDEX(Changed!$L:$L,ROW())&amp;IF(Changed!$L566&gt;Base!$L556,"↑",IF(Changed!$L566&lt;Base!$L556," ↓",""))</f>
        <v>110 ↓</v>
      </c>
      <c r="M556" s="7" t="str" cm="1">
        <f t="array" ref="M556">INDEX(Changed!$M:$M,ROW())&amp;IF(Changed!$M566&gt;Base!$M556,"↑",IF(Changed!$M566&lt;Base!$M556," ↓",""))</f>
        <v>50</v>
      </c>
      <c r="N556" s="19">
        <f>Changed!G566-Base!G556</f>
        <v>-45</v>
      </c>
    </row>
    <row r="557" spans="1:14" ht="15.75" customHeight="1" x14ac:dyDescent="0.2">
      <c r="A557" s="4" t="s">
        <v>1333</v>
      </c>
      <c r="B557" s="5" t="s">
        <v>1273</v>
      </c>
      <c r="C557" s="6" t="str">
        <f>IF(Changed!C567&lt;&gt;"", Changed!C567, "")</f>
        <v>Steel</v>
      </c>
      <c r="D557" s="6" t="str">
        <f>IF(Changed!D567&lt;&gt;"", Changed!D567, "")</f>
        <v/>
      </c>
      <c r="E557" s="6" t="str">
        <f>IF(Changed!E567&lt;&gt;"", Changed!E567, "")</f>
        <v>Filter</v>
      </c>
      <c r="F557" s="6" t="str">
        <f>IF(Changed!F567&lt;&gt;"", Changed!F567, "")</f>
        <v/>
      </c>
      <c r="G557" s="7" t="str" cm="1">
        <f t="array" ref="G557">INDEX(Changed!$G:$G,ROW())&amp;IF(Changed!$G567&gt;Base!$G557,"↑",IF(Changed!$G567&lt;Base!$G557," ↓",""))</f>
        <v>555 ↓</v>
      </c>
      <c r="H557" s="7" t="str" cm="1">
        <f t="array" ref="H557">INDEX(Changed!$H:$H,ROW())&amp;IF(Changed!$H567&gt;Base!$H557,"↑",IF(Changed!$H567&lt;Base!$H557," ↓",""))</f>
        <v>80</v>
      </c>
      <c r="I557" s="7" t="str" cm="1">
        <f t="array" ref="I557">INDEX(Changed!$I:$I,ROW())&amp;IF(Changed!$I567&gt;Base!$I557,"↑",IF(Changed!$I567&lt;Base!$I557," ↓",""))</f>
        <v>145 ↓</v>
      </c>
      <c r="J557" s="7" t="str" cm="1">
        <f t="array" ref="J557">INDEX(Changed!$J:$J,ROW())&amp;IF(Changed!$J567&gt;Base!$J557,"↑",IF(Changed!$J567&lt;Base!$J557," ↓",""))</f>
        <v>100 ↓</v>
      </c>
      <c r="K557" s="7" t="str" cm="1">
        <f t="array" ref="K557">INDEX(Changed!$K:$K,ROW())&amp;IF(Changed!$K567&gt;Base!$K557,"↑",IF(Changed!$K567&lt;Base!$K557," ↓",""))</f>
        <v>40</v>
      </c>
      <c r="L557" s="7" t="str" cm="1">
        <f t="array" ref="L557">INDEX(Changed!$L:$L,ROW())&amp;IF(Changed!$L567&gt;Base!$L557,"↑",IF(Changed!$L567&lt;Base!$L557," ↓",""))</f>
        <v>105</v>
      </c>
      <c r="M557" s="7" t="str" cm="1">
        <f t="array" ref="M557">INDEX(Changed!$M:$M,ROW())&amp;IF(Changed!$M567&gt;Base!$M557,"↑",IF(Changed!$M567&lt;Base!$M557," ↓",""))</f>
        <v>85</v>
      </c>
      <c r="N557" s="19">
        <f>Changed!G567-Base!G557</f>
        <v>-45</v>
      </c>
    </row>
    <row r="558" spans="1:14" ht="15.75" customHeight="1" x14ac:dyDescent="0.2">
      <c r="A558" s="4" t="s">
        <v>1334</v>
      </c>
      <c r="B558" s="5" t="s">
        <v>1274</v>
      </c>
      <c r="C558" s="6" t="str">
        <f>IF(Changed!C568&lt;&gt;"", Changed!C568, "")</f>
        <v>Psychic</v>
      </c>
      <c r="D558" s="6" t="str">
        <f>IF(Changed!D568&lt;&gt;"", Changed!D568, "")</f>
        <v>Fighting</v>
      </c>
      <c r="E558" s="6" t="str">
        <f>IF(Changed!E568&lt;&gt;"", Changed!E568, "")</f>
        <v>Pure Power</v>
      </c>
      <c r="F558" s="6" t="str">
        <f>IF(Changed!F568&lt;&gt;"", Changed!F568, "")</f>
        <v/>
      </c>
      <c r="G558" s="7" t="str" cm="1">
        <f t="array" ref="G558">INDEX(Changed!$G:$G,ROW())&amp;IF(Changed!$G568&gt;Base!$G558,"↑",IF(Changed!$G568&lt;Base!$G558," ↓",""))</f>
        <v>555 ↓</v>
      </c>
      <c r="H558" s="7" t="str" cm="1">
        <f t="array" ref="H558">INDEX(Changed!$H:$H,ROW())&amp;IF(Changed!$H568&gt;Base!$H558,"↑",IF(Changed!$H568&lt;Base!$H558," ↓",""))</f>
        <v>75</v>
      </c>
      <c r="I558" s="7" t="str" cm="1">
        <f t="array" ref="I558">INDEX(Changed!$I:$I,ROW())&amp;IF(Changed!$I568&gt;Base!$I558,"↑",IF(Changed!$I568&lt;Base!$I558," ↓",""))</f>
        <v>90 ↓</v>
      </c>
      <c r="J558" s="7" t="str" cm="1">
        <f t="array" ref="J558">INDEX(Changed!$J:$J,ROW())&amp;IF(Changed!$J568&gt;Base!$J558,"↑",IF(Changed!$J568&lt;Base!$J558," ↓",""))</f>
        <v>55 ↓</v>
      </c>
      <c r="K558" s="7" t="str" cm="1">
        <f t="array" ref="K558">INDEX(Changed!$K:$K,ROW())&amp;IF(Changed!$K568&gt;Base!$K558,"↑",IF(Changed!$K568&lt;Base!$K558," ↓",""))</f>
        <v>130 ↓</v>
      </c>
      <c r="L558" s="7" t="str" cm="1">
        <f t="array" ref="L558">INDEX(Changed!$L:$L,ROW())&amp;IF(Changed!$L568&gt;Base!$L558,"↑",IF(Changed!$L568&lt;Base!$L558," ↓",""))</f>
        <v>90 ↓</v>
      </c>
      <c r="M558" s="7" t="str" cm="1">
        <f t="array" ref="M558">INDEX(Changed!$M:$M,ROW())&amp;IF(Changed!$M568&gt;Base!$M558,"↑",IF(Changed!$M568&lt;Base!$M558," ↓",""))</f>
        <v>115↑</v>
      </c>
      <c r="N558" s="19">
        <f>Changed!G568-Base!G558</f>
        <v>-45</v>
      </c>
    </row>
    <row r="559" spans="1:14" ht="15.75" customHeight="1" x14ac:dyDescent="0.2">
      <c r="A559" s="4" t="s">
        <v>1337</v>
      </c>
      <c r="B559" s="5" t="s">
        <v>1286</v>
      </c>
      <c r="C559" s="6" t="str">
        <f>IF(Changed!C569&lt;&gt;"", Changed!C569, "")</f>
        <v>Electric</v>
      </c>
      <c r="D559" s="6" t="str">
        <f>IF(Changed!D569&lt;&gt;"", Changed!D569, "")</f>
        <v>Grass</v>
      </c>
      <c r="E559" s="6" t="str">
        <f>IF(Changed!E569&lt;&gt;"", Changed!E569, "")</f>
        <v xml:space="preserve">Intimidate </v>
      </c>
      <c r="F559" s="6" t="str">
        <f>IF(Changed!F569&lt;&gt;"", Changed!F569, "")</f>
        <v/>
      </c>
      <c r="G559" s="7" t="str" cm="1">
        <f t="array" ref="G559">INDEX(Changed!$G:$G,ROW())&amp;IF(Changed!$G569&gt;Base!$G559,"↑",IF(Changed!$G569&lt;Base!$G559," ↓",""))</f>
        <v>655 ↓</v>
      </c>
      <c r="H559" s="7" t="str" cm="1">
        <f t="array" ref="H559">INDEX(Changed!$H:$H,ROW())&amp;IF(Changed!$H569&gt;Base!$H559,"↑",IF(Changed!$H569&lt;Base!$H559," ↓",""))</f>
        <v>100</v>
      </c>
      <c r="I559" s="7" t="str" cm="1">
        <f t="array" ref="I559">INDEX(Changed!$I:$I,ROW())&amp;IF(Changed!$I569&gt;Base!$I559,"↑",IF(Changed!$I569&lt;Base!$I559," ↓",""))</f>
        <v>154 ↓</v>
      </c>
      <c r="J559" s="7" t="str" cm="1">
        <f t="array" ref="J559">INDEX(Changed!$J:$J,ROW())&amp;IF(Changed!$J569&gt;Base!$J559,"↑",IF(Changed!$J569&lt;Base!$J559," ↓",""))</f>
        <v>120 ↓</v>
      </c>
      <c r="K559" s="7" t="str" cm="1">
        <f t="array" ref="K559">INDEX(Changed!$K:$K,ROW())&amp;IF(Changed!$K569&gt;Base!$K559,"↑",IF(Changed!$K569&lt;Base!$K559," ↓",""))</f>
        <v>125 ↓</v>
      </c>
      <c r="L559" s="7" t="str" cm="1">
        <f t="array" ref="L559">INDEX(Changed!$L:$L,ROW())&amp;IF(Changed!$L569&gt;Base!$L559,"↑",IF(Changed!$L569&lt;Base!$L559," ↓",""))</f>
        <v>95 ↓</v>
      </c>
      <c r="M559" s="7" t="str" cm="1">
        <f t="array" ref="M559">INDEX(Changed!$M:$M,ROW())&amp;IF(Changed!$M569&gt;Base!$M559,"↑",IF(Changed!$M569&lt;Base!$M559," ↓",""))</f>
        <v>61 ↓</v>
      </c>
      <c r="N559" s="19">
        <f>Changed!G569-Base!G559</f>
        <v>-45</v>
      </c>
    </row>
    <row r="560" spans="1:14" ht="15.75" customHeight="1" x14ac:dyDescent="0.2">
      <c r="A560" s="4" t="s">
        <v>1335</v>
      </c>
      <c r="B560" s="5" t="s">
        <v>1287</v>
      </c>
      <c r="C560" s="6" t="str">
        <f>IF(Changed!C570&lt;&gt;"", Changed!C570, "")</f>
        <v>Water</v>
      </c>
      <c r="D560" s="6" t="str">
        <f>IF(Changed!D570&lt;&gt;"", Changed!D570, "")</f>
        <v>Dark</v>
      </c>
      <c r="E560" s="6" t="str">
        <f>IF(Changed!E570&lt;&gt;"", Changed!E570, "")</f>
        <v>Strong Jaw</v>
      </c>
      <c r="F560" s="6" t="str">
        <f>IF(Changed!F570&lt;&gt;"", Changed!F570, "")</f>
        <v/>
      </c>
      <c r="G560" s="7" t="str" cm="1">
        <f t="array" ref="G560">INDEX(Changed!$G:$G,ROW())&amp;IF(Changed!$G570&gt;Base!$G560,"↑",IF(Changed!$G570&lt;Base!$G560," ↓",""))</f>
        <v>585 ↓</v>
      </c>
      <c r="H560" s="7" t="str" cm="1">
        <f t="array" ref="H560">INDEX(Changed!$H:$H,ROW())&amp;IF(Changed!$H570&gt;Base!$H560,"↑",IF(Changed!$H570&lt;Base!$H560," ↓",""))</f>
        <v>70</v>
      </c>
      <c r="I560" s="7" t="str" cm="1">
        <f t="array" ref="I560">INDEX(Changed!$I:$I,ROW())&amp;IF(Changed!$I570&gt;Base!$I560,"↑",IF(Changed!$I570&lt;Base!$I560," ↓",""))</f>
        <v>120 ↓</v>
      </c>
      <c r="J560" s="7" t="str" cm="1">
        <f t="array" ref="J560">INDEX(Changed!$J:$J,ROW())&amp;IF(Changed!$J570&gt;Base!$J560,"↑",IF(Changed!$J570&lt;Base!$J560," ↓",""))</f>
        <v>70 ↓</v>
      </c>
      <c r="K560" s="7" t="str" cm="1">
        <f t="array" ref="K560">INDEX(Changed!$K:$K,ROW())&amp;IF(Changed!$K570&gt;Base!$K560,"↑",IF(Changed!$K570&lt;Base!$K560," ↓",""))</f>
        <v>120 ↓</v>
      </c>
      <c r="L560" s="7" t="str" cm="1">
        <f t="array" ref="L560">INDEX(Changed!$L:$L,ROW())&amp;IF(Changed!$L570&gt;Base!$L560,"↑",IF(Changed!$L570&lt;Base!$L560," ↓",""))</f>
        <v>75 ↓</v>
      </c>
      <c r="M560" s="7" t="str" cm="1">
        <f t="array" ref="M560">INDEX(Changed!$M:$M,ROW())&amp;IF(Changed!$M570&gt;Base!$M560,"↑",IF(Changed!$M570&lt;Base!$M560," ↓",""))</f>
        <v>130</v>
      </c>
      <c r="N560" s="19">
        <f>Changed!G570-Base!G560</f>
        <v>-45</v>
      </c>
    </row>
    <row r="561" spans="1:14" ht="15.75" customHeight="1" x14ac:dyDescent="0.2">
      <c r="A561" s="4" t="s">
        <v>1336</v>
      </c>
      <c r="B561" s="5" t="s">
        <v>1288</v>
      </c>
      <c r="C561" s="6" t="str">
        <f>IF(Changed!C571&lt;&gt;"", Changed!C571, "")</f>
        <v>Fire</v>
      </c>
      <c r="D561" s="6" t="str">
        <f>IF(Changed!D571&lt;&gt;"", Changed!D571, "")</f>
        <v>Ground</v>
      </c>
      <c r="E561" s="6" t="str">
        <f>IF(Changed!E571&lt;&gt;"", Changed!E571, "")</f>
        <v>Desolate Land</v>
      </c>
      <c r="F561" s="6" t="str">
        <f>IF(Changed!F571&lt;&gt;"", Changed!F571, "")</f>
        <v/>
      </c>
      <c r="G561" s="7" t="str" cm="1">
        <f t="array" ref="G561">INDEX(Changed!$G:$G,ROW())&amp;IF(Changed!$G571&gt;Base!$G561,"↑",IF(Changed!$G571&lt;Base!$G561," ↓",""))</f>
        <v>585 ↓</v>
      </c>
      <c r="H561" s="7" t="str" cm="1">
        <f t="array" ref="H561">INDEX(Changed!$H:$H,ROW())&amp;IF(Changed!$H571&gt;Base!$H561,"↑",IF(Changed!$H571&lt;Base!$H561," ↓",""))</f>
        <v>80</v>
      </c>
      <c r="I561" s="7" t="str" cm="1">
        <f t="array" ref="I561">INDEX(Changed!$I:$I,ROW())&amp;IF(Changed!$I571&gt;Base!$I561,"↑",IF(Changed!$I571&lt;Base!$I561," ↓",""))</f>
        <v>150 ↓</v>
      </c>
      <c r="J561" s="7" t="str" cm="1">
        <f t="array" ref="J561">INDEX(Changed!$J:$J,ROW())&amp;IF(Changed!$J571&gt;Base!$J561,"↑",IF(Changed!$J571&lt;Base!$J561," ↓",""))</f>
        <v>65↑</v>
      </c>
      <c r="K561" s="7" t="str" cm="1">
        <f t="array" ref="K561">INDEX(Changed!$K:$K,ROW())&amp;IF(Changed!$K571&gt;Base!$K561,"↑",IF(Changed!$K571&lt;Base!$K561," ↓",""))</f>
        <v>125 ↓</v>
      </c>
      <c r="L561" s="7" t="str" cm="1">
        <f t="array" ref="L561">INDEX(Changed!$L:$L,ROW())&amp;IF(Changed!$L571&gt;Base!$L561,"↑",IF(Changed!$L571&lt;Base!$L561," ↓",""))</f>
        <v>65 ↓</v>
      </c>
      <c r="M561" s="7" t="str" cm="1">
        <f t="array" ref="M561">INDEX(Changed!$M:$M,ROW())&amp;IF(Changed!$M571&gt;Base!$M561,"↑",IF(Changed!$M571&lt;Base!$M561," ↓",""))</f>
        <v>100</v>
      </c>
      <c r="N561" s="19">
        <f>Changed!G571-Base!G561</f>
        <v>-45</v>
      </c>
    </row>
    <row r="562" spans="1:14" ht="15.75" customHeight="1" x14ac:dyDescent="0.2">
      <c r="A562" s="4" t="s">
        <v>1338</v>
      </c>
      <c r="B562" s="5" t="s">
        <v>1289</v>
      </c>
      <c r="C562" s="6" t="str">
        <f>IF(Changed!C572&lt;&gt;"", Changed!C572, "")</f>
        <v>Dragon</v>
      </c>
      <c r="D562" s="6" t="str">
        <f>IF(Changed!D572&lt;&gt;"", Changed!D572, "")</f>
        <v>None</v>
      </c>
      <c r="E562" s="6" t="str">
        <f>IF(Changed!E572&lt;&gt;"", Changed!E572, "")</f>
        <v>Fluffy</v>
      </c>
      <c r="F562" s="6" t="str">
        <f>IF(Changed!F572&lt;&gt;"", Changed!F572, "")</f>
        <v/>
      </c>
      <c r="G562" s="7" t="str" cm="1">
        <f t="array" ref="G562">INDEX(Changed!$G:$G,ROW())&amp;IF(Changed!$G572&gt;Base!$G562,"↑",IF(Changed!$G572&lt;Base!$G562," ↓",""))</f>
        <v>585 ↓</v>
      </c>
      <c r="H562" s="7" t="str" cm="1">
        <f t="array" ref="H562">INDEX(Changed!$H:$H,ROW())&amp;IF(Changed!$H572&gt;Base!$H562,"↑",IF(Changed!$H572&lt;Base!$H562," ↓",""))</f>
        <v>100</v>
      </c>
      <c r="I562" s="7" t="str" cm="1">
        <f t="array" ref="I562">INDEX(Changed!$I:$I,ROW())&amp;IF(Changed!$I572&gt;Base!$I562,"↑",IF(Changed!$I572&lt;Base!$I562," ↓",""))</f>
        <v>125 ↓</v>
      </c>
      <c r="J562" s="7" t="str" cm="1">
        <f t="array" ref="J562">INDEX(Changed!$J:$J,ROW())&amp;IF(Changed!$J572&gt;Base!$J562,"↑",IF(Changed!$J572&lt;Base!$J562," ↓",""))</f>
        <v>100 ↓</v>
      </c>
      <c r="K562" s="7" t="str" cm="1">
        <f t="array" ref="K562">INDEX(Changed!$K:$K,ROW())&amp;IF(Changed!$K572&gt;Base!$K562,"↑",IF(Changed!$K572&lt;Base!$K562," ↓",""))</f>
        <v>95 ↓</v>
      </c>
      <c r="L562" s="7" t="str" cm="1">
        <f t="array" ref="L562">INDEX(Changed!$L:$L,ROW())&amp;IF(Changed!$L572&gt;Base!$L562,"↑",IF(Changed!$L572&lt;Base!$L562," ↓",""))</f>
        <v>95</v>
      </c>
      <c r="M562" s="7" t="str" cm="1">
        <f t="array" ref="M562">INDEX(Changed!$M:$M,ROW())&amp;IF(Changed!$M572&gt;Base!$M562,"↑",IF(Changed!$M572&lt;Base!$M562," ↓",""))</f>
        <v>70</v>
      </c>
      <c r="N562" s="19">
        <f>Changed!G572-Base!G562</f>
        <v>-45</v>
      </c>
    </row>
    <row r="563" spans="1:14" ht="15.75" customHeight="1" x14ac:dyDescent="0.2">
      <c r="A563" s="4" t="s">
        <v>1339</v>
      </c>
      <c r="B563" s="5" t="s">
        <v>1275</v>
      </c>
      <c r="C563" s="6" t="str">
        <f>IF(Changed!C573&lt;&gt;"", Changed!C573, "")</f>
        <v>Ghost</v>
      </c>
      <c r="D563" s="6" t="str">
        <f>IF(Changed!D573&lt;&gt;"", Changed!D573, "")</f>
        <v>Dark</v>
      </c>
      <c r="E563" s="6" t="str">
        <f>IF(Changed!E573&lt;&gt;"", Changed!E573, "")</f>
        <v>Shadow Tag</v>
      </c>
      <c r="F563" s="6" t="str">
        <f>IF(Changed!F573&lt;&gt;"", Changed!F573, "")</f>
        <v/>
      </c>
      <c r="G563" s="7" t="str" cm="1">
        <f t="array" ref="G563">INDEX(Changed!$G:$G,ROW())&amp;IF(Changed!$G573&gt;Base!$G563,"↑",IF(Changed!$G573&lt;Base!$G563," ↓",""))</f>
        <v>573 ↓</v>
      </c>
      <c r="H563" s="7" t="str" cm="1">
        <f t="array" ref="H563">INDEX(Changed!$H:$H,ROW())&amp;IF(Changed!$H573&gt;Base!$H563,"↑",IF(Changed!$H573&lt;Base!$H563," ↓",""))</f>
        <v>68</v>
      </c>
      <c r="I563" s="7" t="str" cm="1">
        <f t="array" ref="I563">INDEX(Changed!$I:$I,ROW())&amp;IF(Changed!$I573&gt;Base!$I563,"↑",IF(Changed!$I573&lt;Base!$I563," ↓",""))</f>
        <v>65 ↓</v>
      </c>
      <c r="J563" s="7" t="str" cm="1">
        <f t="array" ref="J563">INDEX(Changed!$J:$J,ROW())&amp;IF(Changed!$J573&gt;Base!$J563,"↑",IF(Changed!$J573&lt;Base!$J563," ↓",""))</f>
        <v>65 ↓</v>
      </c>
      <c r="K563" s="7" t="str" cm="1">
        <f t="array" ref="K563">INDEX(Changed!$K:$K,ROW())&amp;IF(Changed!$K573&gt;Base!$K563,"↑",IF(Changed!$K573&lt;Base!$K563," ↓",""))</f>
        <v>155</v>
      </c>
      <c r="L563" s="7" t="str" cm="1">
        <f t="array" ref="L563">INDEX(Changed!$L:$L,ROW())&amp;IF(Changed!$L573&gt;Base!$L563,"↑",IF(Changed!$L573&lt;Base!$L563," ↓",""))</f>
        <v>120 ↓</v>
      </c>
      <c r="M563" s="7" t="str" cm="1">
        <f t="array" ref="M563">INDEX(Changed!$M:$M,ROW())&amp;IF(Changed!$M573&gt;Base!$M563,"↑",IF(Changed!$M573&lt;Base!$M563," ↓",""))</f>
        <v>100</v>
      </c>
      <c r="N563" s="19">
        <f>Changed!G573-Base!G563</f>
        <v>-45</v>
      </c>
    </row>
    <row r="564" spans="1:14" ht="15.75" customHeight="1" x14ac:dyDescent="0.2">
      <c r="A564" s="4" t="s">
        <v>1340</v>
      </c>
      <c r="B564" s="5" t="s">
        <v>1276</v>
      </c>
      <c r="C564" s="6" t="str">
        <f>IF(Changed!C575&lt;&gt;"", Changed!C575, "")</f>
        <v>Dark</v>
      </c>
      <c r="D564" s="6" t="str">
        <f>IF(Changed!D575&lt;&gt;"", Changed!D575, "")</f>
        <v/>
      </c>
      <c r="E564" s="6" t="str">
        <f>IF(Changed!E575&lt;&gt;"", Changed!E575, "")</f>
        <v>Magic Bounce</v>
      </c>
      <c r="F564" s="6" t="str">
        <f>IF(Changed!F575&lt;&gt;"", Changed!F575, "")</f>
        <v/>
      </c>
      <c r="G564" s="7" t="str" cm="1">
        <f t="array" ref="G564">INDEX(Changed!$G:$G,ROW())&amp;IF(Changed!$G575&gt;Base!$G564,"↑",IF(Changed!$G575&lt;Base!$G564," ↓",""))</f>
        <v>573 ↓</v>
      </c>
      <c r="H564" s="7" t="str" cm="1">
        <f t="array" ref="H564">INDEX(Changed!$H:$H,ROW())&amp;IF(Changed!$H575&gt;Base!$H564,"↑",IF(Changed!$H575&lt;Base!$H564," ↓",""))</f>
        <v>68</v>
      </c>
      <c r="I564" s="7" t="str" cm="1">
        <f t="array" ref="I564">INDEX(Changed!$I:$I,ROW())&amp;IF(Changed!$I575&gt;Base!$I564,"↑",IF(Changed!$I575&lt;Base!$I564," ↓",""))</f>
        <v>155 ↓</v>
      </c>
      <c r="J564" s="7" t="str" cm="1">
        <f t="array" ref="J564">INDEX(Changed!$J:$J,ROW())&amp;IF(Changed!$J575&gt;Base!$J564,"↑",IF(Changed!$J575&lt;Base!$J564," ↓",""))</f>
        <v>70</v>
      </c>
      <c r="K564" s="7" t="str" cm="1">
        <f t="array" ref="K564">INDEX(Changed!$K:$K,ROW())&amp;IF(Changed!$K575&gt;Base!$K564,"↑",IF(Changed!$K575&lt;Base!$K564," ↓",""))</f>
        <v>65 ↓</v>
      </c>
      <c r="L564" s="7" t="str" cm="1">
        <f t="array" ref="L564">INDEX(Changed!$L:$L,ROW())&amp;IF(Changed!$L575&gt;Base!$L564,"↑",IF(Changed!$L575&lt;Base!$L564," ↓",""))</f>
        <v>115↑</v>
      </c>
      <c r="M564" s="7" t="str" cm="1">
        <f t="array" ref="M564">INDEX(Changed!$M:$M,ROW())&amp;IF(Changed!$M575&gt;Base!$M564,"↑",IF(Changed!$M575&lt;Base!$M564," ↓",""))</f>
        <v>100 ↓</v>
      </c>
      <c r="N564" s="19">
        <f>Changed!G575-Base!G564</f>
        <v>-45</v>
      </c>
    </row>
    <row r="565" spans="1:14" ht="15.75" customHeight="1" x14ac:dyDescent="0.2">
      <c r="A565" s="4" t="s">
        <v>1341</v>
      </c>
      <c r="B565" s="5" t="s">
        <v>1290</v>
      </c>
      <c r="C565" s="6" t="str">
        <f>IF(Changed!C577&lt;&gt;"", Changed!C577, "")</f>
        <v>Ice</v>
      </c>
      <c r="D565" s="6" t="str">
        <f>IF(Changed!D577&lt;&gt;"", Changed!D577, "")</f>
        <v>Steel</v>
      </c>
      <c r="E565" s="6" t="str">
        <f>IF(Changed!E577&lt;&gt;"", Changed!E577, "")</f>
        <v>Refrigerate</v>
      </c>
      <c r="F565" s="6" t="str">
        <f>IF(Changed!F577&lt;&gt;"", Changed!F577, "")</f>
        <v/>
      </c>
      <c r="G565" s="7" t="str" cm="1">
        <f t="array" ref="G565">INDEX(Changed!$G:$G,ROW())&amp;IF(Changed!$G577&gt;Base!$G565,"↑",IF(Changed!$G577&lt;Base!$G565," ↓",""))</f>
        <v>435 ↓</v>
      </c>
      <c r="H565" s="7" t="str" cm="1">
        <f t="array" ref="H565">INDEX(Changed!$H:$H,ROW())&amp;IF(Changed!$H577&gt;Base!$H565,"↑",IF(Changed!$H577&lt;Base!$H565," ↓",""))</f>
        <v>50</v>
      </c>
      <c r="I565" s="7" t="str" cm="1">
        <f t="array" ref="I565">INDEX(Changed!$I:$I,ROW())&amp;IF(Changed!$I577&gt;Base!$I565,"↑",IF(Changed!$I577&lt;Base!$I565," ↓",""))</f>
        <v>85 ↓</v>
      </c>
      <c r="J565" s="7" t="str" cm="1">
        <f t="array" ref="J565">INDEX(Changed!$J:$J,ROW())&amp;IF(Changed!$J577&gt;Base!$J565,"↑",IF(Changed!$J577&lt;Base!$J565," ↓",""))</f>
        <v>105↑</v>
      </c>
      <c r="K565" s="7" t="str" cm="1">
        <f t="array" ref="K565">INDEX(Changed!$K:$K,ROW())&amp;IF(Changed!$K577&gt;Base!$K565,"↑",IF(Changed!$K577&lt;Base!$K565," ↓",""))</f>
        <v>85 ↓</v>
      </c>
      <c r="L565" s="7" t="str" cm="1">
        <f t="array" ref="L565">INDEX(Changed!$L:$L,ROW())&amp;IF(Changed!$L577&gt;Base!$L565,"↑",IF(Changed!$L577&lt;Base!$L565," ↓",""))</f>
        <v>95↑</v>
      </c>
      <c r="M565" s="7" t="str" cm="1">
        <f t="array" ref="M565">INDEX(Changed!$M:$M,ROW())&amp;IF(Changed!$M577&gt;Base!$M565,"↑",IF(Changed!$M577&lt;Base!$M565," ↓",""))</f>
        <v>15 ↓</v>
      </c>
      <c r="N565" s="19">
        <f>Changed!G577-Base!G565</f>
        <v>-45</v>
      </c>
    </row>
    <row r="566" spans="1:14" ht="15.75" customHeight="1" x14ac:dyDescent="0.2">
      <c r="A566" s="4" t="s">
        <v>1342</v>
      </c>
      <c r="B566" s="5" t="s">
        <v>1291</v>
      </c>
      <c r="C566" s="6" t="str">
        <f>IF(Changed!C578&lt;&gt;"", Changed!C578, "")</f>
        <v>Dragon</v>
      </c>
      <c r="D566" s="6" t="str">
        <f>IF(Changed!D578&lt;&gt;"", Changed!D578, "")</f>
        <v>Flying</v>
      </c>
      <c r="E566" s="6" t="str">
        <f>IF(Changed!E578&lt;&gt;"", Changed!E578, "")</f>
        <v>Aerilate</v>
      </c>
      <c r="F566" s="6" t="str">
        <f>IF(Changed!F578&lt;&gt;"", Changed!F578, "")</f>
        <v/>
      </c>
      <c r="G566" s="7" t="str" cm="1">
        <f t="array" ref="G566">INDEX(Changed!$G:$G,ROW())&amp;IF(Changed!$G578&gt;Base!$G566,"↑",IF(Changed!$G578&lt;Base!$G566," ↓",""))</f>
        <v>435 ↓</v>
      </c>
      <c r="H566" s="7" t="str" cm="1">
        <f t="array" ref="H566">INDEX(Changed!$H:$H,ROW())&amp;IF(Changed!$H578&gt;Base!$H566,"↑",IF(Changed!$H578&lt;Base!$H566," ↓",""))</f>
        <v>50</v>
      </c>
      <c r="I566" s="7" t="str" cm="1">
        <f t="array" ref="I566">INDEX(Changed!$I:$I,ROW())&amp;IF(Changed!$I578&gt;Base!$I566,"↑",IF(Changed!$I578&lt;Base!$I566," ↓",""))</f>
        <v>105 ↓</v>
      </c>
      <c r="J566" s="7" t="str" cm="1">
        <f t="array" ref="J566">INDEX(Changed!$J:$J,ROW())&amp;IF(Changed!$J578&gt;Base!$J566,"↑",IF(Changed!$J578&lt;Base!$J566," ↓",""))</f>
        <v>95 ↓</v>
      </c>
      <c r="K566" s="7" t="str" cm="1">
        <f t="array" ref="K566">INDEX(Changed!$K:$K,ROW())&amp;IF(Changed!$K578&gt;Base!$K566,"↑",IF(Changed!$K578&lt;Base!$K566," ↓",""))</f>
        <v>55 ↓</v>
      </c>
      <c r="L566" s="7" t="str" cm="1">
        <f t="array" ref="L566">INDEX(Changed!$L:$L,ROW())&amp;IF(Changed!$L578&gt;Base!$L566,"↑",IF(Changed!$L578&lt;Base!$L566," ↓",""))</f>
        <v>80</v>
      </c>
      <c r="M566" s="7" t="str" cm="1">
        <f t="array" ref="M566">INDEX(Changed!$M:$M,ROW())&amp;IF(Changed!$M578&gt;Base!$M566,"↑",IF(Changed!$M578&lt;Base!$M566," ↓",""))</f>
        <v>50 ↓</v>
      </c>
      <c r="N566" s="19">
        <f>Changed!G578-Base!G566</f>
        <v>-50</v>
      </c>
    </row>
    <row r="567" spans="1:14" ht="15.75" customHeight="1" x14ac:dyDescent="0.2">
      <c r="A567" s="4" t="s">
        <v>1343</v>
      </c>
      <c r="B567" s="5" t="s">
        <v>1292</v>
      </c>
      <c r="C567" s="6" t="str">
        <f>IF(Changed!C579&lt;&gt;"", Changed!C579, "")</f>
        <v>Steel</v>
      </c>
      <c r="D567" s="6" t="str">
        <f>IF(Changed!D579&lt;&gt;"", Changed!D579, "")</f>
        <v>Psychic</v>
      </c>
      <c r="E567" s="6" t="str">
        <f>IF(Changed!E579&lt;&gt;"", Changed!E579, "")</f>
        <v>Levitate</v>
      </c>
      <c r="F567" s="6" t="str">
        <f>IF(Changed!F579&lt;&gt;"", Changed!F579, "")</f>
        <v/>
      </c>
      <c r="G567" s="7" t="str" cm="1">
        <f t="array" ref="G567">INDEX(Changed!$G:$G,ROW())&amp;IF(Changed!$G579&gt;Base!$G567,"↑",IF(Changed!$G579&lt;Base!$G567," ↓",""))</f>
        <v>585 ↓</v>
      </c>
      <c r="H567" s="7" t="str" cm="1">
        <f t="array" ref="H567">INDEX(Changed!$H:$H,ROW())&amp;IF(Changed!$H579&gt;Base!$H567,"↑",IF(Changed!$H579&lt;Base!$H567," ↓",""))</f>
        <v>70</v>
      </c>
      <c r="I567" s="7" t="str" cm="1">
        <f t="array" ref="I567">INDEX(Changed!$I:$I,ROW())&amp;IF(Changed!$I579&gt;Base!$I567,"↑",IF(Changed!$I579&lt;Base!$I567," ↓",""))</f>
        <v>120</v>
      </c>
      <c r="J567" s="7" t="str" cm="1">
        <f t="array" ref="J567">INDEX(Changed!$J:$J,ROW())&amp;IF(Changed!$J579&gt;Base!$J567,"↑",IF(Changed!$J579&lt;Base!$J567," ↓",""))</f>
        <v>205 ↓</v>
      </c>
      <c r="K567" s="7" t="str" cm="1">
        <f t="array" ref="K567">INDEX(Changed!$K:$K,ROW())&amp;IF(Changed!$K579&gt;Base!$K567,"↑",IF(Changed!$K579&lt;Base!$K567," ↓",""))</f>
        <v>60 ↓</v>
      </c>
      <c r="L567" s="7" t="str" cm="1">
        <f t="array" ref="L567">INDEX(Changed!$L:$L,ROW())&amp;IF(Changed!$L579&gt;Base!$L567,"↑",IF(Changed!$L579&lt;Base!$L567," ↓",""))</f>
        <v>80 ↓</v>
      </c>
      <c r="M567" s="7" t="str" cm="1">
        <f t="array" ref="M567">INDEX(Changed!$M:$M,ROW())&amp;IF(Changed!$M579&gt;Base!$M567,"↑",IF(Changed!$M579&lt;Base!$M567," ↓",""))</f>
        <v>50 ↓</v>
      </c>
      <c r="N567" s="19">
        <f>Changed!G579-Base!G567</f>
        <v>-55</v>
      </c>
    </row>
    <row r="568" spans="1:14" ht="15.75" customHeight="1" x14ac:dyDescent="0.2">
      <c r="A568" s="4" t="s">
        <v>1344</v>
      </c>
      <c r="B568" s="5" t="s">
        <v>1277</v>
      </c>
      <c r="C568" s="6" t="str">
        <f>IF(Changed!C580&lt;&gt;"", Changed!C580, "")</f>
        <v>Dragon</v>
      </c>
      <c r="D568" s="6" t="str">
        <f>IF(Changed!D580&lt;&gt;"", Changed!D580, "")</f>
        <v>Psychic</v>
      </c>
      <c r="E568" s="6" t="str">
        <f>IF(Changed!E580&lt;&gt;"", Changed!E580, "")</f>
        <v>Levitate</v>
      </c>
      <c r="F568" s="6" t="str">
        <f>IF(Changed!F580&lt;&gt;"", Changed!F580, "")</f>
        <v/>
      </c>
      <c r="G568" s="7" t="str" cm="1">
        <f t="array" ref="G568">INDEX(Changed!$G:$G,ROW())&amp;IF(Changed!$G580&gt;Base!$G568,"↑",IF(Changed!$G580&lt;Base!$G568," ↓",""))</f>
        <v>465 ↓</v>
      </c>
      <c r="H568" s="7" t="str" cm="1">
        <f t="array" ref="H568">INDEX(Changed!$H:$H,ROW())&amp;IF(Changed!$H580&gt;Base!$H568,"↑",IF(Changed!$H580&lt;Base!$H568," ↓",""))</f>
        <v>60</v>
      </c>
      <c r="I568" s="7" t="str" cm="1">
        <f t="array" ref="I568">INDEX(Changed!$I:$I,ROW())&amp;IF(Changed!$I580&gt;Base!$I568,"↑",IF(Changed!$I580&lt;Base!$I568," ↓",""))</f>
        <v>90 ↓</v>
      </c>
      <c r="J568" s="7" t="str" cm="1">
        <f t="array" ref="J568">INDEX(Changed!$J:$J,ROW())&amp;IF(Changed!$J580&gt;Base!$J568,"↑",IF(Changed!$J580&lt;Base!$J568," ↓",""))</f>
        <v>75 ↓</v>
      </c>
      <c r="K568" s="7" t="str" cm="1">
        <f t="array" ref="K568">INDEX(Changed!$K:$K,ROW())&amp;IF(Changed!$K580&gt;Base!$K568,"↑",IF(Changed!$K580&lt;Base!$K568," ↓",""))</f>
        <v>60 ↓</v>
      </c>
      <c r="L568" s="7" t="str" cm="1">
        <f t="array" ref="L568">INDEX(Changed!$L:$L,ROW())&amp;IF(Changed!$L580&gt;Base!$L568,"↑",IF(Changed!$L580&lt;Base!$L568," ↓",""))</f>
        <v>75 ↓</v>
      </c>
      <c r="M568" s="7" t="str" cm="1">
        <f t="array" ref="M568">INDEX(Changed!$M:$M,ROW())&amp;IF(Changed!$M580&gt;Base!$M568,"↑",IF(Changed!$M580&lt;Base!$M568," ↓",""))</f>
        <v>105</v>
      </c>
      <c r="N568" s="19">
        <f>Changed!G580-Base!G568</f>
        <v>-45</v>
      </c>
    </row>
    <row r="569" spans="1:14" ht="15.75" customHeight="1" x14ac:dyDescent="0.2">
      <c r="A569" s="4" t="s">
        <v>1345</v>
      </c>
      <c r="B569" s="5" t="s">
        <v>1278</v>
      </c>
      <c r="C569" s="6" t="str">
        <f>IF(Changed!C581&lt;&gt;"", Changed!C581, "")</f>
        <v>Dragon</v>
      </c>
      <c r="D569" s="6" t="str">
        <f>IF(Changed!D581&lt;&gt;"", Changed!D581, "")</f>
        <v>Psychic</v>
      </c>
      <c r="E569" s="6" t="str">
        <f>IF(Changed!E581&lt;&gt;"", Changed!E581, "")</f>
        <v>Levitate</v>
      </c>
      <c r="F569" s="6" t="str">
        <f>IF(Changed!F581&lt;&gt;"", Changed!F581, "")</f>
        <v/>
      </c>
      <c r="G569" s="7" t="str" cm="1">
        <f t="array" ref="G569">INDEX(Changed!$G:$G,ROW())&amp;IF(Changed!$G581&gt;Base!$G569,"↑",IF(Changed!$G581&lt;Base!$G569," ↓",""))</f>
        <v>530 ↓</v>
      </c>
      <c r="H569" s="7" t="str" cm="1">
        <f t="array" ref="H569">INDEX(Changed!$H:$H,ROW())&amp;IF(Changed!$H581&gt;Base!$H569,"↑",IF(Changed!$H581&lt;Base!$H569," ↓",""))</f>
        <v>70</v>
      </c>
      <c r="I569" s="7" t="str" cm="1">
        <f t="array" ref="I569">INDEX(Changed!$I:$I,ROW())&amp;IF(Changed!$I581&gt;Base!$I569,"↑",IF(Changed!$I581&lt;Base!$I569," ↓",""))</f>
        <v>70 ↓</v>
      </c>
      <c r="J569" s="7" t="str" cm="1">
        <f t="array" ref="J569">INDEX(Changed!$J:$J,ROW())&amp;IF(Changed!$J581&gt;Base!$J569,"↑",IF(Changed!$J581&lt;Base!$J569," ↓",""))</f>
        <v>70 ↓</v>
      </c>
      <c r="K569" s="7" t="str" cm="1">
        <f t="array" ref="K569">INDEX(Changed!$K:$K,ROW())&amp;IF(Changed!$K581&gt;Base!$K569,"↑",IF(Changed!$K581&lt;Base!$K569," ↓",""))</f>
        <v>125 ↓</v>
      </c>
      <c r="L569" s="7" t="str" cm="1">
        <f t="array" ref="L569">INDEX(Changed!$L:$L,ROW())&amp;IF(Changed!$L581&gt;Base!$L569,"↑",IF(Changed!$L581&lt;Base!$L569," ↓",""))</f>
        <v>70 ↓</v>
      </c>
      <c r="M569" s="7" t="str" cm="1">
        <f t="array" ref="M569">INDEX(Changed!$M:$M,ROW())&amp;IF(Changed!$M581&gt;Base!$M569,"↑",IF(Changed!$M581&lt;Base!$M569," ↓",""))</f>
        <v>125</v>
      </c>
      <c r="N569" s="19">
        <f>Changed!G581-Base!G569</f>
        <v>-45</v>
      </c>
    </row>
    <row r="570" spans="1:14" ht="15.75" customHeight="1" x14ac:dyDescent="0.2">
      <c r="A570" s="4" t="s">
        <v>1346</v>
      </c>
      <c r="B570" s="5" t="s">
        <v>1297</v>
      </c>
      <c r="C570" s="6" t="str">
        <f>IF(Changed!C582&lt;&gt;"", Changed!C582, "")</f>
        <v>Water</v>
      </c>
      <c r="D570" s="6" t="str">
        <f>IF(Changed!D582&lt;&gt;"", Changed!D582, "")</f>
        <v/>
      </c>
      <c r="E570" s="6" t="str">
        <f>IF(Changed!E582&lt;&gt;"", Changed!E582, "")</f>
        <v>Primordial Sea</v>
      </c>
      <c r="F570" s="6">
        <f>IF(Changed!F582&lt;&gt;"", Changed!F582, "")</f>
        <v>707</v>
      </c>
      <c r="G570" s="7" t="str" cm="1">
        <f t="array" ref="G570">INDEX(Changed!$G:$G,ROW())&amp;IF(Changed!$G582&gt;Base!$G570,"↑",IF(Changed!$G582&lt;Base!$G570," ↓",""))</f>
        <v>515 ↓</v>
      </c>
      <c r="H570" s="7" t="str" cm="1">
        <f t="array" ref="H570">INDEX(Changed!$H:$H,ROW())&amp;IF(Changed!$H582&gt;Base!$H570,"↑",IF(Changed!$H582&lt;Base!$H570," ↓",""))</f>
        <v>70</v>
      </c>
      <c r="I570" s="7" t="str" cm="1">
        <f t="array" ref="I570">INDEX(Changed!$I:$I,ROW())&amp;IF(Changed!$I582&gt;Base!$I570,"↑",IF(Changed!$I582&lt;Base!$I570," ↓",""))</f>
        <v>130 ↓</v>
      </c>
      <c r="J570" s="7" t="str" cm="1">
        <f t="array" ref="J570">INDEX(Changed!$J:$J,ROW())&amp;IF(Changed!$J582&gt;Base!$J570,"↑",IF(Changed!$J582&lt;Base!$J570," ↓",""))</f>
        <v>60</v>
      </c>
      <c r="K570" s="7" t="str" cm="1">
        <f t="array" ref="K570">INDEX(Changed!$K:$K,ROW())&amp;IF(Changed!$K582&gt;Base!$K570,"↑",IF(Changed!$K582&lt;Base!$K570," ↓",""))</f>
        <v>95 ↓</v>
      </c>
      <c r="L570" s="7" t="str" cm="1">
        <f t="array" ref="L570">INDEX(Changed!$L:$L,ROW())&amp;IF(Changed!$L582&gt;Base!$L570,"↑",IF(Changed!$L582&lt;Base!$L570," ↓",""))</f>
        <v>55 ↓</v>
      </c>
      <c r="M570" s="7" t="str" cm="1">
        <f t="array" ref="M570">INDEX(Changed!$M:$M,ROW())&amp;IF(Changed!$M582&gt;Base!$M570,"↑",IF(Changed!$M582&lt;Base!$M570," ↓",""))</f>
        <v>105 ↓</v>
      </c>
      <c r="N570" s="19">
        <f>Changed!G582-Base!G570</f>
        <v>-72</v>
      </c>
    </row>
    <row r="571" spans="1:14" ht="15.75" customHeight="1" x14ac:dyDescent="0.2">
      <c r="A571" s="4" t="s">
        <v>1347</v>
      </c>
      <c r="B571" s="5" t="s">
        <v>1298</v>
      </c>
      <c r="C571" s="6" t="str">
        <f>IF(Changed!C583&lt;&gt;"", Changed!C583, "")</f>
        <v>Ground</v>
      </c>
      <c r="D571" s="6" t="str">
        <f>IF(Changed!D583&lt;&gt;"", Changed!D583, "")</f>
        <v>Fire</v>
      </c>
      <c r="E571" s="6" t="str">
        <f>IF(Changed!E583&lt;&gt;"", Changed!E583, "")</f>
        <v>Desolate Land</v>
      </c>
      <c r="F571" s="6">
        <f>IF(Changed!F583&lt;&gt;"", Changed!F583, "")</f>
        <v>707</v>
      </c>
      <c r="G571" s="7" t="str" cm="1">
        <f t="array" ref="G571">INDEX(Changed!$G:$G,ROW())&amp;IF(Changed!$G583&gt;Base!$G571,"↑",IF(Changed!$G583&lt;Base!$G571," ↓",""))</f>
        <v>515 ↓</v>
      </c>
      <c r="H571" s="7" t="str" cm="1">
        <f t="array" ref="H571">INDEX(Changed!$H:$H,ROW())&amp;IF(Changed!$H583&gt;Base!$H571,"↑",IF(Changed!$H583&lt;Base!$H571," ↓",""))</f>
        <v>70</v>
      </c>
      <c r="I571" s="7" t="str" cm="1">
        <f t="array" ref="I571">INDEX(Changed!$I:$I,ROW())&amp;IF(Changed!$I583&gt;Base!$I571,"↑",IF(Changed!$I583&lt;Base!$I571," ↓",""))</f>
        <v>105 ↓</v>
      </c>
      <c r="J571" s="7" t="str" cm="1">
        <f t="array" ref="J571">INDEX(Changed!$J:$J,ROW())&amp;IF(Changed!$J583&gt;Base!$J571,"↑",IF(Changed!$J583&lt;Base!$J571," ↓",""))</f>
        <v>105 ↓</v>
      </c>
      <c r="K571" s="7" t="str" cm="1">
        <f t="array" ref="K571">INDEX(Changed!$K:$K,ROW())&amp;IF(Changed!$K583&gt;Base!$K571,"↑",IF(Changed!$K583&lt;Base!$K571," ↓",""))</f>
        <v>125 ↓</v>
      </c>
      <c r="L571" s="7" t="str" cm="1">
        <f t="array" ref="L571">INDEX(Changed!$L:$L,ROW())&amp;IF(Changed!$L583&gt;Base!$L571,"↑",IF(Changed!$L583&lt;Base!$L571," ↓",""))</f>
        <v>90</v>
      </c>
      <c r="M571" s="7" t="str" cm="1">
        <f t="array" ref="M571">INDEX(Changed!$M:$M,ROW())&amp;IF(Changed!$M583&gt;Base!$M571,"↑",IF(Changed!$M583&lt;Base!$M571," ↓",""))</f>
        <v>20 ↓</v>
      </c>
      <c r="N571" s="19">
        <f>Changed!G583-Base!G571</f>
        <v>-63</v>
      </c>
    </row>
    <row r="572" spans="1:14" ht="15.75" customHeight="1" x14ac:dyDescent="0.2">
      <c r="A572" s="4" t="s">
        <v>1348</v>
      </c>
      <c r="B572" s="5" t="s">
        <v>1299</v>
      </c>
      <c r="C572" s="6" t="str">
        <f>IF(Changed!C584&lt;&gt;"", Changed!C584, "")</f>
        <v>Dragon</v>
      </c>
      <c r="D572" s="6" t="str">
        <f>IF(Changed!D584&lt;&gt;"", Changed!D584, "")</f>
        <v/>
      </c>
      <c r="E572" s="6" t="str">
        <f>IF(Changed!E584&lt;&gt;"", Changed!E584, "")</f>
        <v>Delta Stream</v>
      </c>
      <c r="F572" s="6">
        <f>IF(Changed!F584&lt;&gt;"", Changed!F584, "")</f>
        <v>725</v>
      </c>
      <c r="G572" s="7" t="str" cm="1">
        <f t="array" ref="G572">INDEX(Changed!$G:$G,ROW())&amp;IF(Changed!$G584&gt;Base!$G572,"↑",IF(Changed!$G584&lt;Base!$G572," ↓",""))</f>
        <v>545 ↓</v>
      </c>
      <c r="H572" s="7" t="str" cm="1">
        <f t="array" ref="H572">INDEX(Changed!$H:$H,ROW())&amp;IF(Changed!$H584&gt;Base!$H572,"↑",IF(Changed!$H584&lt;Base!$H572," ↓",""))</f>
        <v>75</v>
      </c>
      <c r="I572" s="7" t="str" cm="1">
        <f t="array" ref="I572">INDEX(Changed!$I:$I,ROW())&amp;IF(Changed!$I584&gt;Base!$I572,"↑",IF(Changed!$I584&lt;Base!$I572," ↓",""))</f>
        <v>90 ↓</v>
      </c>
      <c r="J572" s="7" t="str" cm="1">
        <f t="array" ref="J572">INDEX(Changed!$J:$J,ROW())&amp;IF(Changed!$J584&gt;Base!$J572,"↑",IF(Changed!$J584&lt;Base!$J572," ↓",""))</f>
        <v>105 ↓</v>
      </c>
      <c r="K572" s="7" t="str" cm="1">
        <f t="array" ref="K572">INDEX(Changed!$K:$K,ROW())&amp;IF(Changed!$K584&gt;Base!$K572,"↑",IF(Changed!$K584&lt;Base!$K572," ↓",""))</f>
        <v>90 ↓</v>
      </c>
      <c r="L572" s="7" t="str" cm="1">
        <f t="array" ref="L572">INDEX(Changed!$L:$L,ROW())&amp;IF(Changed!$L584&gt;Base!$L572,"↑",IF(Changed!$L584&lt;Base!$L572," ↓",""))</f>
        <v>105 ↓</v>
      </c>
      <c r="M572" s="7" t="str" cm="1">
        <f t="array" ref="M572">INDEX(Changed!$M:$M,ROW())&amp;IF(Changed!$M584&gt;Base!$M572,"↑",IF(Changed!$M584&lt;Base!$M572," ↓",""))</f>
        <v>80 ↓</v>
      </c>
      <c r="N572" s="19">
        <f>Changed!G584-Base!G572</f>
        <v>-55</v>
      </c>
    </row>
    <row r="573" spans="1:14" ht="15.75" customHeight="1" x14ac:dyDescent="0.2">
      <c r="A573" s="4" t="s">
        <v>1385</v>
      </c>
      <c r="B573" s="5" t="s">
        <v>1383</v>
      </c>
      <c r="C573" s="6" t="str">
        <f>IF(Changed!C586&lt;&gt;"", Changed!C586, "")</f>
        <v>Normal</v>
      </c>
      <c r="D573" s="6" t="str">
        <f>IF(Changed!D586&lt;&gt;"", Changed!D586, "")</f>
        <v>Fighting</v>
      </c>
      <c r="E573" s="6" t="str">
        <f>IF(Changed!E586&lt;&gt;"", Changed!E586, "")</f>
        <v>Scrappy</v>
      </c>
      <c r="F573" s="6" t="str">
        <f>IF(Changed!F586&lt;&gt;"", Changed!F586, "")</f>
        <v/>
      </c>
      <c r="G573" s="7" t="str" cm="1">
        <f t="array" ref="G573">INDEX(Changed!$G:$G,ROW())&amp;IF(Changed!$G586&gt;Base!$G573,"↑",IF(Changed!$G586&lt;Base!$G573," ↓",""))</f>
        <v>510 ↓</v>
      </c>
      <c r="H573" s="7" t="str" cm="1">
        <f t="array" ref="H573">INDEX(Changed!$H:$H,ROW())&amp;IF(Changed!$H586&gt;Base!$H573,"↑",IF(Changed!$H586&lt;Base!$H573," ↓",""))</f>
        <v>64 ↓</v>
      </c>
      <c r="I573" s="7" t="str" cm="1">
        <f t="array" ref="I573">INDEX(Changed!$I:$I,ROW())&amp;IF(Changed!$I586&gt;Base!$I573,"↑",IF(Changed!$I586&lt;Base!$I573," ↓",""))</f>
        <v>140 ↓</v>
      </c>
      <c r="J573" s="7" t="str" cm="1">
        <f t="array" ref="J573">INDEX(Changed!$J:$J,ROW())&amp;IF(Changed!$J586&gt;Base!$J573,"↑",IF(Changed!$J586&lt;Base!$J573," ↓",""))</f>
        <v>70 ↓</v>
      </c>
      <c r="K573" s="7" t="str" cm="1">
        <f t="array" ref="K573">INDEX(Changed!$K:$K,ROW())&amp;IF(Changed!$K586&gt;Base!$K573,"↑",IF(Changed!$K586&lt;Base!$K573," ↓",""))</f>
        <v>93 ↓</v>
      </c>
      <c r="L573" s="7" t="str" cm="1">
        <f t="array" ref="L573">INDEX(Changed!$L:$L,ROW())&amp;IF(Changed!$L586&gt;Base!$L573,"↑",IF(Changed!$L586&lt;Base!$L573," ↓",""))</f>
        <v>68 ↓</v>
      </c>
      <c r="M573" s="7" t="str" cm="1">
        <f t="array" ref="M573">INDEX(Changed!$M:$M,ROW())&amp;IF(Changed!$M586&gt;Base!$M573,"↑",IF(Changed!$M586&lt;Base!$M573," ↓",""))</f>
        <v>75 ↓</v>
      </c>
      <c r="N573" s="19">
        <f>Changed!G586-Base!G573</f>
        <v>-580</v>
      </c>
    </row>
    <row r="574" spans="1:14" ht="15.75" customHeight="1" x14ac:dyDescent="0.2">
      <c r="A574" s="4" t="s">
        <v>1349</v>
      </c>
      <c r="B574" s="5" t="s">
        <v>1279</v>
      </c>
      <c r="C574" s="6" t="str">
        <f>IF(Changed!C587&lt;&gt;"", Changed!C587, "")</f>
        <v>Dragon</v>
      </c>
      <c r="D574" s="6" t="str">
        <f>IF(Changed!D587&lt;&gt;"", Changed!D587, "")</f>
        <v>Ground</v>
      </c>
      <c r="E574" s="6" t="str">
        <f>IF(Changed!E587&lt;&gt;"", Changed!E587, "")</f>
        <v>Dragon's Maw</v>
      </c>
      <c r="F574" s="6" t="str">
        <f>IF(Changed!F587&lt;&gt;"", Changed!F587, "")</f>
        <v/>
      </c>
      <c r="G574" s="7" t="str" cm="1">
        <f t="array" ref="G574">INDEX(Changed!$G:$G,ROW())&amp;IF(Changed!$G587&gt;Base!$G574,"↑",IF(Changed!$G587&lt;Base!$G574," ↓",""))</f>
        <v>510 ↓</v>
      </c>
      <c r="H574" s="7" t="str" cm="1">
        <f t="array" ref="H574">INDEX(Changed!$H:$H,ROW())&amp;IF(Changed!$H587&gt;Base!$H574,"↑",IF(Changed!$H587&lt;Base!$H574," ↓",""))</f>
        <v>75 ↓</v>
      </c>
      <c r="I574" s="7" t="str" cm="1">
        <f t="array" ref="I574">INDEX(Changed!$I:$I,ROW())&amp;IF(Changed!$I587&gt;Base!$I574,"↑",IF(Changed!$I587&lt;Base!$I574," ↓",""))</f>
        <v>50 ↓</v>
      </c>
      <c r="J574" s="7" t="str" cm="1">
        <f t="array" ref="J574">INDEX(Changed!$J:$J,ROW())&amp;IF(Changed!$J587&gt;Base!$J574,"↑",IF(Changed!$J587&lt;Base!$J574," ↓",""))</f>
        <v>100 ↓</v>
      </c>
      <c r="K574" s="7" t="str" cm="1">
        <f t="array" ref="K574">INDEX(Changed!$K:$K,ROW())&amp;IF(Changed!$K587&gt;Base!$K574,"↑",IF(Changed!$K587&lt;Base!$K574," ↓",""))</f>
        <v>110 ↓</v>
      </c>
      <c r="L574" s="7" t="str" cm="1">
        <f t="array" ref="L574">INDEX(Changed!$L:$L,ROW())&amp;IF(Changed!$L587&gt;Base!$L574,"↑",IF(Changed!$L587&lt;Base!$L574," ↓",""))</f>
        <v>110 ↓</v>
      </c>
      <c r="M574" s="7" t="str" cm="1">
        <f t="array" ref="M574">INDEX(Changed!$M:$M,ROW())&amp;IF(Changed!$M587&gt;Base!$M574,"↑",IF(Changed!$M587&lt;Base!$M574," ↓",""))</f>
        <v>65 ↓</v>
      </c>
      <c r="N574" s="19">
        <f>Changed!G587-Base!G574</f>
        <v>-700</v>
      </c>
    </row>
    <row r="575" spans="1:14" ht="15.75" customHeight="1" x14ac:dyDescent="0.2">
      <c r="A575" s="4" t="s">
        <v>1350</v>
      </c>
      <c r="B575" s="5" t="s">
        <v>1280</v>
      </c>
      <c r="C575" s="6" t="str">
        <f>IF(Changed!C589&lt;&gt;"", Changed!C589, "")</f>
        <v>Fighting</v>
      </c>
      <c r="D575" s="6" t="str">
        <f>IF(Changed!D589&lt;&gt;"", Changed!D589, "")</f>
        <v>Steel</v>
      </c>
      <c r="E575" s="6" t="str">
        <f>IF(Changed!E589&lt;&gt;"", Changed!E589, "")</f>
        <v>Adaptability</v>
      </c>
      <c r="F575" s="6" t="str">
        <f>IF(Changed!F589&lt;&gt;"", Changed!F589, "")</f>
        <v/>
      </c>
      <c r="G575" s="7" t="str" cm="1">
        <f t="array" ref="G575">INDEX(Changed!$G:$G,ROW())&amp;IF(Changed!$G589&gt;Base!$G575,"↑",IF(Changed!$G589&lt;Base!$G575," ↓",""))</f>
        <v>520 ↓</v>
      </c>
      <c r="H575" s="7" t="str" cm="1">
        <f t="array" ref="H575">INDEX(Changed!$H:$H,ROW())&amp;IF(Changed!$H589&gt;Base!$H575,"↑",IF(Changed!$H589&lt;Base!$H575," ↓",""))</f>
        <v>65 ↓</v>
      </c>
      <c r="I575" s="7" t="str" cm="1">
        <f t="array" ref="I575">INDEX(Changed!$I:$I,ROW())&amp;IF(Changed!$I589&gt;Base!$I575,"↑",IF(Changed!$I589&lt;Base!$I575," ↓",""))</f>
        <v>130 ↓</v>
      </c>
      <c r="J575" s="7" t="str" cm="1">
        <f t="array" ref="J575">INDEX(Changed!$J:$J,ROW())&amp;IF(Changed!$J589&gt;Base!$J575,"↑",IF(Changed!$J589&lt;Base!$J575," ↓",""))</f>
        <v>60 ↓</v>
      </c>
      <c r="K575" s="7" t="str" cm="1">
        <f t="array" ref="K575">INDEX(Changed!$K:$K,ROW())&amp;IF(Changed!$K589&gt;Base!$K575,"↑",IF(Changed!$K589&lt;Base!$K575," ↓",""))</f>
        <v>90 ↓</v>
      </c>
      <c r="L575" s="7" t="str" cm="1">
        <f t="array" ref="L575">INDEX(Changed!$L:$L,ROW())&amp;IF(Changed!$L589&gt;Base!$L575,"↑",IF(Changed!$L589&lt;Base!$L575," ↓",""))</f>
        <v>100 ↓</v>
      </c>
      <c r="M575" s="7" t="str" cm="1">
        <f t="array" ref="M575">INDEX(Changed!$M:$M,ROW())&amp;IF(Changed!$M589&gt;Base!$M575,"↑",IF(Changed!$M589&lt;Base!$M575," ↓",""))</f>
        <v>75 ↓</v>
      </c>
      <c r="N575" s="19">
        <f>Changed!G589-Base!G575</f>
        <v>-625</v>
      </c>
    </row>
    <row r="576" spans="1:14" ht="15.75" customHeight="1" x14ac:dyDescent="0.2">
      <c r="A576" s="15" t="s">
        <v>1351</v>
      </c>
      <c r="B576" s="5" t="s">
        <v>1281</v>
      </c>
      <c r="C576" s="6" t="str">
        <f>IF(Changed!C591&lt;&gt;"", Changed!C591, "")</f>
        <v>Grass</v>
      </c>
      <c r="D576" s="6" t="str">
        <f>IF(Changed!D591&lt;&gt;"", Changed!D591, "")</f>
        <v>Ice</v>
      </c>
      <c r="E576" s="6" t="str">
        <f>IF(Changed!E591&lt;&gt;"", Changed!E591, "")</f>
        <v>Snow Warning</v>
      </c>
      <c r="G576" s="7" t="str" cm="1">
        <f t="array" ref="G576">INDEX(Changed!$G:$G,ROW())&amp;IF(Changed!$G591&gt;Base!$G576,"↑",IF(Changed!$G591&lt;Base!$G576," ↓",""))</f>
        <v>520 ↓</v>
      </c>
      <c r="H576" s="7" t="str" cm="1">
        <f t="array" ref="H576">INDEX(Changed!$H:$H,ROW())&amp;IF(Changed!$H591&gt;Base!$H576,"↑",IF(Changed!$H591&lt;Base!$H576," ↓",""))</f>
        <v>65 ↓</v>
      </c>
      <c r="I576" s="7" t="str" cm="1">
        <f t="array" ref="I576">INDEX(Changed!$I:$I,ROW())&amp;IF(Changed!$I591&gt;Base!$I576,"↑",IF(Changed!$I591&lt;Base!$I576," ↓",""))</f>
        <v>135 ↓</v>
      </c>
      <c r="J576" s="7" t="str" cm="1">
        <f t="array" ref="J576">INDEX(Changed!$J:$J,ROW())&amp;IF(Changed!$J591&gt;Base!$J576,"↑",IF(Changed!$J591&lt;Base!$J576," ↓",""))</f>
        <v>60 ↓</v>
      </c>
      <c r="K576" s="7" t="str" cm="1">
        <f t="array" ref="K576">INDEX(Changed!$K:$K,ROW())&amp;IF(Changed!$K591&gt;Base!$K576,"↑",IF(Changed!$K591&lt;Base!$K576," ↓",""))</f>
        <v>75 ↓</v>
      </c>
      <c r="L576" s="7" t="str" cm="1">
        <f t="array" ref="L576">INDEX(Changed!$L:$L,ROW())&amp;IF(Changed!$L591&gt;Base!$L576,"↑",IF(Changed!$L591&lt;Base!$L576," ↓",""))</f>
        <v>60 ↓</v>
      </c>
      <c r="M576" s="7" t="str" cm="1">
        <f t="array" ref="M576">INDEX(Changed!$M:$M,ROW())&amp;IF(Changed!$M591&gt;Base!$M576,"↑",IF(Changed!$M591&lt;Base!$M576," ↓",""))</f>
        <v>125 ↓</v>
      </c>
      <c r="N576" s="19">
        <f>Changed!G591-Base!G576</f>
        <v>-594</v>
      </c>
    </row>
    <row r="577" spans="3:14" ht="15.75" customHeight="1" x14ac:dyDescent="0.2">
      <c r="C577" s="6" t="str">
        <f>IF(Changed!C592&lt;&gt;"", Changed!C592, "")</f>
        <v>Ice</v>
      </c>
      <c r="D577" s="6" t="str">
        <f>IF(Changed!D592&lt;&gt;"", Changed!D592, "")</f>
        <v>Ghost</v>
      </c>
      <c r="N577" s="19">
        <f>Changed!G592-Base!G577</f>
        <v>0</v>
      </c>
    </row>
    <row r="578" spans="3:14" ht="15.75" customHeight="1" x14ac:dyDescent="0.2">
      <c r="C578" s="6" t="str">
        <f>IF(Changed!C593&lt;&gt;"", Changed!C593, "")</f>
        <v>Fire</v>
      </c>
      <c r="D578" s="6" t="str">
        <f>IF(Changed!D593&lt;&gt;"", Changed!D593, "")</f>
        <v>Steel</v>
      </c>
      <c r="N578" s="19">
        <f>Changed!G593-Base!G578</f>
        <v>0</v>
      </c>
    </row>
    <row r="579" spans="3:14" ht="15.75" customHeight="1" x14ac:dyDescent="0.2">
      <c r="C579" s="6" t="str">
        <f>IF(Changed!C594&lt;&gt;"", Changed!C594, "")</f>
        <v>Dark</v>
      </c>
      <c r="D579" s="6" t="str">
        <f>IF(Changed!D594&lt;&gt;"", Changed!D594, "")</f>
        <v/>
      </c>
      <c r="N579" s="19">
        <f>Changed!G594-Base!G579</f>
        <v>0</v>
      </c>
    </row>
    <row r="580" spans="3:14" ht="15.75" customHeight="1" x14ac:dyDescent="0.2">
      <c r="C580" s="6" t="str">
        <f>IF(Changed!C595&lt;&gt;"", Changed!C595, "")</f>
        <v/>
      </c>
      <c r="D580" s="6" t="str">
        <f>IF(Changed!D595&lt;&gt;"", Changed!D595, "")</f>
        <v/>
      </c>
      <c r="N580" s="19">
        <f>Changed!G595-Base!G580</f>
        <v>0</v>
      </c>
    </row>
    <row r="581" spans="3:14" ht="15.75" customHeight="1" x14ac:dyDescent="0.2">
      <c r="C581" s="6" t="str">
        <f>IF(Changed!C596&lt;&gt;"", Changed!C596, "")</f>
        <v/>
      </c>
      <c r="D581" s="6" t="str">
        <f>IF(Changed!D596&lt;&gt;"", Changed!D596, "")</f>
        <v/>
      </c>
      <c r="N581" s="19">
        <f>Changed!G596-Base!G581</f>
        <v>0</v>
      </c>
    </row>
    <row r="582" spans="3:14" ht="15.75" customHeight="1" x14ac:dyDescent="0.2">
      <c r="C582" s="6" t="str">
        <f>IF(Changed!C597&lt;&gt;"", Changed!C597, "")</f>
        <v/>
      </c>
      <c r="D582" s="6" t="str">
        <f>IF(Changed!D597&lt;&gt;"", Changed!D597, "")</f>
        <v/>
      </c>
      <c r="N582" s="19">
        <f>Changed!G597-Base!G582</f>
        <v>0</v>
      </c>
    </row>
    <row r="583" spans="3:14" ht="15.75" customHeight="1" x14ac:dyDescent="0.2">
      <c r="C583" s="6" t="str">
        <f>IF(Changed!C598&lt;&gt;"", Changed!C598, "")</f>
        <v/>
      </c>
      <c r="D583" s="6" t="str">
        <f>IF(Changed!D598&lt;&gt;"", Changed!D598, "")</f>
        <v/>
      </c>
      <c r="N583" s="19">
        <f>Changed!G598-Base!G583</f>
        <v>0</v>
      </c>
    </row>
    <row r="584" spans="3:14" ht="15.75" customHeight="1" x14ac:dyDescent="0.2">
      <c r="C584" s="6" t="str">
        <f>IF(Changed!C599&lt;&gt;"", Changed!C599, "")</f>
        <v/>
      </c>
      <c r="D584" s="6" t="str">
        <f>IF(Changed!D599&lt;&gt;"", Changed!D599, "")</f>
        <v/>
      </c>
      <c r="N584" s="19">
        <f>Changed!G599-Base!G584</f>
        <v>0</v>
      </c>
    </row>
    <row r="585" spans="3:14" ht="15.75" customHeight="1" x14ac:dyDescent="0.2">
      <c r="C585" s="6" t="str">
        <f>IF(Changed!C600&lt;&gt;"", Changed!C600, "")</f>
        <v/>
      </c>
      <c r="D585" s="6" t="str">
        <f>IF(Changed!D600&lt;&gt;"", Changed!D600, "")</f>
        <v/>
      </c>
      <c r="N585" s="19">
        <f>Changed!G600-Base!G585</f>
        <v>0</v>
      </c>
    </row>
    <row r="586" spans="3:14" ht="15.75" customHeight="1" x14ac:dyDescent="0.2">
      <c r="C586" s="6" t="str">
        <f>IF(Changed!C601&lt;&gt;"", Changed!C601, "")</f>
        <v/>
      </c>
      <c r="D586" s="6" t="str">
        <f>IF(Changed!D601&lt;&gt;"", Changed!D601, "")</f>
        <v/>
      </c>
      <c r="N586" s="19">
        <f>Changed!G601-Base!G586</f>
        <v>0</v>
      </c>
    </row>
    <row r="587" spans="3:14" ht="15.75" customHeight="1" x14ac:dyDescent="0.2">
      <c r="C587" s="6" t="str">
        <f>IF(Changed!C602&lt;&gt;"", Changed!C602, "")</f>
        <v/>
      </c>
      <c r="D587" s="6" t="str">
        <f>IF(Changed!D602&lt;&gt;"", Changed!D602, "")</f>
        <v/>
      </c>
      <c r="N587" s="19">
        <f>Changed!G602-Base!G587</f>
        <v>0</v>
      </c>
    </row>
    <row r="588" spans="3:14" ht="15.75" customHeight="1" x14ac:dyDescent="0.2">
      <c r="C588" s="6" t="str">
        <f>IF(Changed!C603&lt;&gt;"", Changed!C603, "")</f>
        <v/>
      </c>
      <c r="D588" s="6" t="str">
        <f>IF(Changed!D603&lt;&gt;"", Changed!D603, "")</f>
        <v/>
      </c>
      <c r="N588" s="19">
        <f>Changed!G603-Base!G588</f>
        <v>0</v>
      </c>
    </row>
    <row r="589" spans="3:14" ht="15.75" customHeight="1" x14ac:dyDescent="0.2">
      <c r="C589" s="6" t="str">
        <f>IF(Changed!C604&lt;&gt;"", Changed!C604, "")</f>
        <v/>
      </c>
      <c r="D589" s="6" t="str">
        <f>IF(Changed!D604&lt;&gt;"", Changed!D604, "")</f>
        <v/>
      </c>
      <c r="N589" s="19">
        <f>Changed!G604-Base!G589</f>
        <v>0</v>
      </c>
    </row>
    <row r="590" spans="3:14" ht="15.75" customHeight="1" x14ac:dyDescent="0.2">
      <c r="C590" s="6" t="str">
        <f>IF(Changed!C605&lt;&gt;"", Changed!C605, "")</f>
        <v/>
      </c>
      <c r="D590" s="6" t="str">
        <f>IF(Changed!D605&lt;&gt;"", Changed!D605, "")</f>
        <v/>
      </c>
      <c r="N590" s="19">
        <f>Changed!G605-Base!G590</f>
        <v>0</v>
      </c>
    </row>
    <row r="591" spans="3:14" ht="15.75" customHeight="1" x14ac:dyDescent="0.2">
      <c r="C591" s="6" t="str">
        <f>IF(Changed!C606&lt;&gt;"", Changed!C606, "")</f>
        <v/>
      </c>
      <c r="D591" s="6" t="str">
        <f>IF(Changed!D606&lt;&gt;"", Changed!D606, "")</f>
        <v/>
      </c>
      <c r="N591" s="19">
        <f>Changed!G606-Base!G591</f>
        <v>0</v>
      </c>
    </row>
    <row r="592" spans="3:14" ht="15.75" customHeight="1" x14ac:dyDescent="0.2">
      <c r="C592" s="6" t="str">
        <f>IF(Changed!C607&lt;&gt;"", Changed!C607, "")</f>
        <v/>
      </c>
      <c r="D592" s="6" t="str">
        <f>IF(Changed!D607&lt;&gt;"", Changed!D607, "")</f>
        <v/>
      </c>
      <c r="N592" s="19">
        <f>Changed!G607-Base!G592</f>
        <v>0</v>
      </c>
    </row>
    <row r="593" spans="3:14" ht="15.75" customHeight="1" x14ac:dyDescent="0.2">
      <c r="C593" s="6" t="str">
        <f>IF(Changed!C608&lt;&gt;"", Changed!C608, "")</f>
        <v/>
      </c>
      <c r="D593" s="6" t="str">
        <f>IF(Changed!D608&lt;&gt;"", Changed!D608, "")</f>
        <v/>
      </c>
      <c r="N593" s="19">
        <f>Changed!G608-Base!G593</f>
        <v>0</v>
      </c>
    </row>
    <row r="594" spans="3:14" ht="15.75" customHeight="1" x14ac:dyDescent="0.2">
      <c r="C594" s="6" t="str">
        <f>IF(Changed!C609&lt;&gt;"", Changed!C609, "")</f>
        <v/>
      </c>
      <c r="D594" s="6" t="str">
        <f>IF(Changed!D609&lt;&gt;"", Changed!D609, "")</f>
        <v/>
      </c>
      <c r="N594" s="19">
        <f>Changed!G609-Base!G594</f>
        <v>0</v>
      </c>
    </row>
    <row r="595" spans="3:14" ht="15.75" customHeight="1" x14ac:dyDescent="0.2">
      <c r="C595" s="6" t="str">
        <f>IF(Changed!C610&lt;&gt;"", Changed!C610, "")</f>
        <v/>
      </c>
      <c r="D595" s="6" t="str">
        <f>IF(Changed!D610&lt;&gt;"", Changed!D610, "")</f>
        <v/>
      </c>
      <c r="N595" s="19">
        <f>Changed!G610-Base!G595</f>
        <v>0</v>
      </c>
    </row>
    <row r="596" spans="3:14" ht="15.75" customHeight="1" x14ac:dyDescent="0.2">
      <c r="C596" s="6" t="str">
        <f>IF(Changed!C611&lt;&gt;"", Changed!C611, "")</f>
        <v/>
      </c>
      <c r="D596" s="6" t="str">
        <f>IF(Changed!D611&lt;&gt;"", Changed!D611, "")</f>
        <v/>
      </c>
      <c r="N596" s="19">
        <f>Changed!G611-Base!G596</f>
        <v>0</v>
      </c>
    </row>
    <row r="597" spans="3:14" ht="15.75" customHeight="1" x14ac:dyDescent="0.2">
      <c r="C597" s="6" t="str">
        <f>IF(Changed!C612&lt;&gt;"", Changed!C612, "")</f>
        <v/>
      </c>
      <c r="D597" s="6" t="str">
        <f>IF(Changed!D612&lt;&gt;"", Changed!D612, "")</f>
        <v/>
      </c>
      <c r="N597" s="19">
        <f>Changed!G612-Base!G597</f>
        <v>0</v>
      </c>
    </row>
    <row r="598" spans="3:14" ht="15.75" customHeight="1" x14ac:dyDescent="0.2">
      <c r="C598" s="6" t="str">
        <f>IF(Changed!C613&lt;&gt;"", Changed!C613, "")</f>
        <v/>
      </c>
      <c r="D598" s="6" t="str">
        <f>IF(Changed!D613&lt;&gt;"", Changed!D613, "")</f>
        <v/>
      </c>
      <c r="N598" s="19">
        <f>Changed!G613-Base!G598</f>
        <v>0</v>
      </c>
    </row>
    <row r="599" spans="3:14" ht="15.75" customHeight="1" x14ac:dyDescent="0.2">
      <c r="C599" s="6" t="str">
        <f>IF(Changed!C614&lt;&gt;"", Changed!C614, "")</f>
        <v/>
      </c>
      <c r="D599" s="6" t="str">
        <f>IF(Changed!D614&lt;&gt;"", Changed!D614, "")</f>
        <v/>
      </c>
      <c r="N599" s="19">
        <f>Changed!G614-Base!G599</f>
        <v>0</v>
      </c>
    </row>
    <row r="600" spans="3:14" ht="15.75" customHeight="1" x14ac:dyDescent="0.2">
      <c r="C600" s="6" t="str">
        <f>IF(Changed!C615&lt;&gt;"", Changed!C615, "")</f>
        <v/>
      </c>
      <c r="D600" s="6" t="str">
        <f>IF(Changed!D615&lt;&gt;"", Changed!D615, "")</f>
        <v/>
      </c>
      <c r="N600" s="19">
        <f>Changed!G615-Base!G600</f>
        <v>0</v>
      </c>
    </row>
    <row r="601" spans="3:14" ht="15.75" customHeight="1" x14ac:dyDescent="0.2">
      <c r="C601" s="6" t="str">
        <f>IF(Changed!C616&lt;&gt;"", Changed!C616, "")</f>
        <v/>
      </c>
      <c r="D601" s="6" t="str">
        <f>IF(Changed!D616&lt;&gt;"", Changed!D616, "")</f>
        <v/>
      </c>
      <c r="N601" s="19">
        <f>Changed!G616-Base!G601</f>
        <v>0</v>
      </c>
    </row>
    <row r="602" spans="3:14" ht="15.75" customHeight="1" x14ac:dyDescent="0.2">
      <c r="C602" s="6" t="str">
        <f>IF(Changed!C617&lt;&gt;"", Changed!C617, "")</f>
        <v/>
      </c>
      <c r="D602" s="6" t="str">
        <f>IF(Changed!D617&lt;&gt;"", Changed!D617, "")</f>
        <v/>
      </c>
      <c r="N602" s="19">
        <f>Changed!G617-Base!G602</f>
        <v>0</v>
      </c>
    </row>
    <row r="603" spans="3:14" ht="15.75" customHeight="1" x14ac:dyDescent="0.2">
      <c r="C603" s="6" t="str">
        <f>IF(Changed!C618&lt;&gt;"", Changed!C618, "")</f>
        <v/>
      </c>
      <c r="D603" s="6" t="str">
        <f>IF(Changed!D618&lt;&gt;"", Changed!D618, "")</f>
        <v/>
      </c>
      <c r="N603" s="19">
        <f>Changed!G618-Base!G603</f>
        <v>0</v>
      </c>
    </row>
    <row r="604" spans="3:14" ht="15.75" customHeight="1" x14ac:dyDescent="0.2">
      <c r="C604" s="6" t="str">
        <f>IF(Changed!C619&lt;&gt;"", Changed!C619, "")</f>
        <v/>
      </c>
      <c r="D604" s="6" t="str">
        <f>IF(Changed!D619&lt;&gt;"", Changed!D619, "")</f>
        <v/>
      </c>
      <c r="N604" s="19">
        <f>Changed!G619-Base!G604</f>
        <v>0</v>
      </c>
    </row>
    <row r="605" spans="3:14" ht="15.75" customHeight="1" x14ac:dyDescent="0.2">
      <c r="C605" s="6" t="str">
        <f>IF(Changed!C620&lt;&gt;"", Changed!C620, "")</f>
        <v/>
      </c>
      <c r="D605" s="6" t="str">
        <f>IF(Changed!D620&lt;&gt;"", Changed!D620, "")</f>
        <v/>
      </c>
      <c r="N605" s="19">
        <f>Changed!G620-Base!G605</f>
        <v>0</v>
      </c>
    </row>
    <row r="606" spans="3:14" ht="15.75" customHeight="1" x14ac:dyDescent="0.2">
      <c r="C606" s="6" t="str">
        <f>IF(Changed!C621&lt;&gt;"", Changed!C621, "")</f>
        <v/>
      </c>
      <c r="D606" s="6" t="str">
        <f>IF(Changed!D621&lt;&gt;"", Changed!D621, "")</f>
        <v/>
      </c>
      <c r="N606" s="19">
        <f>Changed!G621-Base!G606</f>
        <v>0</v>
      </c>
    </row>
    <row r="607" spans="3:14" ht="15.75" customHeight="1" x14ac:dyDescent="0.2">
      <c r="C607" s="6" t="str">
        <f>IF(Changed!C622&lt;&gt;"", Changed!C622, "")</f>
        <v/>
      </c>
      <c r="D607" s="6" t="str">
        <f>IF(Changed!D622&lt;&gt;"", Changed!D622, "")</f>
        <v/>
      </c>
      <c r="N607" s="19">
        <f>Changed!G622-Base!G607</f>
        <v>0</v>
      </c>
    </row>
    <row r="608" spans="3:14" ht="15.75" customHeight="1" x14ac:dyDescent="0.2">
      <c r="C608" s="6" t="str">
        <f>IF(Changed!C623&lt;&gt;"", Changed!C623, "")</f>
        <v/>
      </c>
      <c r="D608" s="6" t="str">
        <f>IF(Changed!D623&lt;&gt;"", Changed!D623, "")</f>
        <v/>
      </c>
      <c r="N608" s="19">
        <f>Changed!G623-Base!G608</f>
        <v>0</v>
      </c>
    </row>
    <row r="609" spans="3:14" ht="15.75" customHeight="1" x14ac:dyDescent="0.2">
      <c r="C609" s="6" t="str">
        <f>IF(Changed!C624&lt;&gt;"", Changed!C624, "")</f>
        <v/>
      </c>
      <c r="D609" s="6" t="str">
        <f>IF(Changed!D624&lt;&gt;"", Changed!D624, "")</f>
        <v/>
      </c>
      <c r="N609" s="19">
        <f>Changed!G624-Base!G609</f>
        <v>0</v>
      </c>
    </row>
    <row r="610" spans="3:14" ht="15.75" customHeight="1" x14ac:dyDescent="0.2">
      <c r="C610" s="6" t="str">
        <f>IF(Changed!C625&lt;&gt;"", Changed!C625, "")</f>
        <v/>
      </c>
      <c r="D610" s="6" t="str">
        <f>IF(Changed!D625&lt;&gt;"", Changed!D625, "")</f>
        <v/>
      </c>
      <c r="N610" s="19">
        <f>Changed!G625-Base!G610</f>
        <v>0</v>
      </c>
    </row>
    <row r="611" spans="3:14" ht="15.75" customHeight="1" x14ac:dyDescent="0.2">
      <c r="C611" s="6" t="str">
        <f>IF(Changed!C626&lt;&gt;"", Changed!C626, "")</f>
        <v/>
      </c>
      <c r="D611" s="6" t="str">
        <f>IF(Changed!D626&lt;&gt;"", Changed!D626, "")</f>
        <v/>
      </c>
      <c r="N611" s="19">
        <f>Changed!G626-Base!G611</f>
        <v>0</v>
      </c>
    </row>
    <row r="612" spans="3:14" ht="15.75" customHeight="1" x14ac:dyDescent="0.2">
      <c r="C612" s="6" t="str">
        <f>IF(Changed!C627&lt;&gt;"", Changed!C627, "")</f>
        <v/>
      </c>
      <c r="D612" s="6" t="str">
        <f>IF(Changed!D627&lt;&gt;"", Changed!D627, "")</f>
        <v/>
      </c>
      <c r="N612" s="19">
        <f>Changed!G627-Base!G612</f>
        <v>0</v>
      </c>
    </row>
    <row r="613" spans="3:14" ht="15.75" customHeight="1" x14ac:dyDescent="0.2">
      <c r="C613" s="6" t="str">
        <f>IF(Changed!C628&lt;&gt;"", Changed!C628, "")</f>
        <v/>
      </c>
      <c r="D613" s="6" t="str">
        <f>IF(Changed!D628&lt;&gt;"", Changed!D628, "")</f>
        <v/>
      </c>
      <c r="N613" s="19">
        <f>Changed!G628-Base!G613</f>
        <v>0</v>
      </c>
    </row>
    <row r="614" spans="3:14" ht="15.75" customHeight="1" x14ac:dyDescent="0.2">
      <c r="C614" s="6" t="str">
        <f>IF(Changed!C629&lt;&gt;"", Changed!C629, "")</f>
        <v/>
      </c>
      <c r="D614" s="6" t="str">
        <f>IF(Changed!D629&lt;&gt;"", Changed!D629, "")</f>
        <v/>
      </c>
      <c r="N614" s="19">
        <f>Changed!G629-Base!G614</f>
        <v>0</v>
      </c>
    </row>
    <row r="615" spans="3:14" ht="15.75" customHeight="1" x14ac:dyDescent="0.2">
      <c r="C615" s="6" t="str">
        <f>IF(Changed!C630&lt;&gt;"", Changed!C630, "")</f>
        <v/>
      </c>
      <c r="D615" s="6" t="str">
        <f>IF(Changed!D630&lt;&gt;"", Changed!D630, "")</f>
        <v/>
      </c>
      <c r="N615" s="19">
        <f>Changed!G630-Base!G615</f>
        <v>0</v>
      </c>
    </row>
    <row r="616" spans="3:14" ht="15.75" customHeight="1" x14ac:dyDescent="0.2">
      <c r="C616" s="6" t="str">
        <f>IF(Changed!C631&lt;&gt;"", Changed!C631, "")</f>
        <v/>
      </c>
      <c r="D616" s="6" t="str">
        <f>IF(Changed!D631&lt;&gt;"", Changed!D631, "")</f>
        <v/>
      </c>
      <c r="N616" s="19">
        <f>Changed!G631-Base!G616</f>
        <v>0</v>
      </c>
    </row>
    <row r="617" spans="3:14" ht="15.75" customHeight="1" x14ac:dyDescent="0.2">
      <c r="C617" s="6" t="str">
        <f>IF(Changed!C632&lt;&gt;"", Changed!C632, "")</f>
        <v/>
      </c>
      <c r="D617" s="6" t="str">
        <f>IF(Changed!D632&lt;&gt;"", Changed!D632, "")</f>
        <v/>
      </c>
      <c r="N617" s="19">
        <f>Changed!G632-Base!G617</f>
        <v>0</v>
      </c>
    </row>
    <row r="618" spans="3:14" ht="15.75" customHeight="1" x14ac:dyDescent="0.2">
      <c r="C618" s="6" t="str">
        <f>IF(Changed!C633&lt;&gt;"", Changed!C633, "")</f>
        <v/>
      </c>
      <c r="D618" s="6" t="str">
        <f>IF(Changed!D633&lt;&gt;"", Changed!D633, "")</f>
        <v/>
      </c>
      <c r="N618" s="19">
        <f>Changed!G633-Base!G618</f>
        <v>0</v>
      </c>
    </row>
    <row r="619" spans="3:14" ht="15.75" customHeight="1" x14ac:dyDescent="0.2">
      <c r="C619" s="6" t="str">
        <f>IF(Changed!C634&lt;&gt;"", Changed!C634, "")</f>
        <v/>
      </c>
      <c r="D619" s="6" t="str">
        <f>IF(Changed!D634&lt;&gt;"", Changed!D634, "")</f>
        <v/>
      </c>
      <c r="N619" s="19">
        <f>Changed!G634-Base!G619</f>
        <v>0</v>
      </c>
    </row>
    <row r="620" spans="3:14" ht="15.75" customHeight="1" x14ac:dyDescent="0.2">
      <c r="C620" s="6" t="str">
        <f>IF(Changed!C635&lt;&gt;"", Changed!C635, "")</f>
        <v/>
      </c>
      <c r="D620" s="6" t="str">
        <f>IF(Changed!D635&lt;&gt;"", Changed!D635, "")</f>
        <v/>
      </c>
      <c r="N620" s="19">
        <f>Changed!G635-Base!G620</f>
        <v>0</v>
      </c>
    </row>
    <row r="621" spans="3:14" ht="15.75" customHeight="1" x14ac:dyDescent="0.2">
      <c r="C621" s="6" t="str">
        <f>IF(Changed!C636&lt;&gt;"", Changed!C636, "")</f>
        <v/>
      </c>
      <c r="D621" s="6" t="str">
        <f>IF(Changed!D636&lt;&gt;"", Changed!D636, "")</f>
        <v/>
      </c>
      <c r="N621" s="19">
        <f>Changed!G636-Base!G621</f>
        <v>0</v>
      </c>
    </row>
    <row r="622" spans="3:14" ht="15.75" customHeight="1" x14ac:dyDescent="0.2">
      <c r="C622" s="6" t="str">
        <f>IF(Changed!C637&lt;&gt;"", Changed!C637, "")</f>
        <v/>
      </c>
      <c r="D622" s="6" t="str">
        <f>IF(Changed!D637&lt;&gt;"", Changed!D637, "")</f>
        <v/>
      </c>
      <c r="N622" s="19">
        <f>Changed!G637-Base!G622</f>
        <v>0</v>
      </c>
    </row>
    <row r="623" spans="3:14" ht="15.75" customHeight="1" x14ac:dyDescent="0.2">
      <c r="C623" s="6" t="str">
        <f>IF(Changed!C638&lt;&gt;"", Changed!C638, "")</f>
        <v/>
      </c>
      <c r="D623" s="6" t="str">
        <f>IF(Changed!D638&lt;&gt;"", Changed!D638, "")</f>
        <v/>
      </c>
      <c r="N623" s="19">
        <f>Changed!G638-Base!G623</f>
        <v>0</v>
      </c>
    </row>
    <row r="624" spans="3:14" ht="15.75" customHeight="1" x14ac:dyDescent="0.2">
      <c r="C624" s="6" t="str">
        <f>IF(Changed!C639&lt;&gt;"", Changed!C639, "")</f>
        <v/>
      </c>
      <c r="D624" s="6" t="str">
        <f>IF(Changed!D639&lt;&gt;"", Changed!D639, "")</f>
        <v/>
      </c>
      <c r="N624" s="19">
        <f>Changed!G639-Base!G624</f>
        <v>0</v>
      </c>
    </row>
    <row r="625" spans="3:14" ht="15.75" customHeight="1" x14ac:dyDescent="0.2">
      <c r="C625" s="6" t="str">
        <f>IF(Changed!C640&lt;&gt;"", Changed!C640, "")</f>
        <v/>
      </c>
      <c r="D625" s="6" t="str">
        <f>IF(Changed!D640&lt;&gt;"", Changed!D640, "")</f>
        <v/>
      </c>
      <c r="N625" s="19">
        <f>Changed!G640-Base!G625</f>
        <v>0</v>
      </c>
    </row>
    <row r="626" spans="3:14" ht="15.75" customHeight="1" x14ac:dyDescent="0.2">
      <c r="C626" s="6" t="str">
        <f>IF(Changed!C641&lt;&gt;"", Changed!C641, "")</f>
        <v/>
      </c>
      <c r="D626" s="6" t="str">
        <f>IF(Changed!D641&lt;&gt;"", Changed!D641, "")</f>
        <v/>
      </c>
      <c r="N626" s="19">
        <f>Changed!G641-Base!G626</f>
        <v>0</v>
      </c>
    </row>
    <row r="627" spans="3:14" ht="15.75" customHeight="1" x14ac:dyDescent="0.2">
      <c r="C627" s="6" t="str">
        <f>IF(Changed!C642&lt;&gt;"", Changed!C642, "")</f>
        <v/>
      </c>
      <c r="D627" s="6" t="str">
        <f>IF(Changed!D642&lt;&gt;"", Changed!D642, "")</f>
        <v/>
      </c>
      <c r="N627" s="19">
        <f>Changed!G642-Base!G627</f>
        <v>0</v>
      </c>
    </row>
    <row r="628" spans="3:14" ht="15.75" customHeight="1" x14ac:dyDescent="0.2">
      <c r="C628" s="6" t="str">
        <f>IF(Changed!C643&lt;&gt;"", Changed!C643, "")</f>
        <v/>
      </c>
      <c r="D628" s="6" t="str">
        <f>IF(Changed!D643&lt;&gt;"", Changed!D643, "")</f>
        <v/>
      </c>
      <c r="N628" s="19">
        <f>Changed!G643-Base!G628</f>
        <v>0</v>
      </c>
    </row>
    <row r="629" spans="3:14" ht="15.75" customHeight="1" x14ac:dyDescent="0.2">
      <c r="C629" s="6" t="str">
        <f>IF(Changed!C644&lt;&gt;"", Changed!C644, "")</f>
        <v/>
      </c>
      <c r="D629" s="6" t="str">
        <f>IF(Changed!D644&lt;&gt;"", Changed!D644, "")</f>
        <v/>
      </c>
      <c r="N629" s="19">
        <f>Changed!G644-Base!G629</f>
        <v>0</v>
      </c>
    </row>
    <row r="630" spans="3:14" ht="15.75" customHeight="1" x14ac:dyDescent="0.2">
      <c r="C630" s="6" t="str">
        <f>IF(Changed!C645&lt;&gt;"", Changed!C645, "")</f>
        <v/>
      </c>
      <c r="D630" s="6" t="str">
        <f>IF(Changed!D645&lt;&gt;"", Changed!D645, "")</f>
        <v/>
      </c>
      <c r="N630" s="19">
        <f>Changed!G645-Base!G630</f>
        <v>0</v>
      </c>
    </row>
    <row r="631" spans="3:14" ht="15.75" customHeight="1" x14ac:dyDescent="0.2">
      <c r="C631" s="6" t="str">
        <f>IF(Changed!C646&lt;&gt;"", Changed!C646, "")</f>
        <v/>
      </c>
      <c r="D631" s="6" t="str">
        <f>IF(Changed!D646&lt;&gt;"", Changed!D646, "")</f>
        <v/>
      </c>
      <c r="N631" s="19">
        <f>Changed!G646-Base!G631</f>
        <v>0</v>
      </c>
    </row>
    <row r="632" spans="3:14" ht="15.75" customHeight="1" x14ac:dyDescent="0.2">
      <c r="C632" s="6" t="str">
        <f>IF(Changed!C647&lt;&gt;"", Changed!C647, "")</f>
        <v/>
      </c>
      <c r="D632" s="6" t="str">
        <f>IF(Changed!D647&lt;&gt;"", Changed!D647, "")</f>
        <v/>
      </c>
      <c r="N632" s="19">
        <f>Changed!G647-Base!G632</f>
        <v>0</v>
      </c>
    </row>
    <row r="633" spans="3:14" ht="15.75" customHeight="1" x14ac:dyDescent="0.2">
      <c r="C633" s="6" t="str">
        <f>IF(Changed!C648&lt;&gt;"", Changed!C648, "")</f>
        <v/>
      </c>
      <c r="D633" s="6" t="str">
        <f>IF(Changed!D648&lt;&gt;"", Changed!D648, "")</f>
        <v/>
      </c>
      <c r="N633" s="19">
        <f>Changed!G648-Base!G633</f>
        <v>0</v>
      </c>
    </row>
    <row r="634" spans="3:14" ht="15.75" customHeight="1" x14ac:dyDescent="0.2">
      <c r="C634" s="6" t="str">
        <f>IF(Changed!C649&lt;&gt;"", Changed!C649, "")</f>
        <v/>
      </c>
      <c r="D634" s="6" t="str">
        <f>IF(Changed!D649&lt;&gt;"", Changed!D649, "")</f>
        <v/>
      </c>
      <c r="N634" s="19">
        <f>Changed!G649-Base!G634</f>
        <v>0</v>
      </c>
    </row>
    <row r="635" spans="3:14" ht="15.75" customHeight="1" x14ac:dyDescent="0.2">
      <c r="C635" s="6" t="str">
        <f>IF(Changed!C650&lt;&gt;"", Changed!C650, "")</f>
        <v/>
      </c>
      <c r="D635" s="6" t="str">
        <f>IF(Changed!D650&lt;&gt;"", Changed!D650, "")</f>
        <v/>
      </c>
      <c r="N635" s="19">
        <f>Changed!G650-Base!G635</f>
        <v>0</v>
      </c>
    </row>
    <row r="636" spans="3:14" ht="15.75" customHeight="1" x14ac:dyDescent="0.2">
      <c r="C636" s="6" t="str">
        <f>IF(Changed!C651&lt;&gt;"", Changed!C651, "")</f>
        <v/>
      </c>
      <c r="D636" s="6" t="str">
        <f>IF(Changed!D651&lt;&gt;"", Changed!D651, "")</f>
        <v/>
      </c>
      <c r="N636" s="19">
        <f>Changed!G651-Base!G636</f>
        <v>0</v>
      </c>
    </row>
    <row r="637" spans="3:14" ht="15.75" customHeight="1" x14ac:dyDescent="0.2">
      <c r="C637" s="6" t="str">
        <f>IF(Changed!C652&lt;&gt;"", Changed!C652, "")</f>
        <v/>
      </c>
      <c r="D637" s="6" t="str">
        <f>IF(Changed!D652&lt;&gt;"", Changed!D652, "")</f>
        <v/>
      </c>
      <c r="N637" s="19">
        <f>Changed!G652-Base!G637</f>
        <v>0</v>
      </c>
    </row>
    <row r="638" spans="3:14" ht="15.75" customHeight="1" x14ac:dyDescent="0.2">
      <c r="C638" s="6" t="str">
        <f>IF(Changed!C653&lt;&gt;"", Changed!C653, "")</f>
        <v/>
      </c>
      <c r="D638" s="6" t="str">
        <f>IF(Changed!D653&lt;&gt;"", Changed!D653, "")</f>
        <v/>
      </c>
      <c r="N638" s="19">
        <f>Changed!G653-Base!G638</f>
        <v>0</v>
      </c>
    </row>
    <row r="639" spans="3:14" ht="15.75" customHeight="1" x14ac:dyDescent="0.2">
      <c r="C639" s="6" t="str">
        <f>IF(Changed!C654&lt;&gt;"", Changed!C654, "")</f>
        <v/>
      </c>
      <c r="D639" s="6" t="str">
        <f>IF(Changed!D654&lt;&gt;"", Changed!D654, "")</f>
        <v/>
      </c>
      <c r="N639" s="19">
        <f>Changed!G654-Base!G639</f>
        <v>0</v>
      </c>
    </row>
    <row r="640" spans="3:14" ht="15.75" customHeight="1" x14ac:dyDescent="0.2">
      <c r="C640" s="6" t="str">
        <f>IF(Changed!C655&lt;&gt;"", Changed!C655, "")</f>
        <v/>
      </c>
      <c r="D640" s="6" t="str">
        <f>IF(Changed!D655&lt;&gt;"", Changed!D655, "")</f>
        <v/>
      </c>
      <c r="N640" s="19">
        <f>Changed!G655-Base!G640</f>
        <v>0</v>
      </c>
    </row>
    <row r="641" spans="3:14" ht="15.75" customHeight="1" x14ac:dyDescent="0.2">
      <c r="C641" s="6" t="str">
        <f>IF(Changed!C656&lt;&gt;"", Changed!C656, "")</f>
        <v/>
      </c>
      <c r="D641" s="6" t="str">
        <f>IF(Changed!D656&lt;&gt;"", Changed!D656, "")</f>
        <v/>
      </c>
      <c r="N641" s="19">
        <f>Changed!G656-Base!G641</f>
        <v>0</v>
      </c>
    </row>
    <row r="642" spans="3:14" ht="15.75" customHeight="1" x14ac:dyDescent="0.2">
      <c r="C642" s="6" t="str">
        <f>IF(Changed!C657&lt;&gt;"", Changed!C657, "")</f>
        <v/>
      </c>
      <c r="D642" s="6" t="str">
        <f>IF(Changed!D657&lt;&gt;"", Changed!D657, "")</f>
        <v/>
      </c>
      <c r="N642" s="19">
        <f>Changed!G657-Base!G642</f>
        <v>0</v>
      </c>
    </row>
    <row r="643" spans="3:14" ht="15.75" customHeight="1" x14ac:dyDescent="0.2">
      <c r="C643" s="6" t="str">
        <f>IF(Changed!C658&lt;&gt;"", Changed!C658, "")</f>
        <v/>
      </c>
      <c r="D643" s="6" t="str">
        <f>IF(Changed!D658&lt;&gt;"", Changed!D658, "")</f>
        <v/>
      </c>
      <c r="N643" s="19">
        <f>Changed!G658-Base!G643</f>
        <v>0</v>
      </c>
    </row>
    <row r="644" spans="3:14" ht="15.75" customHeight="1" x14ac:dyDescent="0.2">
      <c r="C644" s="6" t="str">
        <f>IF(Changed!C659&lt;&gt;"", Changed!C659, "")</f>
        <v/>
      </c>
      <c r="D644" s="6" t="str">
        <f>IF(Changed!D659&lt;&gt;"", Changed!D659, "")</f>
        <v/>
      </c>
      <c r="N644" s="19">
        <f>Changed!G659-Base!G644</f>
        <v>0</v>
      </c>
    </row>
    <row r="645" spans="3:14" ht="15.75" customHeight="1" x14ac:dyDescent="0.2">
      <c r="C645" s="6" t="str">
        <f>IF(Changed!C660&lt;&gt;"", Changed!C660, "")</f>
        <v/>
      </c>
      <c r="D645" s="6" t="str">
        <f>IF(Changed!D660&lt;&gt;"", Changed!D660, "")</f>
        <v/>
      </c>
      <c r="N645" s="19">
        <f>Changed!G660-Base!G645</f>
        <v>0</v>
      </c>
    </row>
    <row r="646" spans="3:14" ht="15.75" customHeight="1" x14ac:dyDescent="0.2">
      <c r="C646" s="6" t="str">
        <f>IF(Changed!C661&lt;&gt;"", Changed!C661, "")</f>
        <v/>
      </c>
      <c r="D646" s="6" t="str">
        <f>IF(Changed!D661&lt;&gt;"", Changed!D661, "")</f>
        <v/>
      </c>
      <c r="N646" s="19">
        <f>Changed!G661-Base!G646</f>
        <v>0</v>
      </c>
    </row>
    <row r="647" spans="3:14" ht="15.75" customHeight="1" x14ac:dyDescent="0.2">
      <c r="C647" s="6" t="str">
        <f>IF(Changed!C662&lt;&gt;"", Changed!C662, "")</f>
        <v/>
      </c>
      <c r="D647" s="6" t="str">
        <f>IF(Changed!D662&lt;&gt;"", Changed!D662, "")</f>
        <v/>
      </c>
      <c r="N647" s="19">
        <f>Changed!G662-Base!G647</f>
        <v>0</v>
      </c>
    </row>
    <row r="648" spans="3:14" ht="15.75" customHeight="1" x14ac:dyDescent="0.2">
      <c r="C648" s="6" t="str">
        <f>IF(Changed!C663&lt;&gt;"", Changed!C663, "")</f>
        <v/>
      </c>
      <c r="D648" s="6" t="str">
        <f>IF(Changed!D663&lt;&gt;"", Changed!D663, "")</f>
        <v/>
      </c>
      <c r="N648" s="19">
        <f>Changed!G663-Base!G648</f>
        <v>0</v>
      </c>
    </row>
    <row r="649" spans="3:14" ht="15.75" customHeight="1" x14ac:dyDescent="0.2">
      <c r="C649" s="6" t="str">
        <f>IF(Changed!C664&lt;&gt;"", Changed!C664, "")</f>
        <v/>
      </c>
      <c r="D649" s="6" t="str">
        <f>IF(Changed!D664&lt;&gt;"", Changed!D664, "")</f>
        <v/>
      </c>
      <c r="N649" s="19">
        <f>Changed!G664-Base!G649</f>
        <v>0</v>
      </c>
    </row>
    <row r="650" spans="3:14" ht="15.75" customHeight="1" x14ac:dyDescent="0.2">
      <c r="C650" s="6" t="str">
        <f>IF(Changed!C665&lt;&gt;"", Changed!C665, "")</f>
        <v/>
      </c>
      <c r="D650" s="6" t="str">
        <f>IF(Changed!D665&lt;&gt;"", Changed!D665, "")</f>
        <v/>
      </c>
      <c r="N650" s="19">
        <f>Changed!G665-Base!G650</f>
        <v>0</v>
      </c>
    </row>
    <row r="651" spans="3:14" ht="15.75" customHeight="1" x14ac:dyDescent="0.2">
      <c r="C651" s="6" t="str">
        <f>IF(Changed!C666&lt;&gt;"", Changed!C666, "")</f>
        <v/>
      </c>
      <c r="D651" s="6" t="str">
        <f>IF(Changed!D666&lt;&gt;"", Changed!D666, "")</f>
        <v/>
      </c>
      <c r="N651" s="19">
        <f>Changed!G666-Base!G651</f>
        <v>0</v>
      </c>
    </row>
    <row r="652" spans="3:14" ht="15.75" customHeight="1" x14ac:dyDescent="0.2">
      <c r="C652" s="6" t="str">
        <f>IF(Changed!C667&lt;&gt;"", Changed!C667, "")</f>
        <v/>
      </c>
      <c r="D652" s="6" t="str">
        <f>IF(Changed!D667&lt;&gt;"", Changed!D667, "")</f>
        <v/>
      </c>
      <c r="N652" s="19">
        <f>Changed!G667-Base!G652</f>
        <v>0</v>
      </c>
    </row>
    <row r="653" spans="3:14" ht="15.75" customHeight="1" x14ac:dyDescent="0.2">
      <c r="C653" s="6" t="str">
        <f>IF(Changed!C668&lt;&gt;"", Changed!C668, "")</f>
        <v/>
      </c>
      <c r="D653" s="6" t="str">
        <f>IF(Changed!D668&lt;&gt;"", Changed!D668, "")</f>
        <v/>
      </c>
      <c r="N653" s="19">
        <f>Changed!G668-Base!G653</f>
        <v>0</v>
      </c>
    </row>
    <row r="654" spans="3:14" ht="15.75" customHeight="1" x14ac:dyDescent="0.2">
      <c r="C654" s="6" t="str">
        <f>IF(Changed!C669&lt;&gt;"", Changed!C669, "")</f>
        <v/>
      </c>
      <c r="D654" s="6" t="str">
        <f>IF(Changed!D669&lt;&gt;"", Changed!D669, "")</f>
        <v/>
      </c>
      <c r="N654" s="19">
        <f>Changed!G669-Base!G654</f>
        <v>0</v>
      </c>
    </row>
    <row r="655" spans="3:14" ht="15.75" customHeight="1" x14ac:dyDescent="0.2">
      <c r="C655" s="6" t="str">
        <f>IF(Changed!C670&lt;&gt;"", Changed!C670, "")</f>
        <v/>
      </c>
      <c r="D655" s="6" t="str">
        <f>IF(Changed!D670&lt;&gt;"", Changed!D670, "")</f>
        <v/>
      </c>
      <c r="N655" s="19">
        <f>Changed!G670-Base!G655</f>
        <v>0</v>
      </c>
    </row>
    <row r="656" spans="3:14" ht="15.75" customHeight="1" x14ac:dyDescent="0.2">
      <c r="C656" s="6" t="str">
        <f>IF(Changed!C671&lt;&gt;"", Changed!C671, "")</f>
        <v/>
      </c>
      <c r="D656" s="6" t="str">
        <f>IF(Changed!D671&lt;&gt;"", Changed!D671, "")</f>
        <v/>
      </c>
      <c r="N656" s="19">
        <f>Changed!G671-Base!G656</f>
        <v>0</v>
      </c>
    </row>
    <row r="657" spans="3:14" ht="15.75" customHeight="1" x14ac:dyDescent="0.2">
      <c r="C657" s="6" t="str">
        <f>IF(Changed!C672&lt;&gt;"", Changed!C672, "")</f>
        <v/>
      </c>
      <c r="D657" s="6" t="str">
        <f>IF(Changed!D672&lt;&gt;"", Changed!D672, "")</f>
        <v/>
      </c>
      <c r="N657" s="19">
        <f>Changed!G672-Base!G657</f>
        <v>0</v>
      </c>
    </row>
    <row r="658" spans="3:14" ht="15.75" customHeight="1" x14ac:dyDescent="0.2">
      <c r="C658" s="6" t="str">
        <f>IF(Changed!C673&lt;&gt;"", Changed!C673, "")</f>
        <v/>
      </c>
      <c r="D658" s="6" t="str">
        <f>IF(Changed!D673&lt;&gt;"", Changed!D673, "")</f>
        <v/>
      </c>
    </row>
    <row r="659" spans="3:14" ht="15.75" customHeight="1" x14ac:dyDescent="0.2">
      <c r="C659" s="6" t="str">
        <f>IF(Changed!C674&lt;&gt;"", Changed!C674, "")</f>
        <v/>
      </c>
      <c r="D659" s="6" t="str">
        <f>IF(Changed!D674&lt;&gt;"", Changed!D674, "")</f>
        <v/>
      </c>
    </row>
    <row r="660" spans="3:14" ht="15.75" customHeight="1" x14ac:dyDescent="0.2">
      <c r="C660" s="6" t="str">
        <f>IF(Changed!C675&lt;&gt;"", Changed!C675, "")</f>
        <v/>
      </c>
      <c r="D660" s="6" t="str">
        <f>IF(Changed!D675&lt;&gt;"", Changed!D675, "")</f>
        <v/>
      </c>
    </row>
    <row r="661" spans="3:14" ht="15.75" customHeight="1" x14ac:dyDescent="0.2">
      <c r="C661" s="6" t="str">
        <f>IF(Changed!C676&lt;&gt;"", Changed!C676, "")</f>
        <v/>
      </c>
      <c r="D661" s="6" t="str">
        <f>IF(Changed!D676&lt;&gt;"", Changed!D676, "")</f>
        <v/>
      </c>
    </row>
    <row r="662" spans="3:14" ht="15.75" customHeight="1" x14ac:dyDescent="0.2">
      <c r="C662" s="6" t="str">
        <f>IF(Changed!C677&lt;&gt;"", Changed!C677, "")</f>
        <v/>
      </c>
      <c r="D662" s="6" t="str">
        <f>IF(Changed!D677&lt;&gt;"", Changed!D677, "")</f>
        <v/>
      </c>
    </row>
    <row r="663" spans="3:14" ht="15.75" customHeight="1" x14ac:dyDescent="0.2">
      <c r="C663" s="6" t="str">
        <f>IF(Changed!C678&lt;&gt;"", Changed!C678, "")</f>
        <v/>
      </c>
      <c r="D663" s="6" t="str">
        <f>IF(Changed!D678&lt;&gt;"", Changed!D678, "")</f>
        <v/>
      </c>
    </row>
    <row r="664" spans="3:14" ht="15.75" customHeight="1" x14ac:dyDescent="0.2">
      <c r="C664" s="6" t="str">
        <f>IF(Changed!C679&lt;&gt;"", Changed!C679, "")</f>
        <v/>
      </c>
      <c r="D664" s="6" t="str">
        <f>IF(Changed!D679&lt;&gt;"", Changed!D679, "")</f>
        <v/>
      </c>
    </row>
    <row r="665" spans="3:14" ht="15.75" customHeight="1" x14ac:dyDescent="0.2">
      <c r="C665" s="6" t="str">
        <f>IF(Changed!C680&lt;&gt;"", Changed!C680, "")</f>
        <v/>
      </c>
      <c r="D665" s="6" t="str">
        <f>IF(Changed!D680&lt;&gt;"", Changed!D680, "")</f>
        <v/>
      </c>
    </row>
    <row r="666" spans="3:14" ht="15.75" customHeight="1" x14ac:dyDescent="0.2">
      <c r="C666" s="6" t="str">
        <f>IF(Changed!C681&lt;&gt;"", Changed!C681, "")</f>
        <v/>
      </c>
      <c r="D666" s="6" t="str">
        <f>IF(Changed!D681&lt;&gt;"", Changed!D681, "")</f>
        <v/>
      </c>
    </row>
    <row r="667" spans="3:14" ht="15.75" customHeight="1" x14ac:dyDescent="0.2">
      <c r="C667" s="6" t="str">
        <f>IF(Changed!C682&lt;&gt;"", Changed!C682, "")</f>
        <v/>
      </c>
      <c r="D667" s="6" t="str">
        <f>IF(Changed!D682&lt;&gt;"", Changed!D682, "")</f>
        <v/>
      </c>
    </row>
    <row r="668" spans="3:14" ht="15.75" customHeight="1" x14ac:dyDescent="0.2">
      <c r="C668" s="6" t="str">
        <f>IF(Changed!C683&lt;&gt;"", Changed!C683, "")</f>
        <v/>
      </c>
      <c r="D668" s="6" t="str">
        <f>IF(Changed!D683&lt;&gt;"", Changed!D683, "")</f>
        <v/>
      </c>
    </row>
    <row r="669" spans="3:14" ht="15.75" customHeight="1" x14ac:dyDescent="0.2">
      <c r="C669" s="6" t="str">
        <f>IF(Changed!C684&lt;&gt;"", Changed!C684, "")</f>
        <v/>
      </c>
      <c r="D669" s="6" t="str">
        <f>IF(Changed!D684&lt;&gt;"", Changed!D684, "")</f>
        <v/>
      </c>
    </row>
    <row r="670" spans="3:14" ht="15.75" customHeight="1" x14ac:dyDescent="0.2">
      <c r="C670" s="6" t="str">
        <f>IF(Changed!C685&lt;&gt;"", Changed!C685, "")</f>
        <v/>
      </c>
      <c r="D670" s="6" t="str">
        <f>IF(Changed!D685&lt;&gt;"", Changed!D685, "")</f>
        <v/>
      </c>
    </row>
    <row r="671" spans="3:14" ht="15.75" customHeight="1" x14ac:dyDescent="0.2">
      <c r="C671" s="6" t="str">
        <f>IF(Changed!C686&lt;&gt;"", Changed!C686, "")</f>
        <v/>
      </c>
      <c r="D671" s="6" t="str">
        <f>IF(Changed!D686&lt;&gt;"", Changed!D686, "")</f>
        <v/>
      </c>
    </row>
    <row r="672" spans="3:14" ht="15.75" customHeight="1" x14ac:dyDescent="0.2">
      <c r="C672" s="6" t="str">
        <f>IF(Changed!C687&lt;&gt;"", Changed!C687, "")</f>
        <v/>
      </c>
      <c r="D672" s="6" t="str">
        <f>IF(Changed!D687&lt;&gt;"", Changed!D687, "")</f>
        <v/>
      </c>
    </row>
    <row r="673" spans="3:4" ht="15.75" customHeight="1" x14ac:dyDescent="0.2">
      <c r="C673" s="6" t="str">
        <f>IF(Changed!C688&lt;&gt;"", Changed!C688, "")</f>
        <v/>
      </c>
      <c r="D673" s="6" t="str">
        <f>IF(Changed!D688&lt;&gt;"", Changed!D688, "")</f>
        <v/>
      </c>
    </row>
    <row r="674" spans="3:4" ht="15.75" customHeight="1" x14ac:dyDescent="0.2">
      <c r="C674" s="6" t="str">
        <f>IF(Changed!C689&lt;&gt;"", Changed!C689, "")</f>
        <v/>
      </c>
      <c r="D674" s="6" t="str">
        <f>IF(Changed!D689&lt;&gt;"", Changed!D689, "")</f>
        <v/>
      </c>
    </row>
    <row r="675" spans="3:4" ht="15.75" customHeight="1" x14ac:dyDescent="0.2">
      <c r="C675" s="6" t="str">
        <f>IF(Changed!C690&lt;&gt;"", Changed!C690, "")</f>
        <v/>
      </c>
      <c r="D675" s="6" t="str">
        <f>IF(Changed!D690&lt;&gt;"", Changed!D690, "")</f>
        <v/>
      </c>
    </row>
    <row r="676" spans="3:4" ht="15.75" customHeight="1" x14ac:dyDescent="0.2">
      <c r="C676" s="6" t="str">
        <f>IF(Changed!C691&lt;&gt;"", Changed!C691, "")</f>
        <v/>
      </c>
      <c r="D676" s="6" t="str">
        <f>IF(Changed!D691&lt;&gt;"", Changed!D691, "")</f>
        <v/>
      </c>
    </row>
    <row r="677" spans="3:4" ht="15.75" customHeight="1" x14ac:dyDescent="0.2">
      <c r="C677" s="6" t="str">
        <f>IF(Changed!C692&lt;&gt;"", Changed!C692, "")</f>
        <v/>
      </c>
      <c r="D677" s="6" t="str">
        <f>IF(Changed!D692&lt;&gt;"", Changed!D692, "")</f>
        <v/>
      </c>
    </row>
    <row r="678" spans="3:4" ht="15.75" customHeight="1" x14ac:dyDescent="0.2">
      <c r="C678" s="6" t="str">
        <f>IF(Changed!C693&lt;&gt;"", Changed!C693, "")</f>
        <v/>
      </c>
      <c r="D678" s="6" t="str">
        <f>IF(Changed!D693&lt;&gt;"", Changed!D693, "")</f>
        <v/>
      </c>
    </row>
    <row r="679" spans="3:4" ht="15.75" customHeight="1" x14ac:dyDescent="0.2">
      <c r="C679" s="6" t="str">
        <f>IF(Changed!C694&lt;&gt;"", Changed!C694, "")</f>
        <v/>
      </c>
      <c r="D679" s="6" t="str">
        <f>IF(Changed!D694&lt;&gt;"", Changed!D694, "")</f>
        <v/>
      </c>
    </row>
    <row r="680" spans="3:4" ht="15.75" customHeight="1" x14ac:dyDescent="0.2">
      <c r="C680" s="6" t="str">
        <f>IF(Changed!C695&lt;&gt;"", Changed!C695, "")</f>
        <v/>
      </c>
      <c r="D680" s="6" t="str">
        <f>IF(Changed!D695&lt;&gt;"", Changed!D695, "")</f>
        <v/>
      </c>
    </row>
    <row r="681" spans="3:4" ht="15.75" customHeight="1" x14ac:dyDescent="0.2">
      <c r="C681" s="6" t="str">
        <f>IF(Changed!C696&lt;&gt;"", Changed!C696, "")</f>
        <v/>
      </c>
      <c r="D681" s="6" t="str">
        <f>IF(Changed!D696&lt;&gt;"", Changed!D696, "")</f>
        <v/>
      </c>
    </row>
    <row r="682" spans="3:4" ht="15.75" customHeight="1" x14ac:dyDescent="0.2">
      <c r="C682" s="6" t="str">
        <f>IF(Changed!C697&lt;&gt;"", Changed!C697, "")</f>
        <v/>
      </c>
      <c r="D682" s="6" t="str">
        <f>IF(Changed!D697&lt;&gt;"", Changed!D697, "")</f>
        <v/>
      </c>
    </row>
    <row r="683" spans="3:4" ht="15.75" customHeight="1" x14ac:dyDescent="0.2">
      <c r="C683" s="6" t="str">
        <f>IF(Changed!C698&lt;&gt;"", Changed!C698, "")</f>
        <v/>
      </c>
      <c r="D683" s="6" t="str">
        <f>IF(Changed!D698&lt;&gt;"", Changed!D698, "")</f>
        <v/>
      </c>
    </row>
    <row r="684" spans="3:4" ht="15.75" customHeight="1" x14ac:dyDescent="0.2">
      <c r="C684" s="6" t="str">
        <f>IF(Changed!C699&lt;&gt;"", Changed!C699, "")</f>
        <v/>
      </c>
      <c r="D684" s="6" t="str">
        <f>IF(Changed!D699&lt;&gt;"", Changed!D699, "")</f>
        <v/>
      </c>
    </row>
    <row r="685" spans="3:4" ht="15.75" customHeight="1" x14ac:dyDescent="0.2">
      <c r="C685" s="6" t="str">
        <f>IF(Changed!C700&lt;&gt;"", Changed!C700, "")</f>
        <v/>
      </c>
      <c r="D685" s="6" t="str">
        <f>IF(Changed!D700&lt;&gt;"", Changed!D700, "")</f>
        <v/>
      </c>
    </row>
    <row r="686" spans="3:4" ht="15.75" customHeight="1" x14ac:dyDescent="0.2">
      <c r="C686" s="6" t="str">
        <f>IF(Changed!C701&lt;&gt;"", Changed!C701, "")</f>
        <v/>
      </c>
      <c r="D686" s="6" t="str">
        <f>IF(Changed!D701&lt;&gt;"", Changed!D701, "")</f>
        <v/>
      </c>
    </row>
    <row r="687" spans="3:4" ht="15.75" customHeight="1" x14ac:dyDescent="0.2">
      <c r="C687" s="6" t="str">
        <f>IF(Changed!C702&lt;&gt;"", Changed!C702, "")</f>
        <v/>
      </c>
      <c r="D687" s="6" t="str">
        <f>IF(Changed!D702&lt;&gt;"", Changed!D702, "")</f>
        <v/>
      </c>
    </row>
    <row r="688" spans="3:4" ht="15.75" customHeight="1" x14ac:dyDescent="0.2">
      <c r="C688" s="6" t="str">
        <f>IF(Changed!C703&lt;&gt;"", Changed!C703, "")</f>
        <v/>
      </c>
      <c r="D688" s="6" t="str">
        <f>IF(Changed!D703&lt;&gt;"", Changed!D703, "")</f>
        <v/>
      </c>
    </row>
    <row r="689" spans="3:4" ht="15.75" customHeight="1" x14ac:dyDescent="0.2">
      <c r="C689" s="6" t="str">
        <f>IF(Changed!C704&lt;&gt;"", Changed!C704, "")</f>
        <v/>
      </c>
      <c r="D689" s="6" t="str">
        <f>IF(Changed!D704&lt;&gt;"", Changed!D704, "")</f>
        <v/>
      </c>
    </row>
    <row r="690" spans="3:4" ht="15.75" customHeight="1" x14ac:dyDescent="0.2">
      <c r="C690" s="6" t="str">
        <f>IF(Changed!C705&lt;&gt;"", Changed!C705, "")</f>
        <v/>
      </c>
      <c r="D690" s="6" t="str">
        <f>IF(Changed!D705&lt;&gt;"", Changed!D705, "")</f>
        <v/>
      </c>
    </row>
    <row r="691" spans="3:4" ht="15.75" customHeight="1" x14ac:dyDescent="0.2">
      <c r="C691" s="6" t="str">
        <f>IF(Changed!C706&lt;&gt;"", Changed!C706, "")</f>
        <v/>
      </c>
      <c r="D691" s="6" t="str">
        <f>IF(Changed!D706&lt;&gt;"", Changed!D706, "")</f>
        <v/>
      </c>
    </row>
    <row r="692" spans="3:4" ht="15.75" customHeight="1" x14ac:dyDescent="0.2">
      <c r="C692" s="6" t="str">
        <f>IF(Changed!C707&lt;&gt;"", Changed!C707, "")</f>
        <v/>
      </c>
      <c r="D692" s="6" t="str">
        <f>IF(Changed!D707&lt;&gt;"", Changed!D707, "")</f>
        <v/>
      </c>
    </row>
    <row r="693" spans="3:4" ht="15.75" customHeight="1" x14ac:dyDescent="0.2">
      <c r="C693" s="6" t="str">
        <f>IF(Changed!C708&lt;&gt;"", Changed!C708, "")</f>
        <v/>
      </c>
      <c r="D693" s="6" t="str">
        <f>IF(Changed!D708&lt;&gt;"", Changed!D708, "")</f>
        <v/>
      </c>
    </row>
    <row r="694" spans="3:4" ht="15.75" customHeight="1" x14ac:dyDescent="0.2">
      <c r="C694" s="6" t="str">
        <f>IF(Changed!C709&lt;&gt;"", Changed!C709, "")</f>
        <v/>
      </c>
      <c r="D694" s="6" t="str">
        <f>IF(Changed!D709&lt;&gt;"", Changed!D709, "")</f>
        <v/>
      </c>
    </row>
    <row r="695" spans="3:4" ht="15.75" customHeight="1" x14ac:dyDescent="0.2">
      <c r="C695" s="6" t="str">
        <f>IF(Changed!C710&lt;&gt;"", Changed!C710, "")</f>
        <v/>
      </c>
      <c r="D695" s="6" t="str">
        <f>IF(Changed!D710&lt;&gt;"", Changed!D710, "")</f>
        <v/>
      </c>
    </row>
    <row r="696" spans="3:4" ht="15.75" customHeight="1" x14ac:dyDescent="0.2">
      <c r="C696" s="6" t="str">
        <f>IF(Changed!C711&lt;&gt;"", Changed!C711, "")</f>
        <v/>
      </c>
      <c r="D696" s="6" t="str">
        <f>IF(Changed!D711&lt;&gt;"", Changed!D711, "")</f>
        <v/>
      </c>
    </row>
  </sheetData>
  <conditionalFormatting sqref="A1:A1048576">
    <cfRule type="notContainsBlanks" dxfId="548" priority="11">
      <formula>LEN(TRIM(A1))&gt;0</formula>
    </cfRule>
  </conditionalFormatting>
  <conditionalFormatting sqref="A2:A506">
    <cfRule type="expression" priority="13">
      <formula>IF(A1&lt;10, "00"&amp;A1, IF(A1&lt;100, "0"&amp;A1, A1))</formula>
    </cfRule>
  </conditionalFormatting>
  <conditionalFormatting sqref="A507">
    <cfRule type="expression" priority="15">
      <formula>IF(A498&lt;10, "00"&amp;A498, IF(A498&lt;100, "0"&amp;A498, A498))</formula>
    </cfRule>
  </conditionalFormatting>
  <conditionalFormatting sqref="A508:A511">
    <cfRule type="expression" priority="14">
      <formula>IF(A507&lt;10, "00"&amp;A507, IF(A507&lt;100, "0"&amp;A507, A507))</formula>
    </cfRule>
  </conditionalFormatting>
  <conditionalFormatting sqref="A512">
    <cfRule type="expression" priority="16">
      <formula>IF(#REF!&lt;10, "00"&amp;#REF!, IF(#REF!&lt;100, "0"&amp;#REF!, #REF!))</formula>
    </cfRule>
  </conditionalFormatting>
  <conditionalFormatting sqref="A513">
    <cfRule type="expression" priority="10">
      <formula>IF(A512&lt;10, "00"&amp;A512, IF(A512&lt;100, "0"&amp;A512, A512))</formula>
    </cfRule>
  </conditionalFormatting>
  <conditionalFormatting sqref="A514">
    <cfRule type="expression" priority="12">
      <formula>IF(A512&lt;10, "00"&amp;A512, IF(A512&lt;100, "0"&amp;A512, A512))</formula>
    </cfRule>
  </conditionalFormatting>
  <conditionalFormatting sqref="A515">
    <cfRule type="expression" priority="23">
      <formula>IF(A521&lt;10, "00"&amp;A521, IF(A521&lt;100, "0"&amp;A521, A521))</formula>
    </cfRule>
  </conditionalFormatting>
  <conditionalFormatting sqref="A516:A1048576">
    <cfRule type="expression" priority="20">
      <formula>IF(A515&lt;10, "00"&amp;A515, IF(A515&lt;100, "0"&amp;A515, A515))</formula>
    </cfRule>
  </conditionalFormatting>
  <conditionalFormatting sqref="A520">
    <cfRule type="expression" priority="22">
      <formula>IF(A511&lt;10, "00"&amp;A511, IF(A511&lt;100, "0"&amp;A511, A511))</formula>
    </cfRule>
  </conditionalFormatting>
  <conditionalFormatting sqref="A538">
    <cfRule type="expression" priority="24">
      <formula>IF(A546&lt;10, "00"&amp;A546, IF(A546&lt;100, "0"&amp;A546, A546))</formula>
    </cfRule>
  </conditionalFormatting>
  <conditionalFormatting sqref="A539">
    <cfRule type="expression" priority="19">
      <formula>IF(A537&lt;10, "00"&amp;A537, IF(A537&lt;100, "0"&amp;A537, A537))</formula>
    </cfRule>
  </conditionalFormatting>
  <conditionalFormatting sqref="A547">
    <cfRule type="expression" priority="25">
      <formula>IF(A538&lt;10, "00"&amp;A538, IF(A538&lt;100, "0"&amp;A538, A538))</formula>
    </cfRule>
  </conditionalFormatting>
  <conditionalFormatting sqref="B1:B1048576">
    <cfRule type="notContainsBlanks" dxfId="547" priority="9">
      <formula>LEN(TRIM(B1))&gt;0</formula>
    </cfRule>
  </conditionalFormatting>
  <conditionalFormatting sqref="C1:C1048576">
    <cfRule type="expression" dxfId="546" priority="71">
      <formula>INDIRECT("Changed!C" &amp; ROW()) &lt;&gt; INDIRECT("Base!C" &amp; ROW())</formula>
    </cfRule>
  </conditionalFormatting>
  <conditionalFormatting sqref="C697:C1048576">
    <cfRule type="containsText" dxfId="545" priority="92" operator="containsText" text="None">
      <formula>NOT(ISERROR(SEARCH("None",C697)))</formula>
    </cfRule>
    <cfRule type="containsText" dxfId="544" priority="101" operator="containsText" text="Flying">
      <formula>NOT(ISERROR(SEARCH("Flying",C697)))</formula>
    </cfRule>
    <cfRule type="containsText" dxfId="543" priority="107" operator="containsText" text="Fairy">
      <formula>NOT(ISERROR(SEARCH("Fairy",C697)))</formula>
    </cfRule>
    <cfRule type="containsText" dxfId="542" priority="108" operator="containsText" text="Steel">
      <formula>NOT(ISERROR(SEARCH("Steel",C697)))</formula>
    </cfRule>
    <cfRule type="containsText" dxfId="541" priority="109" operator="containsText" text="Dark">
      <formula>NOT(ISERROR(SEARCH("Dark",C697)))</formula>
    </cfRule>
    <cfRule type="containsText" dxfId="540" priority="110" operator="containsText" text="Dragon">
      <formula>NOT(ISERROR(SEARCH("Dragon",C697)))</formula>
    </cfRule>
    <cfRule type="containsText" dxfId="539" priority="111" operator="containsText" text="Ghost">
      <formula>NOT(ISERROR(SEARCH("Ghost",C697)))</formula>
    </cfRule>
    <cfRule type="containsText" dxfId="538" priority="112" operator="containsText" text="Rock">
      <formula>NOT(ISERROR(SEARCH("Rock",C697)))</formula>
    </cfRule>
    <cfRule type="containsText" dxfId="537" priority="113" operator="containsText" text="Bug">
      <formula>NOT(ISERROR(SEARCH("Bug",C697)))</formula>
    </cfRule>
    <cfRule type="containsText" dxfId="536" priority="114" operator="containsText" text="Psychic">
      <formula>NOT(ISERROR(SEARCH("Psychic",C697)))</formula>
    </cfRule>
    <cfRule type="containsText" dxfId="535" priority="115" operator="containsText" text="Ground">
      <formula>NOT(ISERROR(SEARCH("Ground",C697)))</formula>
    </cfRule>
    <cfRule type="containsText" dxfId="534" priority="116" operator="containsText" text="Poison">
      <formula>NOT(ISERROR(SEARCH("Poison",C697)))</formula>
    </cfRule>
    <cfRule type="containsText" dxfId="533" priority="117" operator="containsText" text="Fighting">
      <formula>NOT(ISERROR(SEARCH("Fighting",C697)))</formula>
    </cfRule>
    <cfRule type="containsText" dxfId="532" priority="118" operator="containsText" text="Ice">
      <formula>NOT(ISERROR(SEARCH("Ice",C697)))</formula>
    </cfRule>
    <cfRule type="containsText" dxfId="531" priority="119" operator="containsText" text="Electric">
      <formula>NOT(ISERROR(SEARCH("Electric",C697)))</formula>
    </cfRule>
    <cfRule type="containsText" dxfId="530" priority="120" operator="containsText" text="Water">
      <formula>NOT(ISERROR(SEARCH("Water",C697)))</formula>
    </cfRule>
    <cfRule type="containsText" dxfId="529" priority="121" operator="containsText" text="Fire">
      <formula>NOT(ISERROR(SEARCH("Fire",C697)))</formula>
    </cfRule>
    <cfRule type="containsText" dxfId="528" priority="122" operator="containsText" text="Normal">
      <formula>NOT(ISERROR(SEARCH("Normal",C697)))</formula>
    </cfRule>
    <cfRule type="containsText" dxfId="527" priority="123" operator="containsText" text="Grass">
      <formula>NOT(ISERROR(SEARCH("Grass",C697)))</formula>
    </cfRule>
  </conditionalFormatting>
  <conditionalFormatting sqref="C2:D696">
    <cfRule type="containsText" dxfId="526" priority="33" operator="containsText" text="None">
      <formula>NOT(ISERROR(SEARCH("None",C2)))</formula>
    </cfRule>
    <cfRule type="containsText" dxfId="525" priority="34" operator="containsText" text="Flying">
      <formula>NOT(ISERROR(SEARCH("Flying",C2)))</formula>
    </cfRule>
    <cfRule type="containsText" dxfId="524" priority="35" operator="containsText" text="Fairy">
      <formula>NOT(ISERROR(SEARCH("Fairy",C2)))</formula>
    </cfRule>
    <cfRule type="containsText" dxfId="523" priority="36" operator="containsText" text="Steel">
      <formula>NOT(ISERROR(SEARCH("Steel",C2)))</formula>
    </cfRule>
    <cfRule type="containsText" dxfId="522" priority="37" operator="containsText" text="Dark">
      <formula>NOT(ISERROR(SEARCH("Dark",C2)))</formula>
    </cfRule>
    <cfRule type="containsText" dxfId="521" priority="38" operator="containsText" text="Dragon">
      <formula>NOT(ISERROR(SEARCH("Dragon",C2)))</formula>
    </cfRule>
    <cfRule type="containsText" dxfId="520" priority="39" operator="containsText" text="Ghost">
      <formula>NOT(ISERROR(SEARCH("Ghost",C2)))</formula>
    </cfRule>
    <cfRule type="containsText" dxfId="519" priority="40" operator="containsText" text="Rock">
      <formula>NOT(ISERROR(SEARCH("Rock",C2)))</formula>
    </cfRule>
    <cfRule type="containsText" dxfId="518" priority="41" operator="containsText" text="Bug">
      <formula>NOT(ISERROR(SEARCH("Bug",C2)))</formula>
    </cfRule>
    <cfRule type="containsText" dxfId="517" priority="42" operator="containsText" text="Psychic">
      <formula>NOT(ISERROR(SEARCH("Psychic",C2)))</formula>
    </cfRule>
    <cfRule type="containsText" dxfId="516" priority="43" operator="containsText" text="Ground">
      <formula>NOT(ISERROR(SEARCH("Ground",C2)))</formula>
    </cfRule>
    <cfRule type="containsText" dxfId="515" priority="44" operator="containsText" text="Poison">
      <formula>NOT(ISERROR(SEARCH("Poison",C2)))</formula>
    </cfRule>
    <cfRule type="containsText" dxfId="514" priority="45" operator="containsText" text="Fighting">
      <formula>NOT(ISERROR(SEARCH("Fighting",C2)))</formula>
    </cfRule>
    <cfRule type="containsText" dxfId="513" priority="46" operator="containsText" text="Ice">
      <formula>NOT(ISERROR(SEARCH("Ice",C2)))</formula>
    </cfRule>
    <cfRule type="containsText" dxfId="512" priority="47" operator="containsText" text="Electric">
      <formula>NOT(ISERROR(SEARCH("Electric",C2)))</formula>
    </cfRule>
    <cfRule type="containsText" dxfId="511" priority="48" operator="containsText" text="Water">
      <formula>NOT(ISERROR(SEARCH("Water",C2)))</formula>
    </cfRule>
    <cfRule type="containsText" dxfId="510" priority="49" operator="containsText" text="Fire">
      <formula>NOT(ISERROR(SEARCH("Fire",C2)))</formula>
    </cfRule>
    <cfRule type="containsText" dxfId="509" priority="50" operator="containsText" text="Normal">
      <formula>NOT(ISERROR(SEARCH("Normal",C2)))</formula>
    </cfRule>
    <cfRule type="containsText" dxfId="508" priority="51" operator="containsText" text="Grass">
      <formula>NOT(ISERROR(SEARCH("Grass",C2)))</formula>
    </cfRule>
  </conditionalFormatting>
  <conditionalFormatting sqref="D1:D1048576">
    <cfRule type="expression" dxfId="507" priority="53">
      <formula>INDIRECT("Changed!D" &amp; ROW()) &lt;&gt; INDIRECT("Base!D" &amp; ROW())</formula>
    </cfRule>
  </conditionalFormatting>
  <conditionalFormatting sqref="E1:E1048576">
    <cfRule type="expression" dxfId="506" priority="91">
      <formula>INDIRECT("Changed!E"&amp;ROW())&lt;&gt;INDIRECT("Base!E"&amp;ROW())</formula>
    </cfRule>
  </conditionalFormatting>
  <conditionalFormatting sqref="E2:F1000">
    <cfRule type="notContainsBlanks" dxfId="505" priority="52">
      <formula>LEN(TRIM(E2))&gt;0</formula>
    </cfRule>
  </conditionalFormatting>
  <conditionalFormatting sqref="F1:F1048576">
    <cfRule type="expression" dxfId="504" priority="87">
      <formula>INDIRECT("Changed!f" &amp; ROW()) &lt;&gt; INDIRECT("Base!f" &amp; ROW())</formula>
    </cfRule>
  </conditionalFormatting>
  <conditionalFormatting sqref="G1:G1048576">
    <cfRule type="notContainsBlanks" dxfId="503" priority="70">
      <formula>LEN(TRIM(G1))&gt;0</formula>
    </cfRule>
  </conditionalFormatting>
  <conditionalFormatting sqref="G2:G576">
    <cfRule type="expression" dxfId="502" priority="32">
      <formula>INDIRECT("Changed!G"&amp;ROW())&lt;&gt;INDIRECT("Base!G"&amp;ROW())</formula>
    </cfRule>
  </conditionalFormatting>
  <conditionalFormatting sqref="H1:H1048576">
    <cfRule type="expression" dxfId="501" priority="96">
      <formula>INDIRECT("Changed!H"&amp;ROW())&lt;&gt;INDIRECT("Base!H"&amp;ROW())</formula>
    </cfRule>
    <cfRule type="notContainsBlanks" dxfId="500" priority="130">
      <formula>LEN(TRIM(H1))&gt;0</formula>
    </cfRule>
  </conditionalFormatting>
  <conditionalFormatting sqref="H519:H1048576 I1:I576">
    <cfRule type="notContainsBlanks" dxfId="499" priority="131">
      <formula>LEN(TRIM(H1))&gt;0</formula>
    </cfRule>
  </conditionalFormatting>
  <conditionalFormatting sqref="I2:I576">
    <cfRule type="expression" dxfId="498" priority="99">
      <formula>INDIRECT("Changed!I"&amp;ROW())&lt;&gt;INDIRECT("Base!I"&amp;ROW())</formula>
    </cfRule>
  </conditionalFormatting>
  <conditionalFormatting sqref="J1:J576 I577:I1048576">
    <cfRule type="notContainsBlanks" dxfId="497" priority="132">
      <formula>LEN(TRIM(I1))&gt;0</formula>
    </cfRule>
  </conditionalFormatting>
  <conditionalFormatting sqref="J2:J576">
    <cfRule type="expression" dxfId="496" priority="98">
      <formula>INDIRECT("Changed!J"&amp;ROW())&lt;&gt;INDIRECT("Base!J"&amp;ROW())</formula>
    </cfRule>
  </conditionalFormatting>
  <conditionalFormatting sqref="K1:K1048576">
    <cfRule type="notContainsBlanks" dxfId="495" priority="133">
      <formula>LEN(TRIM(K1))&gt;0</formula>
    </cfRule>
  </conditionalFormatting>
  <conditionalFormatting sqref="K2:K576">
    <cfRule type="expression" dxfId="494" priority="95">
      <formula>INDIRECT("Changed!K"&amp;ROW())&lt;&gt;INDIRECT("Base!K"&amp;ROW())</formula>
    </cfRule>
  </conditionalFormatting>
  <conditionalFormatting sqref="K523:K1048576 L1:L576">
    <cfRule type="notContainsBlanks" dxfId="493" priority="134">
      <formula>LEN(TRIM(K1))&gt;0</formula>
    </cfRule>
  </conditionalFormatting>
  <conditionalFormatting sqref="L2:L576">
    <cfRule type="expression" dxfId="492" priority="94">
      <formula>INDIRECT("Changed!L"&amp;ROW())&lt;&gt;INDIRECT("Base!L"&amp;ROW())</formula>
    </cfRule>
  </conditionalFormatting>
  <conditionalFormatting sqref="M1:M576 L577:L1048576">
    <cfRule type="notContainsBlanks" dxfId="491" priority="135">
      <formula>LEN(TRIM(L1))&gt;0</formula>
    </cfRule>
  </conditionalFormatting>
  <conditionalFormatting sqref="M2:M576 L577:L1048576">
    <cfRule type="expression" dxfId="490" priority="93">
      <formula>INDIRECT("Changed!M"&amp;ROW())&lt;&gt;INDIRECT("Base!M"&amp;ROW())</formula>
    </cfRule>
  </conditionalFormatting>
  <conditionalFormatting sqref="N1:N1048576">
    <cfRule type="expression" dxfId="489" priority="136">
      <formula>INDIRECT("Changed!g"&amp;ROW())&lt;INDIRECT("Base!G"&amp;ROW())</formula>
    </cfRule>
    <cfRule type="expression" dxfId="488" priority="137">
      <formula>INDIRECT("Changed!G"&amp;ROW())&gt;INDIRECT("Base!G"&amp;ROW())</formula>
    </cfRule>
  </conditionalFormatting>
  <conditionalFormatting sqref="N2:N657">
    <cfRule type="expression" dxfId="487" priority="7">
      <formula>INDIRECT("Changed!g"&amp;ROW())=INDIRECT("Base!G"&amp;ROW())</formula>
    </cfRule>
  </conditionalFormatting>
  <conditionalFormatting sqref="O1:O1048576">
    <cfRule type="notContainsBlanks" dxfId="486" priority="1">
      <formula>LEN(TRIM(O1))&gt;0</formula>
    </cfRule>
  </conditionalFormatting>
  <hyperlinks>
    <hyperlink ref="P1" r:id="rId1" xr:uid="{9445BCFE-5D7A-40E9-AA46-E05332CA365C}"/>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FC9A1-4145-4191-80C3-BABF67718841}">
  <sheetPr>
    <tabColor rgb="FFB4CDF6"/>
  </sheetPr>
  <dimension ref="A1:J803"/>
  <sheetViews>
    <sheetView topLeftCell="A312" zoomScale="70" zoomScaleNormal="70" workbookViewId="0">
      <selection activeCell="C290" sqref="C290:C292"/>
    </sheetView>
  </sheetViews>
  <sheetFormatPr defaultRowHeight="50.1" customHeight="1" x14ac:dyDescent="0.25"/>
  <cols>
    <col min="1" max="1" width="19.5703125" style="242" bestFit="1" customWidth="1"/>
    <col min="2" max="2" width="27.140625" style="244" bestFit="1" customWidth="1"/>
    <col min="3" max="3" width="29.28515625" style="6" customWidth="1"/>
    <col min="4" max="4" width="14.42578125" style="6" customWidth="1"/>
    <col min="5" max="5" width="29.28515625" style="6" customWidth="1"/>
    <col min="6" max="6" width="14.42578125" style="6" customWidth="1"/>
    <col min="7" max="7" width="29.28515625" style="6" customWidth="1"/>
    <col min="8" max="8" width="9.140625" style="6"/>
    <col min="9" max="9" width="9.140625" style="6" customWidth="1"/>
    <col min="10" max="16384" width="9.140625" style="6"/>
  </cols>
  <sheetData>
    <row r="1" spans="1:7" ht="17.25" customHeight="1" x14ac:dyDescent="0.25">
      <c r="A1" s="241" t="s">
        <v>0</v>
      </c>
      <c r="B1" s="243" t="s">
        <v>1</v>
      </c>
      <c r="C1" s="221" t="s">
        <v>1157</v>
      </c>
      <c r="D1" s="221" t="s">
        <v>1158</v>
      </c>
      <c r="E1" s="221" t="s">
        <v>1159</v>
      </c>
      <c r="F1" s="221" t="s">
        <v>1158</v>
      </c>
      <c r="G1" s="221" t="s">
        <v>1160</v>
      </c>
    </row>
    <row r="2" spans="1:7" ht="50.1" customHeight="1" x14ac:dyDescent="0.25">
      <c r="A2" s="242">
        <v>1</v>
      </c>
      <c r="B2" s="244" t="s">
        <v>13</v>
      </c>
      <c r="C2" s="284" t="e">
        <f>#REF!</f>
        <v>#REF!</v>
      </c>
      <c r="D2" s="221" t="s">
        <v>741</v>
      </c>
      <c r="E2" s="284" t="e">
        <f>#REF!</f>
        <v>#REF!</v>
      </c>
      <c r="F2" s="221" t="s">
        <v>741</v>
      </c>
      <c r="G2" s="284" t="e">
        <f>#REF!</f>
        <v>#REF!</v>
      </c>
    </row>
    <row r="3" spans="1:7" ht="50.1" customHeight="1" x14ac:dyDescent="0.25">
      <c r="A3" s="242">
        <v>2</v>
      </c>
      <c r="B3" s="244" t="s">
        <v>18</v>
      </c>
      <c r="C3" s="284"/>
      <c r="D3" s="221">
        <v>20</v>
      </c>
      <c r="E3" s="284"/>
      <c r="F3" s="221">
        <v>38</v>
      </c>
      <c r="G3" s="284"/>
    </row>
    <row r="4" spans="1:7" ht="50.1" customHeight="1" x14ac:dyDescent="0.25">
      <c r="A4" s="242">
        <v>3</v>
      </c>
      <c r="B4" s="244" t="s">
        <v>19</v>
      </c>
      <c r="C4" s="284"/>
      <c r="D4" s="6" t="e" vm="1">
        <f>IP!B2</f>
        <v>#VALUE!</v>
      </c>
      <c r="E4" s="284"/>
      <c r="F4" s="6" t="e" vm="1">
        <f>IP!B2</f>
        <v>#VALUE!</v>
      </c>
      <c r="G4" s="284"/>
    </row>
    <row r="5" spans="1:7" ht="50.1" customHeight="1" x14ac:dyDescent="0.25">
      <c r="A5" s="242">
        <v>4</v>
      </c>
      <c r="B5" s="244" t="s">
        <v>20</v>
      </c>
      <c r="C5" s="284" t="e">
        <f>#REF!</f>
        <v>#REF!</v>
      </c>
      <c r="D5" s="221" t="s">
        <v>741</v>
      </c>
      <c r="E5" s="284" t="e">
        <f>#REF!</f>
        <v>#REF!</v>
      </c>
      <c r="F5" s="221" t="s">
        <v>741</v>
      </c>
      <c r="G5" s="284" t="e">
        <f>#REF!</f>
        <v>#REF!</v>
      </c>
    </row>
    <row r="6" spans="1:7" ht="50.1" customHeight="1" x14ac:dyDescent="0.25">
      <c r="A6" s="242">
        <v>5</v>
      </c>
      <c r="B6" s="244" t="s">
        <v>24</v>
      </c>
      <c r="C6" s="284"/>
      <c r="D6" s="221">
        <v>20</v>
      </c>
      <c r="E6" s="284"/>
      <c r="F6" s="221">
        <v>42</v>
      </c>
      <c r="G6" s="284"/>
    </row>
    <row r="7" spans="1:7" ht="50.1" customHeight="1" x14ac:dyDescent="0.25">
      <c r="A7" s="242">
        <v>6</v>
      </c>
      <c r="B7" s="245" t="s">
        <v>25</v>
      </c>
      <c r="C7" s="284"/>
      <c r="D7" s="6" t="e" vm="1">
        <f>IP!B2</f>
        <v>#VALUE!</v>
      </c>
      <c r="E7" s="284"/>
      <c r="F7" s="6" t="e" vm="1">
        <f>IP!B2</f>
        <v>#VALUE!</v>
      </c>
      <c r="G7" s="284"/>
    </row>
    <row r="8" spans="1:7" ht="50.1" customHeight="1" x14ac:dyDescent="0.25">
      <c r="A8" s="242">
        <v>7</v>
      </c>
      <c r="B8" s="244" t="s">
        <v>27</v>
      </c>
      <c r="C8" s="284" t="e">
        <f>#REF!</f>
        <v>#REF!</v>
      </c>
      <c r="D8" s="221" t="s">
        <v>741</v>
      </c>
      <c r="E8" s="284" t="e">
        <f>#REF!</f>
        <v>#REF!</v>
      </c>
      <c r="F8" s="221" t="s">
        <v>741</v>
      </c>
      <c r="G8" s="284" t="e">
        <f>#REF!</f>
        <v>#REF!</v>
      </c>
    </row>
    <row r="9" spans="1:7" ht="50.1" customHeight="1" x14ac:dyDescent="0.25">
      <c r="A9" s="242">
        <v>8</v>
      </c>
      <c r="B9" s="244" t="s">
        <v>31</v>
      </c>
      <c r="C9" s="284"/>
      <c r="D9" s="221">
        <v>20</v>
      </c>
      <c r="E9" s="284"/>
      <c r="F9" s="221">
        <v>42</v>
      </c>
      <c r="G9" s="284"/>
    </row>
    <row r="10" spans="1:7" ht="50.1" customHeight="1" x14ac:dyDescent="0.25">
      <c r="A10" s="242">
        <v>9</v>
      </c>
      <c r="B10" s="244" t="s">
        <v>32</v>
      </c>
      <c r="C10" s="284"/>
      <c r="D10" s="6" t="e" vm="1">
        <f>IP!B2</f>
        <v>#VALUE!</v>
      </c>
      <c r="E10" s="284"/>
      <c r="F10" s="6" t="e" vm="1">
        <f>IP!B2</f>
        <v>#VALUE!</v>
      </c>
      <c r="G10" s="284"/>
    </row>
    <row r="11" spans="1:7" ht="50.1" customHeight="1" x14ac:dyDescent="0.25">
      <c r="A11" s="242">
        <v>10</v>
      </c>
      <c r="B11" s="244" t="s">
        <v>33</v>
      </c>
      <c r="C11" s="284" t="e">
        <f>#REF!</f>
        <v>#REF!</v>
      </c>
      <c r="D11" s="221" t="s">
        <v>741</v>
      </c>
      <c r="E11" s="284" t="e">
        <f>#REF!</f>
        <v>#REF!</v>
      </c>
      <c r="F11" s="221" t="s">
        <v>741</v>
      </c>
      <c r="G11" s="284" t="e">
        <f>#REF!</f>
        <v>#REF!</v>
      </c>
    </row>
    <row r="12" spans="1:7" ht="50.1" customHeight="1" x14ac:dyDescent="0.25">
      <c r="A12" s="242">
        <v>11</v>
      </c>
      <c r="B12" s="244" t="s">
        <v>35</v>
      </c>
      <c r="C12" s="284"/>
      <c r="D12" s="221">
        <v>9</v>
      </c>
      <c r="E12" s="284"/>
      <c r="F12" s="221">
        <v>18</v>
      </c>
      <c r="G12" s="284"/>
    </row>
    <row r="13" spans="1:7" ht="50.1" customHeight="1" x14ac:dyDescent="0.25">
      <c r="A13" s="242">
        <v>12</v>
      </c>
      <c r="B13" s="244" t="s">
        <v>36</v>
      </c>
      <c r="C13" s="284"/>
      <c r="D13" s="6" t="e" vm="1">
        <f>IP!B2</f>
        <v>#VALUE!</v>
      </c>
      <c r="E13" s="284"/>
      <c r="F13" s="6" t="e" vm="1">
        <f>IP!B2</f>
        <v>#VALUE!</v>
      </c>
      <c r="G13" s="284"/>
    </row>
    <row r="14" spans="1:7" ht="50.1" customHeight="1" x14ac:dyDescent="0.25">
      <c r="A14" s="242">
        <v>13</v>
      </c>
      <c r="B14" s="244" t="s">
        <v>37</v>
      </c>
      <c r="C14" s="284" t="e">
        <f>#REF!</f>
        <v>#REF!</v>
      </c>
      <c r="D14" s="221" t="s">
        <v>741</v>
      </c>
      <c r="E14" s="284" t="e">
        <f>#REF!</f>
        <v>#REF!</v>
      </c>
      <c r="F14" s="221" t="s">
        <v>741</v>
      </c>
      <c r="G14" s="284" t="e">
        <f>#REF!</f>
        <v>#REF!</v>
      </c>
    </row>
    <row r="15" spans="1:7" ht="50.1" customHeight="1" x14ac:dyDescent="0.25">
      <c r="A15" s="242">
        <v>14</v>
      </c>
      <c r="B15" s="244" t="s">
        <v>38</v>
      </c>
      <c r="C15" s="284"/>
      <c r="D15" s="221">
        <v>9</v>
      </c>
      <c r="E15" s="284"/>
      <c r="F15" s="221">
        <v>18</v>
      </c>
      <c r="G15" s="284"/>
    </row>
    <row r="16" spans="1:7" ht="50.1" customHeight="1" x14ac:dyDescent="0.25">
      <c r="A16" s="242">
        <v>15</v>
      </c>
      <c r="B16" s="244" t="s">
        <v>39</v>
      </c>
      <c r="C16" s="284"/>
      <c r="D16" s="6" t="e" vm="1">
        <f>IP!B2</f>
        <v>#VALUE!</v>
      </c>
      <c r="E16" s="284"/>
      <c r="F16" s="6" t="e" vm="1">
        <f>IP!B2</f>
        <v>#VALUE!</v>
      </c>
      <c r="G16" s="284"/>
    </row>
    <row r="17" spans="1:9" ht="50.1" customHeight="1" x14ac:dyDescent="0.25">
      <c r="A17" s="242">
        <v>16</v>
      </c>
      <c r="B17" s="244" t="s">
        <v>40</v>
      </c>
      <c r="C17" s="284" t="e">
        <f>#REF!</f>
        <v>#REF!</v>
      </c>
      <c r="D17" s="221" t="s">
        <v>741</v>
      </c>
      <c r="E17" s="284" t="e">
        <f>#REF!</f>
        <v>#REF!</v>
      </c>
      <c r="F17" s="221" t="s">
        <v>741</v>
      </c>
      <c r="G17" s="284" t="e">
        <f>#REF!</f>
        <v>#REF!</v>
      </c>
    </row>
    <row r="18" spans="1:9" ht="50.1" customHeight="1" x14ac:dyDescent="0.25">
      <c r="A18" s="242">
        <v>17</v>
      </c>
      <c r="B18" s="244" t="s">
        <v>42</v>
      </c>
      <c r="C18" s="284"/>
      <c r="D18" s="221">
        <v>18</v>
      </c>
      <c r="E18" s="284"/>
      <c r="F18" s="221">
        <v>38</v>
      </c>
      <c r="G18" s="284"/>
    </row>
    <row r="19" spans="1:9" ht="50.1" customHeight="1" x14ac:dyDescent="0.25">
      <c r="A19" s="242">
        <v>18</v>
      </c>
      <c r="B19" s="244" t="s">
        <v>43</v>
      </c>
      <c r="C19" s="284"/>
      <c r="D19" s="6" t="e" vm="1">
        <f>IP!B2</f>
        <v>#VALUE!</v>
      </c>
      <c r="E19" s="284"/>
      <c r="F19" s="6" t="e" vm="1">
        <f>IP!B2</f>
        <v>#VALUE!</v>
      </c>
      <c r="G19" s="284"/>
    </row>
    <row r="20" spans="1:9" ht="50.1" customHeight="1" x14ac:dyDescent="0.25">
      <c r="A20" s="242">
        <v>19</v>
      </c>
      <c r="B20" s="244" t="s">
        <v>44</v>
      </c>
      <c r="C20" s="284" t="e">
        <f>#REF!</f>
        <v>#REF!</v>
      </c>
      <c r="D20" s="221" t="s">
        <v>741</v>
      </c>
      <c r="E20" s="284" t="e">
        <f>#REF!</f>
        <v>#REF!</v>
      </c>
      <c r="F20" s="221"/>
    </row>
    <row r="21" spans="1:9" ht="50.1" customHeight="1" x14ac:dyDescent="0.25">
      <c r="A21" s="281">
        <v>20</v>
      </c>
      <c r="B21" s="282" t="s">
        <v>45</v>
      </c>
      <c r="C21" s="284"/>
      <c r="D21" s="221">
        <v>25</v>
      </c>
      <c r="E21" s="284"/>
      <c r="F21" s="221"/>
    </row>
    <row r="22" spans="1:9" ht="50.1" customHeight="1" x14ac:dyDescent="0.25">
      <c r="A22" s="281"/>
      <c r="B22" s="282"/>
      <c r="C22" s="284"/>
      <c r="D22" s="6" t="e" vm="1">
        <f>IP!B2</f>
        <v>#VALUE!</v>
      </c>
      <c r="E22" s="284"/>
    </row>
    <row r="23" spans="1:9" ht="50.1" customHeight="1" x14ac:dyDescent="0.25">
      <c r="A23" s="242">
        <v>21</v>
      </c>
      <c r="B23" s="244" t="s">
        <v>48</v>
      </c>
      <c r="C23" s="284" t="e">
        <f>#REF!</f>
        <v>#REF!</v>
      </c>
      <c r="D23" s="221" t="s">
        <v>741</v>
      </c>
      <c r="E23" s="284" t="e">
        <f>#REF!</f>
        <v>#REF!</v>
      </c>
      <c r="F23" s="221"/>
    </row>
    <row r="24" spans="1:9" ht="50.1" customHeight="1" x14ac:dyDescent="0.25">
      <c r="A24" s="281">
        <v>22</v>
      </c>
      <c r="B24" s="282" t="s">
        <v>49</v>
      </c>
      <c r="C24" s="284"/>
      <c r="D24" s="221">
        <v>30</v>
      </c>
      <c r="E24" s="284"/>
      <c r="F24" s="221"/>
    </row>
    <row r="25" spans="1:9" ht="50.1" customHeight="1" x14ac:dyDescent="0.25">
      <c r="A25" s="281"/>
      <c r="B25" s="282"/>
      <c r="C25" s="284"/>
      <c r="D25" s="6" t="e" vm="1">
        <f>IP!B2</f>
        <v>#VALUE!</v>
      </c>
      <c r="E25" s="284"/>
    </row>
    <row r="26" spans="1:9" ht="50.1" customHeight="1" x14ac:dyDescent="0.25">
      <c r="A26" s="242">
        <v>23</v>
      </c>
      <c r="B26" s="244" t="s">
        <v>206</v>
      </c>
      <c r="C26" s="284" t="e">
        <f>#REF!</f>
        <v>#REF!</v>
      </c>
      <c r="D26" s="221" t="s">
        <v>741</v>
      </c>
      <c r="E26" s="284" t="e">
        <f>#REF!</f>
        <v>#REF!</v>
      </c>
      <c r="F26" s="221" t="s">
        <v>741</v>
      </c>
      <c r="G26" s="284" t="e">
        <f>#REF!</f>
        <v>#REF!</v>
      </c>
      <c r="H26" s="221"/>
      <c r="I26" s="221" t="s">
        <v>1189</v>
      </c>
    </row>
    <row r="27" spans="1:9" ht="50.1" customHeight="1" x14ac:dyDescent="0.25">
      <c r="A27" s="242">
        <v>24</v>
      </c>
      <c r="B27" s="244" t="s">
        <v>50</v>
      </c>
      <c r="C27" s="284"/>
      <c r="D27" s="221">
        <v>15</v>
      </c>
      <c r="E27" s="284"/>
      <c r="F27" s="221">
        <v>40</v>
      </c>
      <c r="G27" s="284"/>
      <c r="H27" s="221" t="s">
        <v>1208</v>
      </c>
      <c r="I27" s="221" t="s">
        <v>737</v>
      </c>
    </row>
    <row r="28" spans="1:9" ht="50.1" customHeight="1" x14ac:dyDescent="0.25">
      <c r="A28" s="242">
        <v>25</v>
      </c>
      <c r="B28" s="244" t="s">
        <v>52</v>
      </c>
      <c r="C28" s="284"/>
      <c r="D28" s="6" t="e" vm="1">
        <f>IP!B2</f>
        <v>#VALUE!</v>
      </c>
      <c r="E28" s="284"/>
      <c r="F28" s="6" t="e" vm="1">
        <f>IP!B2</f>
        <v>#VALUE!</v>
      </c>
      <c r="G28" s="284"/>
      <c r="H28" s="221"/>
      <c r="I28" s="221" t="e" vm="2">
        <f>IP!B5</f>
        <v>#VALUE!</v>
      </c>
    </row>
    <row r="29" spans="1:9" ht="50.1" customHeight="1" x14ac:dyDescent="0.25">
      <c r="A29" s="242">
        <v>26</v>
      </c>
      <c r="B29" s="244" t="s">
        <v>53</v>
      </c>
      <c r="C29" s="284" t="e">
        <f>#REF!</f>
        <v>#REF!</v>
      </c>
      <c r="D29" s="221" t="s">
        <v>741</v>
      </c>
      <c r="E29" s="284" t="e">
        <f>#REF!</f>
        <v>#REF!</v>
      </c>
      <c r="F29" s="221"/>
    </row>
    <row r="30" spans="1:9" ht="50.1" customHeight="1" x14ac:dyDescent="0.25">
      <c r="A30" s="281">
        <v>27</v>
      </c>
      <c r="B30" s="282" t="s">
        <v>55</v>
      </c>
      <c r="C30" s="284"/>
      <c r="D30" s="221">
        <v>22</v>
      </c>
      <c r="E30" s="284"/>
      <c r="F30" s="221"/>
    </row>
    <row r="31" spans="1:9" ht="50.1" customHeight="1" x14ac:dyDescent="0.25">
      <c r="A31" s="281"/>
      <c r="B31" s="282"/>
      <c r="C31" s="284"/>
      <c r="D31" s="6" t="e" vm="1">
        <f>IP!B2</f>
        <v>#VALUE!</v>
      </c>
      <c r="E31" s="284"/>
    </row>
    <row r="32" spans="1:9" ht="50.1" customHeight="1" x14ac:dyDescent="0.25">
      <c r="A32" s="242">
        <v>28</v>
      </c>
      <c r="B32" s="244" t="s">
        <v>56</v>
      </c>
      <c r="C32" s="284" t="e">
        <f>#REF!</f>
        <v>#REF!</v>
      </c>
      <c r="D32" s="221" t="s">
        <v>741</v>
      </c>
      <c r="E32" s="284" t="e">
        <f>#REF!</f>
        <v>#REF!</v>
      </c>
      <c r="F32" s="221" t="s">
        <v>741</v>
      </c>
      <c r="G32" s="284" t="e">
        <f>#REF!</f>
        <v>#REF!</v>
      </c>
    </row>
    <row r="33" spans="1:9" ht="50.1" customHeight="1" x14ac:dyDescent="0.25">
      <c r="A33" s="242">
        <v>29</v>
      </c>
      <c r="B33" s="244" t="s">
        <v>57</v>
      </c>
      <c r="C33" s="284"/>
      <c r="D33" s="221">
        <v>21</v>
      </c>
      <c r="E33" s="284"/>
      <c r="F33" s="221">
        <v>42</v>
      </c>
      <c r="G33" s="284"/>
    </row>
    <row r="34" spans="1:9" ht="50.1" customHeight="1" x14ac:dyDescent="0.25">
      <c r="A34" s="242">
        <v>30</v>
      </c>
      <c r="B34" s="244" t="s">
        <v>58</v>
      </c>
      <c r="C34" s="284"/>
      <c r="D34" s="6" t="e" vm="1">
        <f>IP!B2</f>
        <v>#VALUE!</v>
      </c>
      <c r="E34" s="284"/>
      <c r="F34" s="6" t="e" vm="1">
        <f>IP!B2</f>
        <v>#VALUE!</v>
      </c>
      <c r="G34" s="284"/>
    </row>
    <row r="35" spans="1:9" ht="50.1" customHeight="1" x14ac:dyDescent="0.25">
      <c r="A35" s="242">
        <v>31</v>
      </c>
      <c r="B35" s="244" t="s">
        <v>59</v>
      </c>
      <c r="C35" s="284" t="e">
        <f>#REF!</f>
        <v>#REF!</v>
      </c>
      <c r="D35" s="221" t="s">
        <v>741</v>
      </c>
      <c r="E35" s="284" t="e">
        <f>#REF!</f>
        <v>#REF!</v>
      </c>
      <c r="F35" s="221" t="s">
        <v>741</v>
      </c>
      <c r="G35" s="284" t="e">
        <f>#REF!</f>
        <v>#REF!</v>
      </c>
    </row>
    <row r="36" spans="1:9" ht="50.1" customHeight="1" x14ac:dyDescent="0.25">
      <c r="A36" s="242">
        <v>32</v>
      </c>
      <c r="B36" s="244" t="s">
        <v>60</v>
      </c>
      <c r="C36" s="284"/>
      <c r="D36" s="221">
        <v>21</v>
      </c>
      <c r="E36" s="284"/>
      <c r="F36" s="221">
        <v>42</v>
      </c>
      <c r="G36" s="284"/>
    </row>
    <row r="37" spans="1:9" ht="50.1" customHeight="1" x14ac:dyDescent="0.25">
      <c r="A37" s="242">
        <v>33</v>
      </c>
      <c r="B37" s="244" t="s">
        <v>61</v>
      </c>
      <c r="C37" s="284"/>
      <c r="D37" s="6" t="e" vm="1">
        <f>IP!B2</f>
        <v>#VALUE!</v>
      </c>
      <c r="E37" s="284"/>
      <c r="F37" s="6" t="e" vm="1">
        <f>IP!B2</f>
        <v>#VALUE!</v>
      </c>
      <c r="G37" s="284"/>
    </row>
    <row r="38" spans="1:9" ht="50.1" customHeight="1" x14ac:dyDescent="0.25">
      <c r="A38" s="242">
        <v>34</v>
      </c>
      <c r="B38" s="244" t="s">
        <v>207</v>
      </c>
      <c r="C38" s="284" t="e">
        <f>#REF!</f>
        <v>#REF!</v>
      </c>
      <c r="D38" s="221" t="s">
        <v>741</v>
      </c>
      <c r="E38" s="284" t="e">
        <f>#REF!</f>
        <v>#REF!</v>
      </c>
      <c r="F38" s="221" t="s">
        <v>741</v>
      </c>
      <c r="G38" s="284" t="e">
        <f>#REF!</f>
        <v>#REF!</v>
      </c>
      <c r="I38" s="221" t="s">
        <v>1189</v>
      </c>
    </row>
    <row r="39" spans="1:9" ht="50.1" customHeight="1" x14ac:dyDescent="0.25">
      <c r="A39" s="242">
        <v>35</v>
      </c>
      <c r="B39" s="244" t="s">
        <v>62</v>
      </c>
      <c r="C39" s="284"/>
      <c r="D39" s="221">
        <v>15</v>
      </c>
      <c r="E39" s="284"/>
      <c r="F39" s="221">
        <v>39</v>
      </c>
      <c r="G39" s="284"/>
      <c r="H39" s="221" t="s">
        <v>1208</v>
      </c>
      <c r="I39" s="221" t="s">
        <v>737</v>
      </c>
    </row>
    <row r="40" spans="1:9" ht="50.1" customHeight="1" x14ac:dyDescent="0.25">
      <c r="A40" s="242">
        <v>36</v>
      </c>
      <c r="B40" s="244" t="s">
        <v>63</v>
      </c>
      <c r="C40" s="284"/>
      <c r="D40" s="6" t="e" vm="1">
        <f>IP!B2</f>
        <v>#VALUE!</v>
      </c>
      <c r="E40" s="284"/>
      <c r="F40" s="6" t="e" vm="1">
        <f>IP!B2</f>
        <v>#VALUE!</v>
      </c>
      <c r="G40" s="284"/>
      <c r="H40" s="221"/>
      <c r="I40" s="6" t="e" vm="3">
        <f>IP!B7</f>
        <v>#VALUE!</v>
      </c>
    </row>
    <row r="41" spans="1:9" ht="50.1" customHeight="1" x14ac:dyDescent="0.25">
      <c r="A41" s="242">
        <v>37</v>
      </c>
      <c r="B41" s="244" t="s">
        <v>64</v>
      </c>
      <c r="C41" s="284" t="e">
        <f>#REF!</f>
        <v>#REF!</v>
      </c>
      <c r="D41" s="221" t="s">
        <v>741</v>
      </c>
      <c r="E41" s="284" t="e">
        <f>#REF!</f>
        <v>#REF!</v>
      </c>
      <c r="H41" s="221"/>
      <c r="I41" s="221" t="s">
        <v>1189</v>
      </c>
    </row>
    <row r="42" spans="1:9" ht="50.1" customHeight="1" x14ac:dyDescent="0.25">
      <c r="A42" s="281">
        <v>38</v>
      </c>
      <c r="B42" s="282" t="s">
        <v>65</v>
      </c>
      <c r="C42" s="284"/>
      <c r="D42" s="221">
        <v>32</v>
      </c>
      <c r="E42" s="284"/>
      <c r="H42" s="221" t="s">
        <v>1208</v>
      </c>
      <c r="I42" s="221" t="s">
        <v>737</v>
      </c>
    </row>
    <row r="43" spans="1:9" ht="50.1" customHeight="1" x14ac:dyDescent="0.25">
      <c r="A43" s="281"/>
      <c r="B43" s="282"/>
      <c r="C43" s="284"/>
      <c r="D43" s="6" t="e" vm="1">
        <f>IP!B2</f>
        <v>#VALUE!</v>
      </c>
      <c r="E43" s="284"/>
      <c r="H43" s="221"/>
      <c r="I43" s="6" t="e" vm="4">
        <f>IP!B3</f>
        <v>#VALUE!</v>
      </c>
    </row>
    <row r="44" spans="1:9" ht="50.1" customHeight="1" x14ac:dyDescent="0.25">
      <c r="A44" s="242">
        <v>39</v>
      </c>
      <c r="B44" s="244" t="s">
        <v>208</v>
      </c>
      <c r="C44" s="284" t="e">
        <f>#REF!</f>
        <v>#REF!</v>
      </c>
      <c r="D44" s="221" t="s">
        <v>741</v>
      </c>
      <c r="E44" s="284" t="e">
        <f>#REF!</f>
        <v>#REF!</v>
      </c>
      <c r="F44" s="221" t="s">
        <v>741</v>
      </c>
      <c r="G44" s="284" t="e">
        <f>#REF!</f>
        <v>#REF!</v>
      </c>
      <c r="H44" s="221"/>
      <c r="I44" s="221" t="s">
        <v>1189</v>
      </c>
    </row>
    <row r="45" spans="1:9" ht="50.1" customHeight="1" x14ac:dyDescent="0.25">
      <c r="A45" s="242">
        <v>40</v>
      </c>
      <c r="B45" s="244" t="s">
        <v>66</v>
      </c>
      <c r="C45" s="284"/>
      <c r="D45" s="221">
        <v>15</v>
      </c>
      <c r="E45" s="284"/>
      <c r="F45" s="221">
        <v>32</v>
      </c>
      <c r="G45" s="284"/>
      <c r="H45" s="221" t="s">
        <v>1208</v>
      </c>
      <c r="I45" s="221" t="s">
        <v>737</v>
      </c>
    </row>
    <row r="46" spans="1:9" ht="50.1" customHeight="1" x14ac:dyDescent="0.25">
      <c r="A46" s="242">
        <v>41</v>
      </c>
      <c r="B46" s="244" t="s">
        <v>67</v>
      </c>
      <c r="C46" s="284"/>
      <c r="D46" s="6" t="e" vm="1">
        <f>IP!B2</f>
        <v>#VALUE!</v>
      </c>
      <c r="E46" s="284"/>
      <c r="F46" s="6" t="e" vm="1">
        <f>IP!B2</f>
        <v>#VALUE!</v>
      </c>
      <c r="G46" s="284"/>
      <c r="I46" s="6" t="e" vm="3">
        <f>IP!B7</f>
        <v>#VALUE!</v>
      </c>
    </row>
    <row r="47" spans="1:9" ht="50.1" customHeight="1" x14ac:dyDescent="0.25">
      <c r="A47" s="242">
        <v>42</v>
      </c>
      <c r="B47" s="244" t="s">
        <v>68</v>
      </c>
      <c r="C47" s="284" t="e">
        <f>#REF!</f>
        <v>#REF!</v>
      </c>
      <c r="D47" s="221" t="s">
        <v>741</v>
      </c>
      <c r="E47" s="284" t="e">
        <f>#REF!</f>
        <v>#REF!</v>
      </c>
      <c r="F47" s="221" t="s">
        <v>741</v>
      </c>
      <c r="G47" s="284" t="e">
        <f>#REF!</f>
        <v>#REF!</v>
      </c>
    </row>
    <row r="48" spans="1:9" ht="50.1" customHeight="1" x14ac:dyDescent="0.25">
      <c r="A48" s="242">
        <v>43</v>
      </c>
      <c r="B48" s="244" t="s">
        <v>69</v>
      </c>
      <c r="C48" s="284"/>
      <c r="D48" s="221">
        <v>22</v>
      </c>
      <c r="E48" s="284"/>
      <c r="F48" s="221">
        <v>45</v>
      </c>
      <c r="G48" s="284"/>
    </row>
    <row r="49" spans="1:7" ht="50.1" customHeight="1" x14ac:dyDescent="0.25">
      <c r="A49" s="242">
        <v>44</v>
      </c>
      <c r="B49" s="244" t="s">
        <v>203</v>
      </c>
      <c r="C49" s="284"/>
      <c r="D49" s="6" t="e" vm="1">
        <f>IP!B2</f>
        <v>#VALUE!</v>
      </c>
      <c r="E49" s="284"/>
      <c r="F49" s="6" t="e" vm="1">
        <f>IP!B2</f>
        <v>#VALUE!</v>
      </c>
      <c r="G49" s="284"/>
    </row>
    <row r="50" spans="1:7" ht="50.1" customHeight="1" x14ac:dyDescent="0.25">
      <c r="A50" s="242">
        <v>45</v>
      </c>
      <c r="B50" s="244" t="s">
        <v>70</v>
      </c>
      <c r="C50" s="284" t="e">
        <f>#REF!</f>
        <v>#REF!</v>
      </c>
      <c r="D50" s="221" t="s">
        <v>741</v>
      </c>
      <c r="E50" s="284" t="e">
        <f>#REF!</f>
        <v>#REF!</v>
      </c>
      <c r="F50" s="221" t="s">
        <v>1189</v>
      </c>
      <c r="G50" s="284" t="e">
        <f>#REF!</f>
        <v>#REF!</v>
      </c>
    </row>
    <row r="51" spans="1:7" ht="50.1" customHeight="1" x14ac:dyDescent="0.25">
      <c r="A51" s="242">
        <v>46</v>
      </c>
      <c r="B51" s="244" t="s">
        <v>71</v>
      </c>
      <c r="C51" s="284"/>
      <c r="D51" s="221"/>
      <c r="E51" s="284"/>
      <c r="F51" s="221" t="s">
        <v>737</v>
      </c>
      <c r="G51" s="284"/>
    </row>
    <row r="52" spans="1:7" ht="50.1" customHeight="1" x14ac:dyDescent="0.25">
      <c r="A52" s="283">
        <v>47</v>
      </c>
      <c r="B52" s="282" t="s">
        <v>72</v>
      </c>
      <c r="C52" s="284"/>
      <c r="D52" s="221">
        <v>21</v>
      </c>
      <c r="E52" s="284"/>
      <c r="F52" s="6" t="e" vm="5">
        <f>IP!B6</f>
        <v>#VALUE!</v>
      </c>
      <c r="G52" s="284"/>
    </row>
    <row r="53" spans="1:7" ht="50.1" customHeight="1" x14ac:dyDescent="0.25">
      <c r="A53" s="283"/>
      <c r="B53" s="282"/>
      <c r="C53" s="284"/>
      <c r="D53" s="221"/>
      <c r="E53" s="284"/>
      <c r="F53" s="221" t="s">
        <v>1189</v>
      </c>
      <c r="G53" s="284" t="e">
        <f>#REF!</f>
        <v>#REF!</v>
      </c>
    </row>
    <row r="54" spans="1:7" ht="50.1" customHeight="1" x14ac:dyDescent="0.25">
      <c r="A54" s="281">
        <v>48</v>
      </c>
      <c r="B54" s="282" t="s">
        <v>216</v>
      </c>
      <c r="C54" s="284"/>
      <c r="D54" s="6" t="e" vm="1">
        <f>IP!B2</f>
        <v>#VALUE!</v>
      </c>
      <c r="E54" s="284"/>
      <c r="F54" s="221" t="s">
        <v>737</v>
      </c>
      <c r="G54" s="284"/>
    </row>
    <row r="55" spans="1:7" ht="50.1" customHeight="1" x14ac:dyDescent="0.25">
      <c r="A55" s="281"/>
      <c r="B55" s="282"/>
      <c r="C55" s="284"/>
      <c r="E55" s="284"/>
      <c r="F55" s="6" t="e" vm="6">
        <f>IP!B8</f>
        <v>#VALUE!</v>
      </c>
      <c r="G55" s="284"/>
    </row>
    <row r="56" spans="1:7" ht="50.1" customHeight="1" x14ac:dyDescent="0.25">
      <c r="A56" s="242">
        <v>49</v>
      </c>
      <c r="B56" s="244" t="s">
        <v>73</v>
      </c>
      <c r="C56" s="284" t="e">
        <f>#REF!</f>
        <v>#REF!</v>
      </c>
      <c r="D56" s="221" t="s">
        <v>741</v>
      </c>
      <c r="E56" s="284" t="e">
        <f>#REF!</f>
        <v>#REF!</v>
      </c>
      <c r="F56" s="221"/>
    </row>
    <row r="57" spans="1:7" ht="50.1" customHeight="1" x14ac:dyDescent="0.25">
      <c r="A57" s="281">
        <v>50</v>
      </c>
      <c r="B57" s="282" t="s">
        <v>74</v>
      </c>
      <c r="C57" s="284"/>
      <c r="D57" s="221">
        <v>24</v>
      </c>
      <c r="E57" s="284"/>
      <c r="F57" s="221"/>
    </row>
    <row r="58" spans="1:7" ht="50.1" customHeight="1" x14ac:dyDescent="0.25">
      <c r="A58" s="281"/>
      <c r="B58" s="282"/>
      <c r="C58" s="284"/>
      <c r="D58" s="6" t="e" vm="1">
        <f>IP!B2</f>
        <v>#VALUE!</v>
      </c>
      <c r="E58" s="284"/>
    </row>
    <row r="59" spans="1:7" ht="50.1" customHeight="1" x14ac:dyDescent="0.25">
      <c r="A59" s="242">
        <v>51</v>
      </c>
      <c r="B59" s="244" t="s">
        <v>75</v>
      </c>
      <c r="C59" s="284" t="e">
        <f>#REF!</f>
        <v>#REF!</v>
      </c>
      <c r="D59" s="221" t="s">
        <v>741</v>
      </c>
      <c r="E59" s="284" t="e">
        <f>#REF!</f>
        <v>#REF!</v>
      </c>
    </row>
    <row r="60" spans="1:7" ht="50.1" customHeight="1" x14ac:dyDescent="0.25">
      <c r="A60" s="281">
        <v>52</v>
      </c>
      <c r="B60" s="282" t="s">
        <v>76</v>
      </c>
      <c r="C60" s="284"/>
      <c r="D60" s="221">
        <v>31</v>
      </c>
      <c r="E60" s="284"/>
    </row>
    <row r="61" spans="1:7" ht="50.1" customHeight="1" x14ac:dyDescent="0.25">
      <c r="A61" s="281"/>
      <c r="B61" s="282"/>
      <c r="C61" s="284"/>
      <c r="D61" s="6" t="e" vm="1">
        <f>IP!B2</f>
        <v>#VALUE!</v>
      </c>
      <c r="E61" s="284"/>
    </row>
    <row r="62" spans="1:7" ht="50.1" customHeight="1" x14ac:dyDescent="0.25">
      <c r="A62" s="242">
        <v>53</v>
      </c>
      <c r="B62" s="244" t="s">
        <v>77</v>
      </c>
      <c r="C62" s="284" t="e">
        <f>#REF!</f>
        <v>#REF!</v>
      </c>
      <c r="D62" s="221" t="s">
        <v>741</v>
      </c>
      <c r="E62" s="284" t="e">
        <f>#REF!</f>
        <v>#REF!</v>
      </c>
    </row>
    <row r="63" spans="1:7" ht="50.1" customHeight="1" x14ac:dyDescent="0.25">
      <c r="A63" s="281">
        <v>54</v>
      </c>
      <c r="B63" s="282" t="s">
        <v>78</v>
      </c>
      <c r="C63" s="284"/>
      <c r="D63" s="221">
        <v>26</v>
      </c>
      <c r="E63" s="284"/>
    </row>
    <row r="64" spans="1:7" ht="50.1" customHeight="1" x14ac:dyDescent="0.25">
      <c r="A64" s="281"/>
      <c r="B64" s="282"/>
      <c r="C64" s="284"/>
      <c r="D64" s="6" t="e" vm="1">
        <f>IP!B2</f>
        <v>#VALUE!</v>
      </c>
      <c r="E64" s="284"/>
    </row>
    <row r="65" spans="1:7" ht="50.1" customHeight="1" x14ac:dyDescent="0.25">
      <c r="A65" s="242">
        <v>55</v>
      </c>
      <c r="B65" s="244" t="s">
        <v>79</v>
      </c>
      <c r="C65" s="284" t="e">
        <f>#REF!</f>
        <v>#REF!</v>
      </c>
      <c r="D65" s="221" t="s">
        <v>741</v>
      </c>
      <c r="E65" s="284" t="e">
        <f>#REF!</f>
        <v>#REF!</v>
      </c>
    </row>
    <row r="66" spans="1:7" ht="50.1" customHeight="1" x14ac:dyDescent="0.25">
      <c r="A66" s="281">
        <v>56</v>
      </c>
      <c r="B66" s="282" t="s">
        <v>80</v>
      </c>
      <c r="C66" s="284"/>
      <c r="D66" s="221">
        <v>28</v>
      </c>
      <c r="E66" s="284"/>
    </row>
    <row r="67" spans="1:7" ht="50.1" customHeight="1" x14ac:dyDescent="0.25">
      <c r="A67" s="281"/>
      <c r="B67" s="282"/>
      <c r="C67" s="284"/>
      <c r="D67" s="6" t="e" vm="1">
        <f>IP!B2</f>
        <v>#VALUE!</v>
      </c>
      <c r="E67" s="284"/>
    </row>
    <row r="68" spans="1:7" ht="50.1" customHeight="1" x14ac:dyDescent="0.25">
      <c r="A68" s="242">
        <v>57</v>
      </c>
      <c r="B68" s="244" t="s">
        <v>81</v>
      </c>
      <c r="C68" s="284" t="e">
        <f>#REF!</f>
        <v>#REF!</v>
      </c>
      <c r="D68" s="221" t="s">
        <v>741</v>
      </c>
      <c r="E68" s="284" t="e">
        <f>#REF!</f>
        <v>#REF!</v>
      </c>
    </row>
    <row r="69" spans="1:7" ht="50.1" customHeight="1" x14ac:dyDescent="0.25">
      <c r="A69" s="281">
        <v>58</v>
      </c>
      <c r="B69" s="282" t="s">
        <v>82</v>
      </c>
      <c r="C69" s="284"/>
      <c r="D69" s="221">
        <v>28</v>
      </c>
      <c r="E69" s="284"/>
    </row>
    <row r="70" spans="1:7" ht="50.1" customHeight="1" x14ac:dyDescent="0.25">
      <c r="A70" s="281"/>
      <c r="B70" s="282"/>
      <c r="C70" s="284"/>
      <c r="D70" s="6" t="e" vm="1">
        <f>IP!B2</f>
        <v>#VALUE!</v>
      </c>
      <c r="E70" s="284"/>
    </row>
    <row r="71" spans="1:7" ht="50.1" customHeight="1" x14ac:dyDescent="0.25">
      <c r="A71" s="242">
        <v>59</v>
      </c>
      <c r="B71" s="244" t="s">
        <v>83</v>
      </c>
      <c r="C71" s="284" t="e">
        <f>#REF!</f>
        <v>#REF!</v>
      </c>
      <c r="D71" s="221" t="s">
        <v>741</v>
      </c>
      <c r="E71" s="284" t="e">
        <f>#REF!</f>
        <v>#REF!</v>
      </c>
      <c r="F71" s="221" t="s">
        <v>741</v>
      </c>
      <c r="G71" s="284" t="e">
        <f>#REF!</f>
        <v>#REF!</v>
      </c>
    </row>
    <row r="72" spans="1:7" ht="50.1" customHeight="1" x14ac:dyDescent="0.25">
      <c r="A72" s="242">
        <v>60</v>
      </c>
      <c r="B72" s="244" t="s">
        <v>85</v>
      </c>
      <c r="C72" s="284"/>
      <c r="D72" s="221">
        <v>28</v>
      </c>
      <c r="E72" s="284"/>
      <c r="F72" s="221">
        <v>55</v>
      </c>
      <c r="G72" s="284"/>
    </row>
    <row r="73" spans="1:7" ht="50.1" customHeight="1" x14ac:dyDescent="0.25">
      <c r="A73" s="242">
        <v>61</v>
      </c>
      <c r="B73" s="244" t="s">
        <v>958</v>
      </c>
      <c r="C73" s="284"/>
      <c r="D73" s="6" t="e" vm="1">
        <f>IP!B2</f>
        <v>#VALUE!</v>
      </c>
      <c r="E73" s="284"/>
      <c r="F73" s="6" t="e" vm="1">
        <f>IP!B2</f>
        <v>#VALUE!</v>
      </c>
      <c r="G73" s="284"/>
    </row>
    <row r="74" spans="1:7" ht="50.1" customHeight="1" x14ac:dyDescent="0.25">
      <c r="A74" s="242">
        <v>62</v>
      </c>
      <c r="B74" s="244" t="s">
        <v>86</v>
      </c>
      <c r="C74" s="284" t="e">
        <f>#REF!</f>
        <v>#REF!</v>
      </c>
      <c r="D74" s="221" t="s">
        <v>741</v>
      </c>
      <c r="E74" s="284" t="e">
        <f>#REF!</f>
        <v>#REF!</v>
      </c>
      <c r="F74" s="221" t="s">
        <v>1189</v>
      </c>
    </row>
    <row r="75" spans="1:7" ht="50.1" customHeight="1" x14ac:dyDescent="0.25">
      <c r="A75" s="281">
        <v>63</v>
      </c>
      <c r="B75" s="282" t="s">
        <v>87</v>
      </c>
      <c r="C75" s="284"/>
      <c r="D75" s="221">
        <v>32</v>
      </c>
      <c r="E75" s="284"/>
      <c r="F75" s="221" t="s">
        <v>737</v>
      </c>
    </row>
    <row r="76" spans="1:7" ht="50.1" customHeight="1" x14ac:dyDescent="0.25">
      <c r="A76" s="281"/>
      <c r="B76" s="282"/>
      <c r="C76" s="284"/>
      <c r="D76" s="6" t="e" vm="1">
        <f>IP!B2</f>
        <v>#VALUE!</v>
      </c>
      <c r="E76" s="284"/>
      <c r="F76" s="6" t="e" vm="4">
        <f>IP!B3</f>
        <v>#VALUE!</v>
      </c>
    </row>
    <row r="77" spans="1:7" ht="50.1" customHeight="1" x14ac:dyDescent="0.25">
      <c r="A77" s="242">
        <v>64</v>
      </c>
      <c r="B77" s="244" t="s">
        <v>88</v>
      </c>
      <c r="C77" s="284" t="e">
        <f>#REF!</f>
        <v>#REF!</v>
      </c>
      <c r="D77" s="221" t="s">
        <v>741</v>
      </c>
      <c r="E77" s="284" t="e">
        <f>#REF!</f>
        <v>#REF!</v>
      </c>
      <c r="F77" s="221" t="s">
        <v>741</v>
      </c>
      <c r="G77" s="284" t="e">
        <f>#REF!</f>
        <v>#REF!</v>
      </c>
    </row>
    <row r="78" spans="1:7" ht="50.1" customHeight="1" x14ac:dyDescent="0.25">
      <c r="A78" s="242">
        <v>65</v>
      </c>
      <c r="B78" s="244" t="s">
        <v>89</v>
      </c>
      <c r="C78" s="284"/>
      <c r="D78" s="221"/>
      <c r="E78" s="284"/>
      <c r="F78" s="221">
        <v>45</v>
      </c>
      <c r="G78" s="284"/>
    </row>
    <row r="79" spans="1:7" ht="50.1" customHeight="1" x14ac:dyDescent="0.25">
      <c r="A79" s="281">
        <v>66</v>
      </c>
      <c r="B79" s="282" t="s">
        <v>90</v>
      </c>
      <c r="C79" s="284"/>
      <c r="D79" s="221">
        <v>25</v>
      </c>
      <c r="E79" s="284"/>
      <c r="F79" s="221" t="e" vm="1">
        <f>IP!B2</f>
        <v>#VALUE!</v>
      </c>
      <c r="G79" s="284"/>
    </row>
    <row r="80" spans="1:7" ht="50.1" customHeight="1" x14ac:dyDescent="0.25">
      <c r="A80" s="281"/>
      <c r="B80" s="282"/>
      <c r="C80" s="284"/>
      <c r="D80" s="221"/>
      <c r="E80" s="284"/>
      <c r="F80" s="221" t="s">
        <v>1189</v>
      </c>
      <c r="G80" s="284" t="e">
        <f>#REF!</f>
        <v>#REF!</v>
      </c>
    </row>
    <row r="81" spans="1:9" ht="50.1" customHeight="1" x14ac:dyDescent="0.25">
      <c r="A81" s="281">
        <v>67</v>
      </c>
      <c r="B81" s="282" t="s">
        <v>220</v>
      </c>
      <c r="C81" s="284"/>
      <c r="D81" s="6" t="e" vm="1">
        <f>IP!B2</f>
        <v>#VALUE!</v>
      </c>
      <c r="E81" s="284"/>
      <c r="F81" s="221" t="s">
        <v>737</v>
      </c>
      <c r="G81" s="284"/>
    </row>
    <row r="82" spans="1:9" ht="50.1" customHeight="1" x14ac:dyDescent="0.25">
      <c r="A82" s="281"/>
      <c r="B82" s="282"/>
      <c r="C82" s="284"/>
      <c r="E82" s="284"/>
      <c r="F82" s="221" t="e" vm="7">
        <f>IP!B4</f>
        <v>#VALUE!</v>
      </c>
      <c r="G82" s="284"/>
    </row>
    <row r="83" spans="1:9" ht="50.1" customHeight="1" x14ac:dyDescent="0.25">
      <c r="A83" s="242">
        <v>68</v>
      </c>
      <c r="B83" s="244" t="s">
        <v>91</v>
      </c>
      <c r="C83" s="284" t="e">
        <f>#REF!</f>
        <v>#REF!</v>
      </c>
      <c r="D83" s="221" t="s">
        <v>741</v>
      </c>
      <c r="E83" s="284" t="e">
        <f>#REF!</f>
        <v>#REF!</v>
      </c>
      <c r="F83" s="221" t="s">
        <v>741</v>
      </c>
      <c r="G83" s="284" t="e">
        <f>#REF!</f>
        <v>#REF!</v>
      </c>
      <c r="I83" s="221" t="s">
        <v>1189</v>
      </c>
    </row>
    <row r="84" spans="1:9" ht="50.1" customHeight="1" x14ac:dyDescent="0.25">
      <c r="A84" s="242">
        <v>69</v>
      </c>
      <c r="B84" s="244" t="s">
        <v>93</v>
      </c>
      <c r="C84" s="284"/>
      <c r="D84" s="221">
        <v>16</v>
      </c>
      <c r="E84" s="284"/>
      <c r="F84" s="221">
        <v>45</v>
      </c>
      <c r="G84" s="284"/>
      <c r="H84" s="221" t="s">
        <v>1208</v>
      </c>
      <c r="I84" s="221" t="s">
        <v>737</v>
      </c>
    </row>
    <row r="85" spans="1:9" ht="50.1" customHeight="1" x14ac:dyDescent="0.25">
      <c r="A85" s="242">
        <v>70</v>
      </c>
      <c r="B85" s="244" t="s">
        <v>94</v>
      </c>
      <c r="C85" s="284"/>
      <c r="D85" s="6" t="e" vm="1">
        <f>IP!B2</f>
        <v>#VALUE!</v>
      </c>
      <c r="E85" s="284"/>
      <c r="F85" s="221" t="e" vm="1">
        <f>IP!B2</f>
        <v>#VALUE!</v>
      </c>
      <c r="G85" s="284"/>
      <c r="I85" s="221" t="e" vm="8">
        <f>IP!B14</f>
        <v>#VALUE!</v>
      </c>
    </row>
    <row r="86" spans="1:9" ht="50.1" customHeight="1" x14ac:dyDescent="0.25">
      <c r="A86" s="242">
        <v>71</v>
      </c>
      <c r="B86" s="244" t="s">
        <v>95</v>
      </c>
      <c r="C86" s="284" t="e">
        <f>#REF!</f>
        <v>#REF!</v>
      </c>
      <c r="D86" s="221" t="s">
        <v>741</v>
      </c>
      <c r="E86" s="284" t="e">
        <f>#REF!</f>
        <v>#REF!</v>
      </c>
      <c r="F86" s="221" t="s">
        <v>741</v>
      </c>
      <c r="G86" s="284" t="e">
        <f>#REF!</f>
        <v>#REF!</v>
      </c>
      <c r="I86" s="221" t="s">
        <v>1189</v>
      </c>
    </row>
    <row r="87" spans="1:9" ht="50.1" customHeight="1" x14ac:dyDescent="0.25">
      <c r="A87" s="242">
        <v>72</v>
      </c>
      <c r="B87" s="244" t="s">
        <v>96</v>
      </c>
      <c r="C87" s="284"/>
      <c r="D87" s="221">
        <v>28</v>
      </c>
      <c r="E87" s="284"/>
      <c r="F87" s="221">
        <v>45</v>
      </c>
      <c r="G87" s="284"/>
      <c r="H87" s="221" t="s">
        <v>1208</v>
      </c>
      <c r="I87" s="221" t="s">
        <v>737</v>
      </c>
    </row>
    <row r="88" spans="1:9" ht="50.1" customHeight="1" x14ac:dyDescent="0.25">
      <c r="A88" s="242">
        <v>73</v>
      </c>
      <c r="B88" s="244" t="s">
        <v>97</v>
      </c>
      <c r="C88" s="284"/>
      <c r="D88" s="6" t="e" vm="1">
        <f>IP!B2</f>
        <v>#VALUE!</v>
      </c>
      <c r="E88" s="284"/>
      <c r="F88" s="221" t="e" vm="1">
        <f>IP!B2</f>
        <v>#VALUE!</v>
      </c>
      <c r="G88" s="284"/>
      <c r="I88" s="221" t="e" vm="8">
        <f>IP!B14</f>
        <v>#VALUE!</v>
      </c>
    </row>
    <row r="89" spans="1:9" ht="50.1" customHeight="1" x14ac:dyDescent="0.25">
      <c r="A89" s="242">
        <v>74</v>
      </c>
      <c r="B89" s="244" t="s">
        <v>98</v>
      </c>
      <c r="C89" s="284" t="e">
        <f>#REF!</f>
        <v>#REF!</v>
      </c>
      <c r="D89" s="221" t="s">
        <v>741</v>
      </c>
      <c r="E89" s="284" t="e">
        <f>#REF!</f>
        <v>#REF!</v>
      </c>
      <c r="F89" s="221" t="s">
        <v>741</v>
      </c>
      <c r="G89" s="284" t="e">
        <f>#REF!</f>
        <v>#REF!</v>
      </c>
    </row>
    <row r="90" spans="1:9" ht="50.1" customHeight="1" x14ac:dyDescent="0.25">
      <c r="A90" s="242">
        <v>75</v>
      </c>
      <c r="B90" s="244" t="s">
        <v>99</v>
      </c>
      <c r="C90" s="284"/>
      <c r="D90" s="221">
        <v>21</v>
      </c>
      <c r="E90" s="284"/>
      <c r="F90" s="221">
        <v>42</v>
      </c>
      <c r="G90" s="284"/>
    </row>
    <row r="91" spans="1:9" ht="50.1" customHeight="1" x14ac:dyDescent="0.25">
      <c r="A91" s="242">
        <v>76</v>
      </c>
      <c r="B91" s="244" t="s">
        <v>100</v>
      </c>
      <c r="C91" s="284"/>
      <c r="D91" s="6" t="e" vm="1">
        <f>IP!B2</f>
        <v>#VALUE!</v>
      </c>
      <c r="E91" s="284"/>
      <c r="F91" s="221" t="e" vm="1">
        <f>IP!B2</f>
        <v>#VALUE!</v>
      </c>
      <c r="G91" s="284"/>
    </row>
    <row r="92" spans="1:9" ht="50.1" customHeight="1" x14ac:dyDescent="0.25">
      <c r="A92" s="242">
        <v>77</v>
      </c>
      <c r="B92" s="244" t="s">
        <v>101</v>
      </c>
      <c r="C92" s="284" t="e">
        <f>#REF!</f>
        <v>#REF!</v>
      </c>
      <c r="D92" s="221" t="s">
        <v>741</v>
      </c>
      <c r="E92" s="284" t="e">
        <f>#REF!</f>
        <v>#REF!</v>
      </c>
      <c r="F92" s="221"/>
    </row>
    <row r="93" spans="1:9" ht="50.1" customHeight="1" x14ac:dyDescent="0.25">
      <c r="A93" s="281">
        <v>78</v>
      </c>
      <c r="B93" s="282" t="s">
        <v>102</v>
      </c>
      <c r="C93" s="284"/>
      <c r="D93" s="221">
        <v>30</v>
      </c>
      <c r="E93" s="284"/>
      <c r="F93" s="221"/>
    </row>
    <row r="94" spans="1:9" ht="50.1" customHeight="1" x14ac:dyDescent="0.25">
      <c r="A94" s="281"/>
      <c r="B94" s="282"/>
      <c r="C94" s="284"/>
      <c r="D94" s="6" t="e" vm="1">
        <f>IP!B2</f>
        <v>#VALUE!</v>
      </c>
      <c r="E94" s="284"/>
      <c r="F94" s="221"/>
    </row>
    <row r="95" spans="1:9" ht="50.1" customHeight="1" x14ac:dyDescent="0.25">
      <c r="A95" s="242">
        <v>79</v>
      </c>
      <c r="B95" s="244" t="s">
        <v>103</v>
      </c>
      <c r="C95" s="284" t="e">
        <f>#REF!</f>
        <v>#REF!</v>
      </c>
      <c r="D95" s="221" t="s">
        <v>741</v>
      </c>
      <c r="E95" s="284" t="e">
        <f>#REF!</f>
        <v>#REF!</v>
      </c>
      <c r="F95" s="221" t="s">
        <v>741</v>
      </c>
      <c r="G95" s="284" t="e">
        <f>#REF!</f>
        <v>#REF!</v>
      </c>
      <c r="I95" s="221" t="s">
        <v>1189</v>
      </c>
    </row>
    <row r="96" spans="1:9" ht="50.1" customHeight="1" x14ac:dyDescent="0.25">
      <c r="A96" s="242">
        <v>80</v>
      </c>
      <c r="B96" s="244" t="s">
        <v>105</v>
      </c>
      <c r="C96" s="284"/>
      <c r="D96" s="221">
        <v>25</v>
      </c>
      <c r="E96" s="284"/>
      <c r="F96" s="221">
        <v>42</v>
      </c>
      <c r="G96" s="284"/>
      <c r="H96" s="221" t="s">
        <v>1208</v>
      </c>
      <c r="I96" s="221" t="s">
        <v>737</v>
      </c>
    </row>
    <row r="97" spans="1:9" ht="50.1" customHeight="1" x14ac:dyDescent="0.25">
      <c r="A97" s="242">
        <v>81</v>
      </c>
      <c r="B97" s="244" t="s">
        <v>106</v>
      </c>
      <c r="C97" s="284"/>
      <c r="D97" s="6" t="e" vm="1">
        <f>IP!B2</f>
        <v>#VALUE!</v>
      </c>
      <c r="E97" s="284"/>
      <c r="F97" s="6" t="e" vm="1">
        <f>IP!B2</f>
        <v>#VALUE!</v>
      </c>
      <c r="G97" s="284"/>
      <c r="I97" s="221" t="e" vm="8">
        <f>IP!B14</f>
        <v>#VALUE!</v>
      </c>
    </row>
    <row r="98" spans="1:9" ht="50.1" customHeight="1" x14ac:dyDescent="0.25">
      <c r="A98" s="242">
        <v>82</v>
      </c>
      <c r="B98" s="244" t="s">
        <v>107</v>
      </c>
      <c r="C98" s="284" t="e">
        <f>#REF!</f>
        <v>#REF!</v>
      </c>
      <c r="D98" s="221" t="s">
        <v>741</v>
      </c>
      <c r="E98" s="284" t="e">
        <f>#REF!</f>
        <v>#REF!</v>
      </c>
      <c r="I98" s="221" t="s">
        <v>1189</v>
      </c>
    </row>
    <row r="99" spans="1:9" ht="50.1" customHeight="1" x14ac:dyDescent="0.25">
      <c r="A99" s="281">
        <v>83</v>
      </c>
      <c r="B99" s="282" t="s">
        <v>108</v>
      </c>
      <c r="C99" s="284"/>
      <c r="D99" s="221">
        <v>40</v>
      </c>
      <c r="E99" s="284"/>
      <c r="H99" s="221" t="s">
        <v>1208</v>
      </c>
      <c r="I99" s="221" t="s">
        <v>737</v>
      </c>
    </row>
    <row r="100" spans="1:9" ht="50.1" customHeight="1" x14ac:dyDescent="0.25">
      <c r="A100" s="281"/>
      <c r="B100" s="282"/>
      <c r="C100" s="284"/>
      <c r="D100" s="6" t="e" vm="1">
        <f>IP!B2</f>
        <v>#VALUE!</v>
      </c>
      <c r="E100" s="284"/>
      <c r="I100" s="221" t="e" vm="4">
        <f>IP!B3</f>
        <v>#VALUE!</v>
      </c>
    </row>
    <row r="101" spans="1:9" ht="50.1" customHeight="1" x14ac:dyDescent="0.25">
      <c r="A101" s="281">
        <v>84</v>
      </c>
      <c r="B101" s="282" t="s">
        <v>109</v>
      </c>
      <c r="C101" s="284" t="e">
        <f>#REF!</f>
        <v>#REF!</v>
      </c>
      <c r="D101" s="221" t="s">
        <v>741</v>
      </c>
      <c r="E101" s="284" t="e">
        <f>#REF!</f>
        <v>#REF!</v>
      </c>
    </row>
    <row r="102" spans="1:9" ht="50.1" customHeight="1" x14ac:dyDescent="0.25">
      <c r="A102" s="281"/>
      <c r="B102" s="282"/>
      <c r="C102" s="284"/>
      <c r="D102" s="221">
        <v>37</v>
      </c>
      <c r="E102" s="284"/>
    </row>
    <row r="103" spans="1:9" ht="50.1" customHeight="1" x14ac:dyDescent="0.25">
      <c r="A103" s="281">
        <v>85</v>
      </c>
      <c r="B103" s="282" t="s">
        <v>110</v>
      </c>
      <c r="C103" s="284"/>
      <c r="D103" s="6" t="e" vm="1">
        <f>IP!B2</f>
        <v>#VALUE!</v>
      </c>
      <c r="E103" s="284"/>
    </row>
    <row r="104" spans="1:9" ht="50.1" customHeight="1" x14ac:dyDescent="0.25">
      <c r="A104" s="281"/>
      <c r="B104" s="282"/>
      <c r="C104" s="284"/>
      <c r="D104" s="221" t="s">
        <v>1189</v>
      </c>
      <c r="E104" s="284" t="e">
        <f>#REF!</f>
        <v>#REF!</v>
      </c>
    </row>
    <row r="105" spans="1:9" ht="50.1" customHeight="1" x14ac:dyDescent="0.25">
      <c r="A105" s="281">
        <v>86</v>
      </c>
      <c r="B105" s="282" t="s">
        <v>234</v>
      </c>
      <c r="C105" s="284"/>
      <c r="D105" s="221" t="s">
        <v>737</v>
      </c>
      <c r="E105" s="284"/>
    </row>
    <row r="106" spans="1:9" ht="50.1" customHeight="1" x14ac:dyDescent="0.25">
      <c r="A106" s="281"/>
      <c r="B106" s="282"/>
      <c r="C106" s="284"/>
      <c r="D106" s="6" t="e" vm="7">
        <f>IP!B4</f>
        <v>#VALUE!</v>
      </c>
      <c r="E106" s="284"/>
    </row>
    <row r="107" spans="1:9" ht="50.1" customHeight="1" x14ac:dyDescent="0.25">
      <c r="A107" s="242">
        <v>87</v>
      </c>
      <c r="B107" s="244" t="s">
        <v>111</v>
      </c>
      <c r="C107" s="284" t="e">
        <f>#REF!</f>
        <v>#REF!</v>
      </c>
      <c r="D107" s="221" t="s">
        <v>741</v>
      </c>
      <c r="E107" s="284" t="e">
        <f>#REF!</f>
        <v>#REF!</v>
      </c>
      <c r="F107" s="221" t="s">
        <v>741</v>
      </c>
      <c r="G107" s="284" t="e">
        <f>#REF!</f>
        <v>#REF!</v>
      </c>
      <c r="H107" s="221"/>
      <c r="I107" s="221" t="s">
        <v>1189</v>
      </c>
    </row>
    <row r="108" spans="1:9" ht="50.1" customHeight="1" x14ac:dyDescent="0.25">
      <c r="A108" s="242">
        <v>88</v>
      </c>
      <c r="B108" s="244" t="s">
        <v>113</v>
      </c>
      <c r="C108" s="284"/>
      <c r="D108" s="221">
        <v>30</v>
      </c>
      <c r="E108" s="284"/>
      <c r="F108" s="221">
        <v>50</v>
      </c>
      <c r="G108" s="284"/>
      <c r="H108" s="221" t="s">
        <v>1208</v>
      </c>
      <c r="I108" s="221" t="s">
        <v>737</v>
      </c>
    </row>
    <row r="109" spans="1:9" ht="50.1" customHeight="1" x14ac:dyDescent="0.25">
      <c r="A109" s="242">
        <v>89</v>
      </c>
      <c r="B109" s="244" t="s">
        <v>497</v>
      </c>
      <c r="C109" s="284"/>
      <c r="D109" s="6" t="e" vm="1">
        <f>IP!B2</f>
        <v>#VALUE!</v>
      </c>
      <c r="E109" s="284"/>
      <c r="F109" s="6" t="e" vm="1">
        <f>IP!B2</f>
        <v>#VALUE!</v>
      </c>
      <c r="G109" s="284"/>
      <c r="H109" s="221"/>
      <c r="I109" s="221" t="e" vm="2">
        <f>IP!B5</f>
        <v>#VALUE!</v>
      </c>
    </row>
    <row r="110" spans="1:9" ht="50.1" customHeight="1" x14ac:dyDescent="0.25">
      <c r="A110" s="242">
        <v>90</v>
      </c>
      <c r="B110" s="244" t="s">
        <v>114</v>
      </c>
      <c r="C110" s="284" t="e">
        <f>#REF!</f>
        <v>#REF!</v>
      </c>
      <c r="D110" s="221" t="s">
        <v>741</v>
      </c>
      <c r="E110" s="284" t="e">
        <f>#REF!</f>
        <v>#REF!</v>
      </c>
    </row>
    <row r="111" spans="1:9" ht="50.1" customHeight="1" x14ac:dyDescent="0.25">
      <c r="A111" s="281">
        <v>91</v>
      </c>
      <c r="B111" s="282" t="s">
        <v>942</v>
      </c>
      <c r="C111" s="284"/>
      <c r="D111" s="221">
        <v>30</v>
      </c>
      <c r="E111" s="284"/>
    </row>
    <row r="112" spans="1:9" ht="50.1" customHeight="1" x14ac:dyDescent="0.25">
      <c r="A112" s="281"/>
      <c r="B112" s="282"/>
      <c r="C112" s="284"/>
      <c r="D112" s="6" t="e" vm="1">
        <f>IP!B2</f>
        <v>#VALUE!</v>
      </c>
      <c r="E112" s="284"/>
    </row>
    <row r="113" spans="1:9" ht="50.1" customHeight="1" x14ac:dyDescent="0.25">
      <c r="A113" s="242">
        <v>92</v>
      </c>
      <c r="B113" s="244" t="s">
        <v>115</v>
      </c>
      <c r="C113" s="284" t="e">
        <f>#REF!</f>
        <v>#REF!</v>
      </c>
      <c r="D113" s="221" t="s">
        <v>741</v>
      </c>
      <c r="E113" s="284" t="e">
        <f>#REF!</f>
        <v>#REF!</v>
      </c>
    </row>
    <row r="114" spans="1:9" ht="50.1" customHeight="1" x14ac:dyDescent="0.25">
      <c r="A114" s="281">
        <v>93</v>
      </c>
      <c r="B114" s="282" t="s">
        <v>116</v>
      </c>
      <c r="C114" s="284"/>
      <c r="D114" s="221">
        <v>31</v>
      </c>
      <c r="E114" s="284"/>
    </row>
    <row r="115" spans="1:9" ht="50.1" customHeight="1" x14ac:dyDescent="0.25">
      <c r="A115" s="281"/>
      <c r="B115" s="282"/>
      <c r="C115" s="284"/>
      <c r="D115" s="6" t="e" vm="1">
        <f>IP!B2</f>
        <v>#VALUE!</v>
      </c>
      <c r="E115" s="284"/>
    </row>
    <row r="116" spans="1:9" ht="50.1" customHeight="1" x14ac:dyDescent="0.25">
      <c r="A116" s="242">
        <v>94</v>
      </c>
      <c r="B116" s="244" t="s">
        <v>117</v>
      </c>
      <c r="C116" s="284" t="e">
        <f>#REF!</f>
        <v>#REF!</v>
      </c>
      <c r="D116" s="221" t="s">
        <v>741</v>
      </c>
      <c r="E116" s="284" t="e">
        <f>#REF!</f>
        <v>#REF!</v>
      </c>
    </row>
    <row r="117" spans="1:9" ht="50.1" customHeight="1" x14ac:dyDescent="0.25">
      <c r="A117" s="281">
        <v>95</v>
      </c>
      <c r="B117" s="282" t="s">
        <v>118</v>
      </c>
      <c r="C117" s="284"/>
      <c r="D117" s="221">
        <v>34</v>
      </c>
      <c r="E117" s="284"/>
    </row>
    <row r="118" spans="1:9" ht="50.1" customHeight="1" x14ac:dyDescent="0.25">
      <c r="A118" s="281"/>
      <c r="B118" s="282"/>
      <c r="C118" s="284"/>
      <c r="D118" s="6" t="e" vm="1">
        <f>IP!B2</f>
        <v>#VALUE!</v>
      </c>
      <c r="E118" s="284"/>
    </row>
    <row r="119" spans="1:9" ht="50.1" customHeight="1" x14ac:dyDescent="0.25">
      <c r="A119" s="242">
        <v>96</v>
      </c>
      <c r="B119" s="244" t="s">
        <v>120</v>
      </c>
      <c r="C119" s="284" t="e">
        <f>#REF!</f>
        <v>#REF!</v>
      </c>
      <c r="D119" s="221" t="s">
        <v>741</v>
      </c>
      <c r="E119" s="284" t="e">
        <f>#REF!</f>
        <v>#REF!</v>
      </c>
    </row>
    <row r="120" spans="1:9" ht="50.1" customHeight="1" x14ac:dyDescent="0.25">
      <c r="A120" s="281">
        <v>97</v>
      </c>
      <c r="B120" s="282" t="s">
        <v>121</v>
      </c>
      <c r="C120" s="284"/>
      <c r="D120" s="221">
        <v>38</v>
      </c>
      <c r="E120" s="284"/>
    </row>
    <row r="121" spans="1:9" ht="50.1" customHeight="1" x14ac:dyDescent="0.25">
      <c r="A121" s="281"/>
      <c r="B121" s="282"/>
      <c r="C121" s="284"/>
      <c r="D121" s="6" t="e" vm="1">
        <f>IP!B2</f>
        <v>#VALUE!</v>
      </c>
      <c r="E121" s="284"/>
    </row>
    <row r="122" spans="1:9" ht="50.1" customHeight="1" x14ac:dyDescent="0.25">
      <c r="A122" s="242">
        <v>98</v>
      </c>
      <c r="B122" s="244" t="s">
        <v>122</v>
      </c>
      <c r="C122" s="284" t="e">
        <f>#REF!</f>
        <v>#REF!</v>
      </c>
      <c r="D122" s="221" t="s">
        <v>741</v>
      </c>
      <c r="E122" s="284" t="e">
        <f>#REF!</f>
        <v>#REF!</v>
      </c>
      <c r="I122" s="221"/>
    </row>
    <row r="123" spans="1:9" ht="50.1" customHeight="1" x14ac:dyDescent="0.25">
      <c r="A123" s="281">
        <v>99</v>
      </c>
      <c r="B123" s="282" t="s">
        <v>123</v>
      </c>
      <c r="C123" s="284"/>
      <c r="D123" s="221">
        <v>38</v>
      </c>
      <c r="E123" s="284"/>
      <c r="H123" s="221"/>
      <c r="I123" s="221"/>
    </row>
    <row r="124" spans="1:9" ht="50.1" customHeight="1" x14ac:dyDescent="0.25">
      <c r="A124" s="281"/>
      <c r="B124" s="282"/>
      <c r="C124" s="284"/>
      <c r="D124" s="6" t="e" vm="1">
        <f>IP!B2</f>
        <v>#VALUE!</v>
      </c>
      <c r="E124" s="284"/>
    </row>
    <row r="125" spans="1:9" ht="50.1" customHeight="1" x14ac:dyDescent="0.25">
      <c r="A125" s="242">
        <v>100</v>
      </c>
      <c r="B125" s="244" t="s">
        <v>124</v>
      </c>
      <c r="C125" s="284" t="e">
        <f>#REF!</f>
        <v>#REF!</v>
      </c>
      <c r="D125" s="221" t="s">
        <v>741</v>
      </c>
      <c r="E125" s="284" t="e">
        <f>#REF!</f>
        <v>#REF!</v>
      </c>
      <c r="F125" s="221" t="s">
        <v>741</v>
      </c>
      <c r="G125" s="284" t="e">
        <f>#REF!</f>
        <v>#REF!</v>
      </c>
      <c r="I125" s="221"/>
    </row>
    <row r="126" spans="1:9" ht="50.1" customHeight="1" x14ac:dyDescent="0.25">
      <c r="A126" s="242">
        <v>101</v>
      </c>
      <c r="B126" s="244" t="s">
        <v>126</v>
      </c>
      <c r="C126" s="284"/>
      <c r="D126" s="221">
        <v>25</v>
      </c>
      <c r="E126" s="284"/>
      <c r="F126" s="221">
        <v>50</v>
      </c>
      <c r="G126" s="284"/>
    </row>
    <row r="127" spans="1:9" ht="50.1" customHeight="1" x14ac:dyDescent="0.25">
      <c r="A127" s="242">
        <v>102</v>
      </c>
      <c r="B127" s="244" t="s">
        <v>127</v>
      </c>
      <c r="C127" s="284"/>
      <c r="D127" s="6" t="e" vm="1">
        <f>IP!B2</f>
        <v>#VALUE!</v>
      </c>
      <c r="E127" s="284"/>
      <c r="F127" s="6" t="e" vm="1">
        <f>IP!B2</f>
        <v>#VALUE!</v>
      </c>
      <c r="G127" s="284"/>
    </row>
    <row r="128" spans="1:9" ht="50.1" customHeight="1" x14ac:dyDescent="0.25">
      <c r="A128" s="242">
        <v>103</v>
      </c>
      <c r="B128" s="244" t="s">
        <v>128</v>
      </c>
      <c r="C128" s="284" t="e">
        <f>#REF!</f>
        <v>#REF!</v>
      </c>
      <c r="D128" s="221" t="s">
        <v>741</v>
      </c>
      <c r="E128" s="284" t="e">
        <f>#REF!</f>
        <v>#REF!</v>
      </c>
    </row>
    <row r="129" spans="1:9" ht="50.1" customHeight="1" x14ac:dyDescent="0.25">
      <c r="A129" s="281">
        <v>104</v>
      </c>
      <c r="B129" s="282" t="s">
        <v>243</v>
      </c>
      <c r="C129" s="284"/>
      <c r="D129" s="221">
        <v>40</v>
      </c>
      <c r="E129" s="284"/>
    </row>
    <row r="130" spans="1:9" ht="50.1" customHeight="1" x14ac:dyDescent="0.25">
      <c r="A130" s="281"/>
      <c r="B130" s="282"/>
      <c r="C130" s="284"/>
      <c r="D130" s="6" t="e" vm="1">
        <f>IP!B2</f>
        <v>#VALUE!</v>
      </c>
      <c r="E130" s="284"/>
    </row>
    <row r="131" spans="1:9" ht="50.1" customHeight="1" x14ac:dyDescent="0.25">
      <c r="A131" s="242">
        <v>105</v>
      </c>
      <c r="B131" s="244" t="s">
        <v>129</v>
      </c>
      <c r="C131" s="284" t="e">
        <f>#REF!</f>
        <v>#REF!</v>
      </c>
      <c r="D131" s="221" t="s">
        <v>741</v>
      </c>
      <c r="E131" s="284" t="e">
        <f>#REF!</f>
        <v>#REF!</v>
      </c>
    </row>
    <row r="132" spans="1:9" ht="50.1" customHeight="1" x14ac:dyDescent="0.25">
      <c r="A132" s="281">
        <v>106</v>
      </c>
      <c r="B132" s="282" t="s">
        <v>130</v>
      </c>
      <c r="C132" s="284"/>
      <c r="D132" s="221">
        <v>26</v>
      </c>
      <c r="E132" s="284"/>
    </row>
    <row r="133" spans="1:9" ht="50.1" customHeight="1" x14ac:dyDescent="0.25">
      <c r="A133" s="281"/>
      <c r="B133" s="282"/>
      <c r="C133" s="284"/>
      <c r="D133" s="6" t="e" vm="1">
        <f>IP!B2</f>
        <v>#VALUE!</v>
      </c>
      <c r="E133" s="284"/>
    </row>
    <row r="134" spans="1:9" ht="50.1" customHeight="1" x14ac:dyDescent="0.25">
      <c r="A134" s="242">
        <v>107</v>
      </c>
      <c r="B134" s="244" t="s">
        <v>131</v>
      </c>
      <c r="C134" s="284" t="e">
        <f>#REF!</f>
        <v>#REF!</v>
      </c>
      <c r="D134" s="221" t="s">
        <v>741</v>
      </c>
      <c r="E134" s="6" t="e">
        <f>#REF!</f>
        <v>#REF!</v>
      </c>
    </row>
    <row r="135" spans="1:9" ht="50.1" customHeight="1" x14ac:dyDescent="0.25">
      <c r="A135" s="281">
        <v>108</v>
      </c>
      <c r="B135" s="282" t="s">
        <v>132</v>
      </c>
      <c r="C135" s="284"/>
      <c r="D135" s="221">
        <v>25</v>
      </c>
    </row>
    <row r="136" spans="1:9" ht="50.1" customHeight="1" x14ac:dyDescent="0.25">
      <c r="A136" s="281"/>
      <c r="B136" s="282"/>
      <c r="C136" s="284"/>
      <c r="D136" s="6" t="e" vm="1">
        <f>IP!B2</f>
        <v>#VALUE!</v>
      </c>
    </row>
    <row r="137" spans="1:9" ht="50.1" customHeight="1" x14ac:dyDescent="0.25">
      <c r="A137" s="242">
        <v>109</v>
      </c>
      <c r="B137" s="244" t="s">
        <v>133</v>
      </c>
      <c r="C137" s="284" t="e">
        <f>#REF!</f>
        <v>#REF!</v>
      </c>
      <c r="D137" s="221" t="s">
        <v>741</v>
      </c>
      <c r="E137" s="6" t="e">
        <f>#REF!</f>
        <v>#REF!</v>
      </c>
      <c r="I137" s="221"/>
    </row>
    <row r="138" spans="1:9" ht="50.1" customHeight="1" x14ac:dyDescent="0.25">
      <c r="A138" s="281">
        <v>110</v>
      </c>
      <c r="B138" s="282" t="s">
        <v>134</v>
      </c>
      <c r="C138" s="284"/>
      <c r="D138" s="221">
        <v>25</v>
      </c>
      <c r="H138" s="221"/>
      <c r="I138" s="221"/>
    </row>
    <row r="139" spans="1:9" ht="50.1" customHeight="1" x14ac:dyDescent="0.25">
      <c r="A139" s="281"/>
      <c r="B139" s="282"/>
      <c r="C139" s="284"/>
      <c r="D139" s="6" t="e" vm="1">
        <f>IP!B2</f>
        <v>#VALUE!</v>
      </c>
    </row>
    <row r="140" spans="1:9" ht="50.1" customHeight="1" x14ac:dyDescent="0.25">
      <c r="A140" s="242">
        <v>111</v>
      </c>
      <c r="B140" s="244" t="s">
        <v>135</v>
      </c>
      <c r="C140" s="284" t="e">
        <f>#REF!</f>
        <v>#REF!</v>
      </c>
      <c r="D140" s="221" t="s">
        <v>741</v>
      </c>
      <c r="E140" s="6" t="e">
        <f>#REF!</f>
        <v>#REF!</v>
      </c>
    </row>
    <row r="141" spans="1:9" ht="50.1" customHeight="1" x14ac:dyDescent="0.25">
      <c r="A141" s="281">
        <v>112</v>
      </c>
      <c r="B141" s="282" t="s">
        <v>136</v>
      </c>
      <c r="C141" s="284"/>
      <c r="D141" s="221">
        <v>26</v>
      </c>
    </row>
    <row r="142" spans="1:9" ht="50.1" customHeight="1" x14ac:dyDescent="0.25">
      <c r="A142" s="281"/>
      <c r="B142" s="282"/>
      <c r="C142" s="284"/>
      <c r="D142" s="6" t="e" vm="1">
        <f>IP!B2</f>
        <v>#VALUE!</v>
      </c>
    </row>
    <row r="143" spans="1:9" ht="50.1" customHeight="1" x14ac:dyDescent="0.25">
      <c r="A143" s="242">
        <v>113</v>
      </c>
      <c r="B143" s="244" t="s">
        <v>137</v>
      </c>
      <c r="C143" s="284" t="e">
        <f>#REF!</f>
        <v>#REF!</v>
      </c>
      <c r="D143" s="221" t="s">
        <v>741</v>
      </c>
      <c r="E143" s="6" t="e">
        <f>#REF!</f>
        <v>#REF!</v>
      </c>
      <c r="I143" s="221"/>
    </row>
    <row r="144" spans="1:9" ht="50.1" customHeight="1" x14ac:dyDescent="0.25">
      <c r="A144" s="281">
        <v>114</v>
      </c>
      <c r="B144" s="282" t="s">
        <v>138</v>
      </c>
      <c r="C144" s="284"/>
      <c r="D144" s="221">
        <v>27</v>
      </c>
      <c r="H144" s="221"/>
      <c r="I144" s="221"/>
    </row>
    <row r="145" spans="1:5" ht="50.1" customHeight="1" x14ac:dyDescent="0.25">
      <c r="A145" s="281"/>
      <c r="B145" s="282"/>
      <c r="C145" s="284"/>
      <c r="D145" s="6" t="e" vm="1">
        <f>IP!B2</f>
        <v>#VALUE!</v>
      </c>
    </row>
    <row r="146" spans="1:5" ht="50.1" customHeight="1" x14ac:dyDescent="0.25">
      <c r="A146" s="281">
        <v>115</v>
      </c>
      <c r="B146" s="282" t="s">
        <v>271</v>
      </c>
      <c r="C146" s="284" t="e">
        <f>#REF!</f>
        <v>#REF!</v>
      </c>
      <c r="D146" s="221" t="s">
        <v>1370</v>
      </c>
      <c r="E146" s="6" t="e">
        <f>#REF!</f>
        <v>#REF!</v>
      </c>
    </row>
    <row r="147" spans="1:5" ht="50.1" customHeight="1" x14ac:dyDescent="0.25">
      <c r="A147" s="281"/>
      <c r="B147" s="282"/>
      <c r="C147" s="284"/>
      <c r="D147" s="221" t="s">
        <v>737</v>
      </c>
    </row>
    <row r="148" spans="1:5" ht="50.1" customHeight="1" x14ac:dyDescent="0.25">
      <c r="A148" s="281"/>
      <c r="B148" s="282"/>
      <c r="C148" s="284"/>
      <c r="D148" s="6" t="e" vm="9">
        <f>IP!B17</f>
        <v>#VALUE!</v>
      </c>
    </row>
    <row r="149" spans="1:5" ht="50.1" customHeight="1" x14ac:dyDescent="0.25">
      <c r="A149" s="281">
        <v>116</v>
      </c>
      <c r="B149" s="282" t="s">
        <v>139</v>
      </c>
      <c r="C149" s="284"/>
      <c r="D149" s="221" t="s">
        <v>1370</v>
      </c>
      <c r="E149" s="6" t="e">
        <f>#REF!</f>
        <v>#REF!</v>
      </c>
    </row>
    <row r="150" spans="1:5" ht="50.1" customHeight="1" x14ac:dyDescent="0.25">
      <c r="A150" s="281"/>
      <c r="B150" s="282"/>
      <c r="C150" s="284"/>
      <c r="D150" s="221" t="s">
        <v>737</v>
      </c>
    </row>
    <row r="151" spans="1:5" ht="50.1" customHeight="1" x14ac:dyDescent="0.25">
      <c r="A151" s="281">
        <v>117</v>
      </c>
      <c r="B151" s="282" t="s">
        <v>140</v>
      </c>
      <c r="C151" s="284"/>
      <c r="D151" s="6" t="e" vm="10">
        <f>IP!B18</f>
        <v>#VALUE!</v>
      </c>
    </row>
    <row r="152" spans="1:5" ht="50.1" customHeight="1" x14ac:dyDescent="0.25">
      <c r="A152" s="281"/>
      <c r="B152" s="282"/>
      <c r="C152" s="284"/>
      <c r="D152" s="221" t="s">
        <v>1370</v>
      </c>
      <c r="E152" s="6" t="e">
        <f>#REF!</f>
        <v>#REF!</v>
      </c>
    </row>
    <row r="153" spans="1:5" ht="50.1" customHeight="1" x14ac:dyDescent="0.25">
      <c r="A153" s="281">
        <v>118</v>
      </c>
      <c r="B153" s="282" t="s">
        <v>272</v>
      </c>
      <c r="C153" s="284"/>
      <c r="D153" s="221" t="s">
        <v>737</v>
      </c>
    </row>
    <row r="154" spans="1:5" ht="50.1" customHeight="1" x14ac:dyDescent="0.25">
      <c r="A154" s="281"/>
      <c r="B154" s="282"/>
      <c r="C154" s="284"/>
      <c r="D154" s="6" t="e" vm="11">
        <f>IP!B19</f>
        <v>#VALUE!</v>
      </c>
    </row>
    <row r="155" spans="1:5" ht="50.1" customHeight="1" x14ac:dyDescent="0.25">
      <c r="A155" s="242">
        <v>119</v>
      </c>
      <c r="B155" s="244" t="s">
        <v>141</v>
      </c>
      <c r="C155" s="284" t="e">
        <f>#REF!</f>
        <v>#REF!</v>
      </c>
      <c r="D155" s="221" t="s">
        <v>741</v>
      </c>
      <c r="E155" s="284" t="e">
        <f>#REF!</f>
        <v>#REF!</v>
      </c>
    </row>
    <row r="156" spans="1:5" ht="50.1" customHeight="1" x14ac:dyDescent="0.25">
      <c r="A156" s="281">
        <v>120</v>
      </c>
      <c r="B156" s="282" t="s">
        <v>498</v>
      </c>
      <c r="C156" s="284"/>
      <c r="D156" s="221">
        <v>31</v>
      </c>
      <c r="E156" s="284"/>
    </row>
    <row r="157" spans="1:5" ht="50.1" customHeight="1" x14ac:dyDescent="0.25">
      <c r="A157" s="281"/>
      <c r="B157" s="282"/>
      <c r="C157" s="284"/>
      <c r="D157" s="6" t="e" vm="1">
        <f>IP!B2</f>
        <v>#VALUE!</v>
      </c>
      <c r="E157" s="284"/>
    </row>
    <row r="158" spans="1:5" ht="50.1" customHeight="1" x14ac:dyDescent="0.25">
      <c r="A158" s="242">
        <v>121</v>
      </c>
      <c r="B158" s="244" t="s">
        <v>142</v>
      </c>
      <c r="C158" s="284" t="e">
        <f>#REF!</f>
        <v>#REF!</v>
      </c>
      <c r="D158" s="221" t="s">
        <v>741</v>
      </c>
      <c r="E158" s="284" t="e">
        <f>#REF!</f>
        <v>#REF!</v>
      </c>
    </row>
    <row r="159" spans="1:5" ht="50.1" customHeight="1" x14ac:dyDescent="0.25">
      <c r="A159" s="281">
        <v>122</v>
      </c>
      <c r="B159" s="282" t="s">
        <v>143</v>
      </c>
      <c r="C159" s="284"/>
      <c r="D159" s="221">
        <v>31</v>
      </c>
      <c r="E159" s="284"/>
    </row>
    <row r="160" spans="1:5" ht="50.1" customHeight="1" x14ac:dyDescent="0.25">
      <c r="A160" s="281"/>
      <c r="B160" s="282"/>
      <c r="C160" s="284"/>
      <c r="D160" s="6" t="e" vm="1">
        <f>IP!B2</f>
        <v>#VALUE!</v>
      </c>
      <c r="E160" s="284"/>
    </row>
    <row r="161" spans="1:10" ht="50.1" customHeight="1" x14ac:dyDescent="0.25">
      <c r="A161" s="242">
        <v>123</v>
      </c>
      <c r="B161" s="244" t="s">
        <v>144</v>
      </c>
      <c r="C161" s="284" t="e">
        <f>#REF!</f>
        <v>#REF!</v>
      </c>
      <c r="D161" s="221" t="s">
        <v>741</v>
      </c>
      <c r="E161" s="284" t="e">
        <f>#REF!</f>
        <v>#REF!</v>
      </c>
      <c r="F161" s="221" t="s">
        <v>741</v>
      </c>
      <c r="G161" s="284" t="e">
        <f>#REF!</f>
        <v>#REF!</v>
      </c>
    </row>
    <row r="162" spans="1:10" ht="50.1" customHeight="1" x14ac:dyDescent="0.25">
      <c r="A162" s="242">
        <v>124</v>
      </c>
      <c r="B162" s="244" t="s">
        <v>145</v>
      </c>
      <c r="C162" s="284"/>
      <c r="D162" s="221">
        <v>31</v>
      </c>
      <c r="E162" s="284"/>
      <c r="F162" s="221">
        <v>31</v>
      </c>
      <c r="G162" s="284"/>
    </row>
    <row r="163" spans="1:10" ht="50.1" customHeight="1" x14ac:dyDescent="0.25">
      <c r="A163" s="242">
        <v>125</v>
      </c>
      <c r="B163" s="244" t="s">
        <v>499</v>
      </c>
      <c r="C163" s="284"/>
      <c r="D163" s="6" t="e" vm="1">
        <f>IP!B2</f>
        <v>#VALUE!</v>
      </c>
      <c r="E163" s="284"/>
      <c r="F163" s="6" t="e" vm="1">
        <f>IP!B2</f>
        <v>#VALUE!</v>
      </c>
      <c r="G163" s="284"/>
    </row>
    <row r="164" spans="1:10" ht="50.1" customHeight="1" x14ac:dyDescent="0.25">
      <c r="A164" s="242">
        <v>126</v>
      </c>
      <c r="B164" s="244" t="s">
        <v>475</v>
      </c>
      <c r="C164" s="284" t="e">
        <f>#REF!</f>
        <v>#REF!</v>
      </c>
      <c r="D164" s="221" t="s">
        <v>741</v>
      </c>
      <c r="E164" s="284" t="e">
        <f>#REF!</f>
        <v>#REF!</v>
      </c>
      <c r="F164" s="221" t="s">
        <v>741</v>
      </c>
      <c r="G164" s="284" t="e">
        <f>#REF!</f>
        <v>#REF!</v>
      </c>
    </row>
    <row r="165" spans="1:10" ht="50.1" customHeight="1" x14ac:dyDescent="0.25">
      <c r="A165" s="242">
        <v>127</v>
      </c>
      <c r="B165" s="244" t="s">
        <v>146</v>
      </c>
      <c r="C165" s="284"/>
      <c r="D165" s="221">
        <v>32</v>
      </c>
      <c r="E165" s="284"/>
      <c r="F165" s="221">
        <v>31</v>
      </c>
      <c r="G165" s="284"/>
    </row>
    <row r="166" spans="1:10" ht="49.5" customHeight="1" x14ac:dyDescent="0.25">
      <c r="A166" s="242">
        <v>128</v>
      </c>
      <c r="B166" s="244" t="s">
        <v>277</v>
      </c>
      <c r="C166" s="284"/>
      <c r="D166" s="6" t="e" vm="1">
        <f>IP!B2</f>
        <v>#VALUE!</v>
      </c>
      <c r="E166" s="284"/>
      <c r="F166" s="6" t="e" vm="1">
        <f>IP!B2</f>
        <v>#VALUE!</v>
      </c>
      <c r="G166" s="284"/>
      <c r="J166" s="6" t="s">
        <v>1212</v>
      </c>
    </row>
    <row r="167" spans="1:10" ht="50.1" customHeight="1" x14ac:dyDescent="0.25">
      <c r="A167" s="242">
        <v>129</v>
      </c>
      <c r="B167" s="244" t="s">
        <v>147</v>
      </c>
      <c r="C167" s="284" t="e">
        <f>#REF!</f>
        <v>#REF!</v>
      </c>
      <c r="D167" s="221" t="s">
        <v>741</v>
      </c>
      <c r="E167" s="284" t="e">
        <f>#REF!</f>
        <v>#REF!</v>
      </c>
    </row>
    <row r="168" spans="1:10" ht="50.1" customHeight="1" x14ac:dyDescent="0.25">
      <c r="A168" s="281">
        <v>130</v>
      </c>
      <c r="B168" s="282" t="s">
        <v>500</v>
      </c>
      <c r="C168" s="284"/>
      <c r="D168" s="221">
        <v>33</v>
      </c>
      <c r="E168" s="284"/>
    </row>
    <row r="169" spans="1:10" ht="50.1" customHeight="1" x14ac:dyDescent="0.25">
      <c r="A169" s="281"/>
      <c r="B169" s="282"/>
      <c r="C169" s="284"/>
      <c r="D169" s="6" t="e" vm="1">
        <f>IP!B2</f>
        <v>#VALUE!</v>
      </c>
      <c r="E169" s="284"/>
    </row>
    <row r="170" spans="1:10" ht="50.1" customHeight="1" x14ac:dyDescent="0.25">
      <c r="A170" s="281">
        <v>131</v>
      </c>
      <c r="B170" s="282" t="s">
        <v>148</v>
      </c>
      <c r="C170" s="284" t="e">
        <f>#REF!</f>
        <v>#REF!</v>
      </c>
    </row>
    <row r="171" spans="1:10" ht="50.1" customHeight="1" x14ac:dyDescent="0.25">
      <c r="A171" s="281"/>
      <c r="B171" s="282"/>
      <c r="C171" s="284"/>
    </row>
    <row r="172" spans="1:10" ht="50.1" customHeight="1" x14ac:dyDescent="0.25">
      <c r="A172" s="281"/>
      <c r="B172" s="282"/>
      <c r="C172" s="284"/>
    </row>
    <row r="173" spans="1:10" ht="50.1" customHeight="1" x14ac:dyDescent="0.25">
      <c r="A173" s="242">
        <v>132</v>
      </c>
      <c r="B173" s="244" t="s">
        <v>149</v>
      </c>
      <c r="C173" s="284" t="e">
        <f>#REF!</f>
        <v>#REF!</v>
      </c>
      <c r="D173" s="221" t="s">
        <v>741</v>
      </c>
      <c r="E173" s="284" t="e">
        <f>#REF!</f>
        <v>#REF!</v>
      </c>
      <c r="F173" s="221" t="s">
        <v>741</v>
      </c>
      <c r="G173" s="284" t="e">
        <f>#REF!</f>
        <v>#REF!</v>
      </c>
    </row>
    <row r="174" spans="1:10" ht="50.1" customHeight="1" x14ac:dyDescent="0.25">
      <c r="A174" s="242">
        <v>133</v>
      </c>
      <c r="B174" s="244" t="s">
        <v>150</v>
      </c>
      <c r="C174" s="284"/>
      <c r="D174" s="221">
        <v>35</v>
      </c>
      <c r="E174" s="284"/>
      <c r="F174" s="221">
        <v>31</v>
      </c>
      <c r="G174" s="284"/>
    </row>
    <row r="175" spans="1:10" ht="50.1" customHeight="1" x14ac:dyDescent="0.25">
      <c r="A175" s="242">
        <v>134</v>
      </c>
      <c r="B175" s="244" t="s">
        <v>265</v>
      </c>
      <c r="C175" s="284"/>
      <c r="D175" s="6" t="e" vm="1">
        <f>IP!B2</f>
        <v>#VALUE!</v>
      </c>
      <c r="E175" s="284"/>
      <c r="F175" s="6" t="e" vm="1">
        <f>IP!B2</f>
        <v>#VALUE!</v>
      </c>
      <c r="G175" s="284"/>
    </row>
    <row r="176" spans="1:10" ht="50.1" customHeight="1" x14ac:dyDescent="0.25">
      <c r="A176" s="242">
        <v>135</v>
      </c>
      <c r="B176" s="244" t="s">
        <v>151</v>
      </c>
      <c r="C176" s="284" t="e">
        <f>#REF!</f>
        <v>#REF!</v>
      </c>
      <c r="D176" s="221" t="s">
        <v>741</v>
      </c>
      <c r="E176" s="284" t="e">
        <f>#REF!</f>
        <v>#REF!</v>
      </c>
    </row>
    <row r="177" spans="1:5" ht="50.1" customHeight="1" x14ac:dyDescent="0.25">
      <c r="A177" s="281">
        <v>136</v>
      </c>
      <c r="B177" s="282" t="s">
        <v>152</v>
      </c>
      <c r="C177" s="284"/>
      <c r="D177" s="221">
        <v>36</v>
      </c>
      <c r="E177" s="284"/>
    </row>
    <row r="178" spans="1:5" ht="50.1" customHeight="1" x14ac:dyDescent="0.25">
      <c r="A178" s="281"/>
      <c r="B178" s="282"/>
      <c r="C178" s="284"/>
      <c r="D178" s="6" t="e" vm="1">
        <f>IP!B2</f>
        <v>#VALUE!</v>
      </c>
      <c r="E178" s="284"/>
    </row>
    <row r="179" spans="1:5" ht="50.1" customHeight="1" x14ac:dyDescent="0.25">
      <c r="A179" s="242">
        <v>137</v>
      </c>
      <c r="B179" s="244" t="s">
        <v>153</v>
      </c>
      <c r="C179" s="284" t="e">
        <f>#REF!</f>
        <v>#REF!</v>
      </c>
      <c r="D179" s="221" t="s">
        <v>741</v>
      </c>
      <c r="E179" s="284" t="e">
        <f>#REF!</f>
        <v>#REF!</v>
      </c>
    </row>
    <row r="180" spans="1:5" ht="50.1" customHeight="1" x14ac:dyDescent="0.25">
      <c r="A180" s="281">
        <v>138</v>
      </c>
      <c r="B180" s="282" t="s">
        <v>154</v>
      </c>
      <c r="C180" s="284"/>
      <c r="D180" s="221">
        <v>37</v>
      </c>
      <c r="E180" s="284"/>
    </row>
    <row r="181" spans="1:5" ht="50.1" customHeight="1" x14ac:dyDescent="0.25">
      <c r="A181" s="281"/>
      <c r="B181" s="282"/>
      <c r="C181" s="284"/>
      <c r="D181" s="6" t="e" vm="1">
        <f>IP!B2</f>
        <v>#VALUE!</v>
      </c>
      <c r="E181" s="284"/>
    </row>
    <row r="182" spans="1:5" ht="50.1" customHeight="1" x14ac:dyDescent="0.25">
      <c r="A182" s="242">
        <v>139</v>
      </c>
      <c r="B182" s="244" t="s">
        <v>474</v>
      </c>
      <c r="C182" s="284" t="e">
        <f>#REF!</f>
        <v>#REF!</v>
      </c>
      <c r="D182" s="221" t="s">
        <v>741</v>
      </c>
      <c r="E182" s="284" t="e">
        <f>#REF!</f>
        <v>#REF!</v>
      </c>
    </row>
    <row r="183" spans="1:5" ht="50.1" customHeight="1" x14ac:dyDescent="0.25">
      <c r="A183" s="281">
        <v>140</v>
      </c>
      <c r="B183" s="282" t="s">
        <v>155</v>
      </c>
      <c r="C183" s="284"/>
      <c r="D183" s="221">
        <v>38</v>
      </c>
      <c r="E183" s="284"/>
    </row>
    <row r="184" spans="1:5" ht="50.1" customHeight="1" x14ac:dyDescent="0.25">
      <c r="A184" s="281"/>
      <c r="B184" s="282"/>
      <c r="C184" s="284"/>
      <c r="D184" s="6" t="e" vm="1">
        <f>IP!B2</f>
        <v>#VALUE!</v>
      </c>
      <c r="E184" s="284"/>
    </row>
    <row r="185" spans="1:5" ht="50.1" customHeight="1" x14ac:dyDescent="0.25">
      <c r="A185" s="281">
        <v>141</v>
      </c>
      <c r="B185" s="282" t="s">
        <v>156</v>
      </c>
      <c r="C185" s="284" t="e">
        <f>#REF!</f>
        <v>#REF!</v>
      </c>
      <c r="D185" s="221" t="s">
        <v>741</v>
      </c>
      <c r="E185" s="284" t="e">
        <f>#REF!</f>
        <v>#REF!</v>
      </c>
    </row>
    <row r="186" spans="1:5" ht="50.1" customHeight="1" x14ac:dyDescent="0.25">
      <c r="A186" s="281"/>
      <c r="B186" s="282"/>
      <c r="C186" s="284"/>
      <c r="D186" s="221">
        <v>39</v>
      </c>
      <c r="E186" s="284"/>
    </row>
    <row r="187" spans="1:5" ht="50.1" customHeight="1" x14ac:dyDescent="0.25">
      <c r="A187" s="281">
        <v>142</v>
      </c>
      <c r="B187" s="282" t="s">
        <v>247</v>
      </c>
      <c r="C187" s="284"/>
      <c r="D187" s="6" t="e" vm="1">
        <f>IP!B2</f>
        <v>#VALUE!</v>
      </c>
      <c r="E187" s="284"/>
    </row>
    <row r="188" spans="1:5" ht="50.1" customHeight="1" x14ac:dyDescent="0.25">
      <c r="A188" s="281"/>
      <c r="B188" s="282"/>
      <c r="C188" s="284"/>
      <c r="D188" s="221" t="s">
        <v>741</v>
      </c>
      <c r="E188" s="284" t="e">
        <f>#REF!</f>
        <v>#REF!</v>
      </c>
    </row>
    <row r="189" spans="1:5" ht="50.1" customHeight="1" x14ac:dyDescent="0.25">
      <c r="A189" s="281">
        <v>143</v>
      </c>
      <c r="B189" s="282" t="s">
        <v>1164</v>
      </c>
      <c r="C189" s="284"/>
      <c r="D189" s="221">
        <v>40</v>
      </c>
      <c r="E189" s="284"/>
    </row>
    <row r="190" spans="1:5" ht="50.1" customHeight="1" x14ac:dyDescent="0.25">
      <c r="A190" s="281"/>
      <c r="B190" s="282"/>
      <c r="C190" s="284"/>
      <c r="D190" s="6" t="e" vm="1">
        <f>IP!B2</f>
        <v>#VALUE!</v>
      </c>
      <c r="E190" s="284"/>
    </row>
    <row r="191" spans="1:5" ht="50.1" customHeight="1" x14ac:dyDescent="0.25">
      <c r="A191" s="242">
        <v>144</v>
      </c>
      <c r="B191" s="244" t="s">
        <v>273</v>
      </c>
      <c r="C191" s="284" t="e">
        <f>#REF!</f>
        <v>#REF!</v>
      </c>
      <c r="E191" s="6" t="e">
        <f>#REF!</f>
        <v>#REF!</v>
      </c>
    </row>
    <row r="192" spans="1:5" ht="50.1" customHeight="1" x14ac:dyDescent="0.25">
      <c r="A192" s="281">
        <v>145</v>
      </c>
      <c r="B192" s="282" t="s">
        <v>157</v>
      </c>
      <c r="C192" s="284"/>
    </row>
    <row r="193" spans="1:7" ht="50.1" customHeight="1" x14ac:dyDescent="0.25">
      <c r="A193" s="281"/>
      <c r="B193" s="282"/>
      <c r="C193" s="284"/>
    </row>
    <row r="194" spans="1:7" ht="50.1" customHeight="1" x14ac:dyDescent="0.25">
      <c r="A194" s="242">
        <v>146</v>
      </c>
      <c r="B194" s="244" t="s">
        <v>274</v>
      </c>
      <c r="C194" s="284" t="e">
        <f>#REF!</f>
        <v>#REF!</v>
      </c>
      <c r="E194" s="284" t="e">
        <f>#REF!</f>
        <v>#REF!</v>
      </c>
      <c r="G194" s="284" t="e">
        <f>#REF!</f>
        <v>#REF!</v>
      </c>
    </row>
    <row r="195" spans="1:7" ht="50.1" customHeight="1" x14ac:dyDescent="0.25">
      <c r="A195" s="242">
        <v>147</v>
      </c>
      <c r="B195" s="244" t="s">
        <v>158</v>
      </c>
      <c r="C195" s="284"/>
      <c r="E195" s="284"/>
      <c r="G195" s="284"/>
    </row>
    <row r="196" spans="1:7" ht="50.1" customHeight="1" x14ac:dyDescent="0.25">
      <c r="A196" s="242">
        <v>148</v>
      </c>
      <c r="B196" s="244" t="s">
        <v>501</v>
      </c>
      <c r="C196" s="284"/>
      <c r="E196" s="284"/>
      <c r="G196" s="284"/>
    </row>
    <row r="197" spans="1:7" ht="50.1" customHeight="1" x14ac:dyDescent="0.25">
      <c r="A197" s="242">
        <v>149</v>
      </c>
      <c r="B197" s="244" t="s">
        <v>275</v>
      </c>
      <c r="C197" s="284" t="e">
        <f>#REF!</f>
        <v>#REF!</v>
      </c>
      <c r="E197" s="284" t="e">
        <f>#REF!</f>
        <v>#REF!</v>
      </c>
      <c r="G197" s="284" t="e">
        <f>#REF!</f>
        <v>#REF!</v>
      </c>
    </row>
    <row r="198" spans="1:7" ht="50.1" customHeight="1" x14ac:dyDescent="0.25">
      <c r="A198" s="242">
        <v>150</v>
      </c>
      <c r="B198" s="244" t="s">
        <v>159</v>
      </c>
      <c r="C198" s="284"/>
      <c r="E198" s="284"/>
      <c r="G198" s="284"/>
    </row>
    <row r="199" spans="1:7" ht="50.1" customHeight="1" x14ac:dyDescent="0.25">
      <c r="A199" s="242">
        <v>151</v>
      </c>
      <c r="B199" s="244" t="s">
        <v>502</v>
      </c>
      <c r="C199" s="284"/>
      <c r="E199" s="284"/>
      <c r="G199" s="284"/>
    </row>
    <row r="200" spans="1:7" ht="50.1" customHeight="1" x14ac:dyDescent="0.25">
      <c r="A200" s="281">
        <v>152</v>
      </c>
      <c r="B200" s="282" t="s">
        <v>160</v>
      </c>
      <c r="C200" s="284" t="e">
        <f>#REF!</f>
        <v>#REF!</v>
      </c>
    </row>
    <row r="201" spans="1:7" ht="50.1" customHeight="1" x14ac:dyDescent="0.25">
      <c r="A201" s="281"/>
      <c r="B201" s="282"/>
      <c r="C201" s="284"/>
    </row>
    <row r="202" spans="1:7" ht="50.1" customHeight="1" x14ac:dyDescent="0.25">
      <c r="A202" s="281"/>
      <c r="B202" s="282"/>
      <c r="C202" s="284"/>
    </row>
    <row r="203" spans="1:7" ht="50.1" customHeight="1" x14ac:dyDescent="0.25">
      <c r="A203" s="281">
        <v>153</v>
      </c>
      <c r="B203" s="282" t="s">
        <v>161</v>
      </c>
      <c r="C203" s="284" t="e">
        <f>#REF!</f>
        <v>#REF!</v>
      </c>
    </row>
    <row r="204" spans="1:7" ht="50.1" customHeight="1" x14ac:dyDescent="0.25">
      <c r="A204" s="281"/>
      <c r="B204" s="282"/>
      <c r="C204" s="284"/>
    </row>
    <row r="205" spans="1:7" ht="50.1" customHeight="1" x14ac:dyDescent="0.25">
      <c r="A205" s="281"/>
      <c r="B205" s="282"/>
      <c r="C205" s="284"/>
    </row>
    <row r="206" spans="1:7" ht="50.1" customHeight="1" x14ac:dyDescent="0.25">
      <c r="A206" s="242">
        <v>154</v>
      </c>
      <c r="B206" s="244" t="s">
        <v>162</v>
      </c>
      <c r="C206" s="284" t="e">
        <f>#REF!</f>
        <v>#REF!</v>
      </c>
      <c r="E206" s="6" t="e">
        <f>#REF!</f>
        <v>#REF!</v>
      </c>
    </row>
    <row r="207" spans="1:7" ht="50.1" customHeight="1" x14ac:dyDescent="0.25">
      <c r="A207" s="281">
        <v>155</v>
      </c>
      <c r="B207" s="282" t="s">
        <v>163</v>
      </c>
      <c r="C207" s="284"/>
    </row>
    <row r="208" spans="1:7" ht="50.1" customHeight="1" x14ac:dyDescent="0.25">
      <c r="A208" s="281"/>
      <c r="B208" s="282"/>
      <c r="C208" s="284"/>
    </row>
    <row r="209" spans="1:5" ht="50.1" customHeight="1" x14ac:dyDescent="0.25">
      <c r="A209" s="281">
        <v>156</v>
      </c>
      <c r="B209" s="282" t="s">
        <v>164</v>
      </c>
      <c r="C209" s="284" t="e">
        <f>#REF!</f>
        <v>#REF!</v>
      </c>
    </row>
    <row r="210" spans="1:5" ht="50.1" customHeight="1" x14ac:dyDescent="0.25">
      <c r="A210" s="281"/>
      <c r="B210" s="282"/>
      <c r="C210" s="284"/>
    </row>
    <row r="211" spans="1:5" ht="50.1" customHeight="1" x14ac:dyDescent="0.25">
      <c r="A211" s="281"/>
      <c r="B211" s="282"/>
      <c r="C211" s="284"/>
    </row>
    <row r="212" spans="1:5" ht="50.1" customHeight="1" x14ac:dyDescent="0.25">
      <c r="A212" s="281">
        <v>157</v>
      </c>
      <c r="B212" s="282" t="s">
        <v>165</v>
      </c>
      <c r="C212" s="284" t="e">
        <f>#REF!</f>
        <v>#REF!</v>
      </c>
    </row>
    <row r="213" spans="1:5" ht="50.1" customHeight="1" x14ac:dyDescent="0.25">
      <c r="A213" s="281"/>
      <c r="B213" s="282"/>
      <c r="C213" s="284"/>
    </row>
    <row r="214" spans="1:5" ht="50.1" customHeight="1" x14ac:dyDescent="0.25">
      <c r="A214" s="281"/>
      <c r="B214" s="282"/>
      <c r="C214" s="284"/>
    </row>
    <row r="215" spans="1:5" ht="50.1" customHeight="1" x14ac:dyDescent="0.25">
      <c r="A215" s="242">
        <v>158</v>
      </c>
      <c r="B215" s="244" t="s">
        <v>166</v>
      </c>
      <c r="C215" s="284" t="e">
        <f>#REF!</f>
        <v>#REF!</v>
      </c>
      <c r="E215" s="284" t="e">
        <f>#REF!</f>
        <v>#REF!</v>
      </c>
    </row>
    <row r="216" spans="1:5" ht="50.1" customHeight="1" x14ac:dyDescent="0.25">
      <c r="A216" s="281">
        <v>159</v>
      </c>
      <c r="B216" s="282" t="s">
        <v>167</v>
      </c>
      <c r="C216" s="284"/>
      <c r="E216" s="284"/>
    </row>
    <row r="217" spans="1:5" ht="50.1" customHeight="1" x14ac:dyDescent="0.25">
      <c r="A217" s="281"/>
      <c r="B217" s="282"/>
      <c r="C217" s="284"/>
      <c r="E217" s="284"/>
    </row>
    <row r="218" spans="1:5" ht="50.1" customHeight="1" x14ac:dyDescent="0.25">
      <c r="A218" s="281"/>
      <c r="B218" s="282"/>
      <c r="C218" s="284"/>
      <c r="E218" s="284" t="e">
        <f>#REF!</f>
        <v>#REF!</v>
      </c>
    </row>
    <row r="219" spans="1:5" ht="50.1" customHeight="1" x14ac:dyDescent="0.25">
      <c r="A219" s="281">
        <v>160</v>
      </c>
      <c r="B219" s="282" t="s">
        <v>168</v>
      </c>
      <c r="C219" s="284"/>
      <c r="E219" s="284"/>
    </row>
    <row r="220" spans="1:5" ht="50.1" customHeight="1" x14ac:dyDescent="0.25">
      <c r="A220" s="281"/>
      <c r="B220" s="282"/>
      <c r="C220" s="284"/>
      <c r="E220" s="284"/>
    </row>
    <row r="221" spans="1:5" ht="50.1" customHeight="1" x14ac:dyDescent="0.25">
      <c r="A221" s="281"/>
      <c r="B221" s="282"/>
      <c r="C221" s="284"/>
      <c r="E221" s="284" t="e">
        <f>#REF!</f>
        <v>#REF!</v>
      </c>
    </row>
    <row r="222" spans="1:5" ht="50.1" customHeight="1" x14ac:dyDescent="0.25">
      <c r="A222" s="281">
        <v>161</v>
      </c>
      <c r="B222" s="282" t="s">
        <v>169</v>
      </c>
      <c r="C222" s="284"/>
      <c r="E222" s="284"/>
    </row>
    <row r="223" spans="1:5" ht="50.1" customHeight="1" x14ac:dyDescent="0.25">
      <c r="A223" s="281"/>
      <c r="B223" s="282"/>
      <c r="C223" s="284"/>
      <c r="E223" s="284"/>
    </row>
    <row r="224" spans="1:5" ht="50.1" customHeight="1" x14ac:dyDescent="0.25">
      <c r="A224" s="281"/>
      <c r="B224" s="282"/>
      <c r="C224" s="284"/>
      <c r="E224" s="284" t="e">
        <f>#REF!</f>
        <v>#REF!</v>
      </c>
    </row>
    <row r="225" spans="1:7" ht="50.1" customHeight="1" x14ac:dyDescent="0.25">
      <c r="A225" s="281">
        <v>162</v>
      </c>
      <c r="B225" s="282" t="s">
        <v>230</v>
      </c>
      <c r="C225" s="284"/>
      <c r="E225" s="284"/>
    </row>
    <row r="226" spans="1:7" ht="50.1" customHeight="1" x14ac:dyDescent="0.25">
      <c r="A226" s="281"/>
      <c r="B226" s="282"/>
      <c r="C226" s="284"/>
      <c r="E226" s="284"/>
    </row>
    <row r="227" spans="1:7" ht="50.1" customHeight="1" x14ac:dyDescent="0.25">
      <c r="A227" s="281">
        <v>163</v>
      </c>
      <c r="B227" s="282" t="s">
        <v>231</v>
      </c>
      <c r="C227" s="284"/>
      <c r="E227" s="284" t="e">
        <f>#REF!</f>
        <v>#REF!</v>
      </c>
    </row>
    <row r="228" spans="1:7" ht="50.1" customHeight="1" x14ac:dyDescent="0.25">
      <c r="A228" s="281"/>
      <c r="B228" s="282"/>
      <c r="C228" s="284"/>
      <c r="E228" s="284"/>
    </row>
    <row r="229" spans="1:7" ht="50.1" customHeight="1" x14ac:dyDescent="0.25">
      <c r="A229" s="281"/>
      <c r="B229" s="282"/>
      <c r="C229" s="284"/>
      <c r="E229" s="284"/>
    </row>
    <row r="230" spans="1:7" ht="50.1" customHeight="1" x14ac:dyDescent="0.25">
      <c r="A230" s="281">
        <v>164</v>
      </c>
      <c r="B230" s="282" t="s">
        <v>505</v>
      </c>
      <c r="C230" s="284"/>
      <c r="E230" s="284" t="e">
        <f>#REF!</f>
        <v>#REF!</v>
      </c>
    </row>
    <row r="231" spans="1:7" ht="50.1" customHeight="1" x14ac:dyDescent="0.25">
      <c r="A231" s="281"/>
      <c r="B231" s="282"/>
      <c r="C231" s="284"/>
      <c r="E231" s="284"/>
    </row>
    <row r="232" spans="1:7" ht="50.1" customHeight="1" x14ac:dyDescent="0.25">
      <c r="A232" s="281"/>
      <c r="B232" s="282"/>
      <c r="C232" s="284"/>
      <c r="E232" s="284"/>
    </row>
    <row r="233" spans="1:7" ht="50.1" customHeight="1" x14ac:dyDescent="0.25">
      <c r="A233" s="281">
        <v>165</v>
      </c>
      <c r="B233" s="282" t="s">
        <v>506</v>
      </c>
      <c r="C233" s="284"/>
      <c r="E233" s="284" t="e">
        <f>#REF!</f>
        <v>#REF!</v>
      </c>
    </row>
    <row r="234" spans="1:7" ht="50.1" customHeight="1" x14ac:dyDescent="0.25">
      <c r="A234" s="281"/>
      <c r="B234" s="282"/>
      <c r="C234" s="284"/>
      <c r="E234" s="284"/>
    </row>
    <row r="235" spans="1:7" ht="50.1" customHeight="1" x14ac:dyDescent="0.25">
      <c r="A235" s="281"/>
      <c r="B235" s="282"/>
      <c r="C235" s="284"/>
      <c r="E235" s="284"/>
    </row>
    <row r="236" spans="1:7" ht="50.1" customHeight="1" x14ac:dyDescent="0.25">
      <c r="A236" s="242">
        <v>166</v>
      </c>
      <c r="B236" s="244" t="s">
        <v>170</v>
      </c>
      <c r="C236" s="284" t="e">
        <f>#REF!</f>
        <v>#REF!</v>
      </c>
      <c r="E236" s="284" t="e">
        <f>#REF!</f>
        <v>#REF!</v>
      </c>
      <c r="G236" s="284" t="e">
        <f>#REF!</f>
        <v>#REF!</v>
      </c>
    </row>
    <row r="237" spans="1:7" ht="50.1" customHeight="1" x14ac:dyDescent="0.25">
      <c r="A237" s="242">
        <v>167</v>
      </c>
      <c r="B237" s="244" t="s">
        <v>268</v>
      </c>
      <c r="C237" s="284"/>
      <c r="E237" s="284"/>
      <c r="G237" s="284"/>
    </row>
    <row r="238" spans="1:7" ht="50.1" customHeight="1" x14ac:dyDescent="0.25">
      <c r="A238" s="242">
        <v>168</v>
      </c>
      <c r="B238" s="244" t="s">
        <v>509</v>
      </c>
      <c r="C238" s="284"/>
      <c r="E238" s="284"/>
      <c r="G238" s="284"/>
    </row>
    <row r="239" spans="1:7" ht="50.1" customHeight="1" x14ac:dyDescent="0.25">
      <c r="A239" s="242">
        <v>169</v>
      </c>
      <c r="B239" s="244" t="s">
        <v>171</v>
      </c>
      <c r="C239" s="284" t="e">
        <f>#REF!</f>
        <v>#REF!</v>
      </c>
      <c r="E239" s="284" t="e">
        <f>#REF!</f>
        <v>#REF!</v>
      </c>
    </row>
    <row r="240" spans="1:7" ht="50.1" customHeight="1" x14ac:dyDescent="0.25">
      <c r="A240" s="281">
        <v>170</v>
      </c>
      <c r="B240" s="282" t="s">
        <v>172</v>
      </c>
      <c r="C240" s="284"/>
      <c r="E240" s="284"/>
    </row>
    <row r="241" spans="1:7" ht="50.1" customHeight="1" x14ac:dyDescent="0.25">
      <c r="A241" s="281"/>
      <c r="B241" s="282"/>
      <c r="C241" s="284"/>
      <c r="E241" s="284"/>
    </row>
    <row r="242" spans="1:7" ht="50.1" customHeight="1" x14ac:dyDescent="0.25">
      <c r="A242" s="242">
        <v>171</v>
      </c>
      <c r="B242" s="244" t="s">
        <v>173</v>
      </c>
      <c r="C242" s="284" t="e">
        <f>#REF!</f>
        <v>#REF!</v>
      </c>
      <c r="E242" s="284" t="e">
        <f>#REF!</f>
        <v>#REF!</v>
      </c>
    </row>
    <row r="243" spans="1:7" ht="50.1" customHeight="1" x14ac:dyDescent="0.25">
      <c r="A243" s="281">
        <v>172</v>
      </c>
      <c r="B243" s="282" t="s">
        <v>174</v>
      </c>
      <c r="C243" s="284"/>
      <c r="E243" s="284"/>
    </row>
    <row r="244" spans="1:7" ht="50.1" customHeight="1" x14ac:dyDescent="0.25">
      <c r="A244" s="281"/>
      <c r="B244" s="282"/>
      <c r="C244" s="284"/>
      <c r="E244" s="284"/>
    </row>
    <row r="245" spans="1:7" ht="50.1" customHeight="1" x14ac:dyDescent="0.25">
      <c r="A245" s="242">
        <v>173</v>
      </c>
      <c r="B245" s="244" t="s">
        <v>481</v>
      </c>
      <c r="C245" s="246"/>
    </row>
    <row r="246" spans="1:7" ht="50.1" customHeight="1" x14ac:dyDescent="0.25">
      <c r="A246" s="281">
        <v>174</v>
      </c>
      <c r="B246" s="282" t="s">
        <v>176</v>
      </c>
      <c r="C246" s="246"/>
    </row>
    <row r="247" spans="1:7" ht="50.1" customHeight="1" x14ac:dyDescent="0.25">
      <c r="A247" s="281"/>
      <c r="B247" s="282"/>
      <c r="C247" s="246"/>
    </row>
    <row r="248" spans="1:7" ht="50.1" customHeight="1" x14ac:dyDescent="0.25">
      <c r="A248" s="281">
        <v>175</v>
      </c>
      <c r="B248" s="282" t="s">
        <v>46</v>
      </c>
      <c r="C248" s="284" t="e">
        <f>#REF!</f>
        <v>#REF!</v>
      </c>
      <c r="D248" s="221"/>
      <c r="E248" s="284" t="e">
        <f>#REF!</f>
        <v>#REF!</v>
      </c>
      <c r="F248" s="221" t="s">
        <v>1189</v>
      </c>
      <c r="G248" s="284" t="e">
        <f>#REF!</f>
        <v>#REF!</v>
      </c>
    </row>
    <row r="249" spans="1:7" ht="50.1" customHeight="1" x14ac:dyDescent="0.25">
      <c r="A249" s="281"/>
      <c r="B249" s="282"/>
      <c r="C249" s="284"/>
      <c r="D249" s="221"/>
      <c r="E249" s="284"/>
      <c r="F249" s="221" t="s">
        <v>737</v>
      </c>
      <c r="G249" s="284"/>
    </row>
    <row r="250" spans="1:7" ht="50.1" customHeight="1" x14ac:dyDescent="0.25">
      <c r="A250" s="281">
        <v>176</v>
      </c>
      <c r="B250" s="282" t="s">
        <v>47</v>
      </c>
      <c r="C250" s="284"/>
      <c r="E250" s="284"/>
      <c r="F250" s="6" t="e" vm="12">
        <f>IP!B12</f>
        <v>#VALUE!</v>
      </c>
      <c r="G250" s="284"/>
    </row>
    <row r="251" spans="1:7" ht="50.1" customHeight="1" x14ac:dyDescent="0.25">
      <c r="A251" s="281"/>
      <c r="B251" s="282"/>
      <c r="C251" s="284"/>
      <c r="E251" s="284"/>
      <c r="F251" s="221" t="s">
        <v>1189</v>
      </c>
      <c r="G251" s="284" t="e">
        <f>#REF!</f>
        <v>#REF!</v>
      </c>
    </row>
    <row r="252" spans="1:7" ht="50.1" customHeight="1" x14ac:dyDescent="0.25">
      <c r="A252" s="281">
        <v>177</v>
      </c>
      <c r="B252" s="282" t="s">
        <v>177</v>
      </c>
      <c r="C252" s="284"/>
      <c r="E252" s="284"/>
      <c r="F252" s="221" t="s">
        <v>737</v>
      </c>
      <c r="G252" s="284"/>
    </row>
    <row r="253" spans="1:7" ht="50.1" customHeight="1" x14ac:dyDescent="0.25">
      <c r="A253" s="281"/>
      <c r="B253" s="282"/>
      <c r="C253" s="284"/>
      <c r="E253" s="284"/>
      <c r="F253" s="6" t="e" vm="2">
        <f>IP!B5</f>
        <v>#VALUE!</v>
      </c>
      <c r="G253" s="284"/>
    </row>
    <row r="254" spans="1:7" ht="50.1" customHeight="1" x14ac:dyDescent="0.25">
      <c r="A254" s="281">
        <v>178</v>
      </c>
      <c r="B254" s="282" t="s">
        <v>178</v>
      </c>
      <c r="C254" s="284"/>
      <c r="D254" s="221" t="s">
        <v>741</v>
      </c>
      <c r="E254" s="284"/>
      <c r="F254" s="221" t="s">
        <v>1189</v>
      </c>
      <c r="G254" s="284" t="e">
        <f>#REF!</f>
        <v>#REF!</v>
      </c>
    </row>
    <row r="255" spans="1:7" ht="50.1" customHeight="1" x14ac:dyDescent="0.25">
      <c r="A255" s="281"/>
      <c r="B255" s="282"/>
      <c r="C255" s="284"/>
      <c r="D255" s="221">
        <v>35</v>
      </c>
      <c r="E255" s="284"/>
      <c r="F255" s="221" t="s">
        <v>737</v>
      </c>
      <c r="G255" s="284"/>
    </row>
    <row r="256" spans="1:7" ht="50.1" customHeight="1" x14ac:dyDescent="0.25">
      <c r="A256" s="281"/>
      <c r="B256" s="282"/>
      <c r="C256" s="284"/>
      <c r="D256" s="6" t="e" vm="1">
        <f>IP!B2</f>
        <v>#VALUE!</v>
      </c>
      <c r="E256" s="284"/>
      <c r="F256" s="6" t="e" vm="4">
        <f>IP!B3</f>
        <v>#VALUE!</v>
      </c>
      <c r="G256" s="284"/>
    </row>
    <row r="257" spans="1:7" ht="50.1" customHeight="1" x14ac:dyDescent="0.25">
      <c r="A257" s="281">
        <v>179</v>
      </c>
      <c r="B257" s="282" t="s">
        <v>179</v>
      </c>
      <c r="C257" s="284"/>
      <c r="E257" s="284"/>
      <c r="F257" s="221" t="s">
        <v>1189</v>
      </c>
      <c r="G257" s="284" t="e">
        <f>#REF!</f>
        <v>#REF!</v>
      </c>
    </row>
    <row r="258" spans="1:7" ht="50.1" customHeight="1" x14ac:dyDescent="0.25">
      <c r="A258" s="281"/>
      <c r="B258" s="282"/>
      <c r="C258" s="284"/>
      <c r="E258" s="284"/>
      <c r="F258" s="221" t="s">
        <v>737</v>
      </c>
      <c r="G258" s="284"/>
    </row>
    <row r="259" spans="1:7" ht="50.1" customHeight="1" x14ac:dyDescent="0.25">
      <c r="A259" s="281">
        <v>180</v>
      </c>
      <c r="B259" s="282" t="s">
        <v>175</v>
      </c>
      <c r="C259" s="284"/>
      <c r="E259" s="284"/>
      <c r="F259" s="6" t="e" vm="3">
        <f>IP!B7</f>
        <v>#VALUE!</v>
      </c>
      <c r="G259" s="284"/>
    </row>
    <row r="260" spans="1:7" ht="50.1" customHeight="1" x14ac:dyDescent="0.25">
      <c r="A260" s="281"/>
      <c r="B260" s="282"/>
      <c r="C260" s="284"/>
      <c r="E260" s="284"/>
      <c r="F260" s="221" t="s">
        <v>1189</v>
      </c>
      <c r="G260" s="284" t="e">
        <f>#REF!</f>
        <v>#REF!</v>
      </c>
    </row>
    <row r="261" spans="1:7" ht="50.1" customHeight="1" x14ac:dyDescent="0.25">
      <c r="A261" s="281">
        <v>181</v>
      </c>
      <c r="B261" s="282" t="s">
        <v>262</v>
      </c>
      <c r="C261" s="284"/>
      <c r="E261" s="284"/>
      <c r="F261" s="221" t="s">
        <v>737</v>
      </c>
      <c r="G261" s="284"/>
    </row>
    <row r="262" spans="1:7" ht="50.1" customHeight="1" x14ac:dyDescent="0.25">
      <c r="A262" s="281"/>
      <c r="B262" s="282"/>
      <c r="C262" s="284"/>
      <c r="E262" s="284"/>
      <c r="F262" s="6" t="e" vm="13">
        <f>IP!B9</f>
        <v>#VALUE!</v>
      </c>
      <c r="G262" s="284"/>
    </row>
    <row r="263" spans="1:7" ht="50.1" customHeight="1" x14ac:dyDescent="0.25">
      <c r="A263" s="242">
        <v>182</v>
      </c>
      <c r="B263" s="244" t="s">
        <v>180</v>
      </c>
      <c r="C263" s="284" t="e">
        <f>#REF!</f>
        <v>#REF!</v>
      </c>
      <c r="E263" s="284" t="e">
        <f>#REF!</f>
        <v>#REF!</v>
      </c>
      <c r="G263" s="284" t="e">
        <f>#REF!</f>
        <v>#REF!</v>
      </c>
    </row>
    <row r="264" spans="1:7" ht="50.1" customHeight="1" x14ac:dyDescent="0.25">
      <c r="A264" s="242">
        <v>183</v>
      </c>
      <c r="B264" s="244" t="s">
        <v>182</v>
      </c>
      <c r="C264" s="284"/>
      <c r="E264" s="284"/>
      <c r="G264" s="284"/>
    </row>
    <row r="265" spans="1:7" ht="50.1" customHeight="1" x14ac:dyDescent="0.25">
      <c r="A265" s="242">
        <v>184</v>
      </c>
      <c r="B265" s="244" t="s">
        <v>183</v>
      </c>
      <c r="C265" s="284"/>
      <c r="E265" s="284"/>
      <c r="G265" s="284"/>
    </row>
    <row r="266" spans="1:7" ht="50.1" customHeight="1" x14ac:dyDescent="0.25">
      <c r="A266" s="281">
        <v>185</v>
      </c>
      <c r="B266" s="282" t="s">
        <v>184</v>
      </c>
      <c r="C266" s="284" t="e">
        <f>#REF!</f>
        <v>#REF!</v>
      </c>
    </row>
    <row r="267" spans="1:7" ht="50.1" customHeight="1" x14ac:dyDescent="0.25">
      <c r="A267" s="281"/>
      <c r="B267" s="282"/>
      <c r="C267" s="284"/>
    </row>
    <row r="268" spans="1:7" ht="50.1" customHeight="1" x14ac:dyDescent="0.25">
      <c r="A268" s="281"/>
      <c r="B268" s="282"/>
      <c r="C268" s="284"/>
    </row>
    <row r="269" spans="1:7" ht="50.1" customHeight="1" x14ac:dyDescent="0.25">
      <c r="A269" s="281">
        <v>186</v>
      </c>
      <c r="B269" s="282" t="s">
        <v>185</v>
      </c>
      <c r="C269" s="284" t="e">
        <f>#REF!</f>
        <v>#REF!</v>
      </c>
    </row>
    <row r="270" spans="1:7" ht="50.1" customHeight="1" x14ac:dyDescent="0.25">
      <c r="A270" s="281"/>
      <c r="B270" s="282"/>
      <c r="C270" s="284"/>
    </row>
    <row r="271" spans="1:7" ht="50.1" customHeight="1" x14ac:dyDescent="0.25">
      <c r="A271" s="281"/>
      <c r="B271" s="282"/>
      <c r="C271" s="284"/>
    </row>
    <row r="272" spans="1:7" ht="50.1" customHeight="1" x14ac:dyDescent="0.25">
      <c r="A272" s="242">
        <v>187</v>
      </c>
      <c r="B272" s="244" t="s">
        <v>186</v>
      </c>
      <c r="C272" s="284" t="e">
        <f>#REF!</f>
        <v>#REF!</v>
      </c>
      <c r="E272" s="284" t="e">
        <f>#REF!</f>
        <v>#REF!</v>
      </c>
      <c r="G272" s="284" t="e">
        <f>#REF!</f>
        <v>#REF!</v>
      </c>
    </row>
    <row r="273" spans="1:7" ht="50.1" customHeight="1" x14ac:dyDescent="0.25">
      <c r="A273" s="242">
        <v>188</v>
      </c>
      <c r="B273" s="244" t="s">
        <v>187</v>
      </c>
      <c r="C273" s="284"/>
      <c r="E273" s="284"/>
      <c r="G273" s="284"/>
    </row>
    <row r="274" spans="1:7" ht="50.1" customHeight="1" x14ac:dyDescent="0.25">
      <c r="A274" s="242">
        <v>189</v>
      </c>
      <c r="B274" s="244" t="s">
        <v>188</v>
      </c>
      <c r="C274" s="284"/>
      <c r="E274" s="284"/>
      <c r="G274" s="284"/>
    </row>
    <row r="275" spans="1:7" ht="50.1" customHeight="1" x14ac:dyDescent="0.25">
      <c r="A275" s="242">
        <v>190</v>
      </c>
      <c r="B275" s="244" t="s">
        <v>189</v>
      </c>
      <c r="C275" s="284" t="e">
        <f>#REF!</f>
        <v>#REF!</v>
      </c>
      <c r="E275" s="284" t="e">
        <f>#REF!</f>
        <v>#REF!</v>
      </c>
      <c r="G275" s="284" t="e">
        <f>#REF!</f>
        <v>#REF!</v>
      </c>
    </row>
    <row r="276" spans="1:7" ht="50.1" customHeight="1" x14ac:dyDescent="0.25">
      <c r="A276" s="242">
        <v>191</v>
      </c>
      <c r="B276" s="244" t="s">
        <v>190</v>
      </c>
      <c r="C276" s="284"/>
      <c r="E276" s="284"/>
      <c r="G276" s="284"/>
    </row>
    <row r="277" spans="1:7" ht="50.1" customHeight="1" x14ac:dyDescent="0.25">
      <c r="A277" s="242">
        <v>192</v>
      </c>
      <c r="B277" s="244" t="s">
        <v>191</v>
      </c>
      <c r="C277" s="284"/>
      <c r="E277" s="284"/>
      <c r="G277" s="284"/>
    </row>
    <row r="278" spans="1:7" ht="50.1" customHeight="1" x14ac:dyDescent="0.25">
      <c r="A278" s="242">
        <v>193</v>
      </c>
      <c r="B278" s="244" t="s">
        <v>192</v>
      </c>
      <c r="C278" s="284" t="e">
        <f>#REF!</f>
        <v>#REF!</v>
      </c>
      <c r="E278" s="284" t="e">
        <f>#REF!</f>
        <v>#REF!</v>
      </c>
      <c r="G278" s="284" t="e">
        <f>#REF!</f>
        <v>#REF!</v>
      </c>
    </row>
    <row r="279" spans="1:7" ht="50.1" customHeight="1" x14ac:dyDescent="0.25">
      <c r="A279" s="242">
        <v>194</v>
      </c>
      <c r="B279" s="244" t="s">
        <v>193</v>
      </c>
      <c r="C279" s="284"/>
      <c r="E279" s="284"/>
      <c r="G279" s="284"/>
    </row>
    <row r="280" spans="1:7" ht="50.1" customHeight="1" x14ac:dyDescent="0.25">
      <c r="A280" s="242">
        <v>195</v>
      </c>
      <c r="B280" s="244" t="s">
        <v>194</v>
      </c>
      <c r="C280" s="284"/>
      <c r="E280" s="284"/>
      <c r="G280" s="284"/>
    </row>
    <row r="281" spans="1:7" ht="50.1" customHeight="1" x14ac:dyDescent="0.25">
      <c r="A281" s="242">
        <v>196</v>
      </c>
      <c r="B281" s="244" t="s">
        <v>195</v>
      </c>
      <c r="C281" s="284" t="e">
        <f>#REF!</f>
        <v>#REF!</v>
      </c>
      <c r="E281" s="284" t="e">
        <f>#REF!</f>
        <v>#REF!</v>
      </c>
    </row>
    <row r="282" spans="1:7" ht="50.1" customHeight="1" x14ac:dyDescent="0.25">
      <c r="A282" s="281">
        <v>197</v>
      </c>
      <c r="B282" s="282" t="s">
        <v>196</v>
      </c>
      <c r="C282" s="284"/>
      <c r="E282" s="284"/>
    </row>
    <row r="283" spans="1:7" ht="50.1" customHeight="1" x14ac:dyDescent="0.25">
      <c r="A283" s="281"/>
      <c r="B283" s="282"/>
      <c r="C283" s="284"/>
      <c r="E283" s="284"/>
    </row>
    <row r="284" spans="1:7" ht="50.1" customHeight="1" x14ac:dyDescent="0.25">
      <c r="A284" s="242">
        <v>198</v>
      </c>
      <c r="B284" s="244" t="s">
        <v>197</v>
      </c>
      <c r="C284" s="284" t="e">
        <f>#REF!</f>
        <v>#REF!</v>
      </c>
      <c r="E284" s="284" t="e">
        <f>#REF!</f>
        <v>#REF!</v>
      </c>
    </row>
    <row r="285" spans="1:7" ht="50.1" customHeight="1" x14ac:dyDescent="0.25">
      <c r="A285" s="281">
        <v>199</v>
      </c>
      <c r="B285" s="282" t="s">
        <v>198</v>
      </c>
      <c r="C285" s="284"/>
      <c r="E285" s="284"/>
    </row>
    <row r="286" spans="1:7" ht="50.1" customHeight="1" x14ac:dyDescent="0.25">
      <c r="A286" s="281"/>
      <c r="B286" s="282"/>
      <c r="C286" s="284"/>
      <c r="E286" s="284"/>
    </row>
    <row r="287" spans="1:7" ht="50.1" customHeight="1" x14ac:dyDescent="0.25">
      <c r="A287" s="242">
        <v>200</v>
      </c>
      <c r="B287" s="244" t="s">
        <v>199</v>
      </c>
      <c r="C287" s="284" t="e">
        <f>#REF!</f>
        <v>#REF!</v>
      </c>
      <c r="E287" s="284" t="e">
        <f>#REF!</f>
        <v>#REF!</v>
      </c>
    </row>
    <row r="288" spans="1:7" ht="50.1" customHeight="1" x14ac:dyDescent="0.25">
      <c r="A288" s="281">
        <v>201</v>
      </c>
      <c r="B288" s="282" t="s">
        <v>200</v>
      </c>
      <c r="C288" s="284"/>
      <c r="E288" s="284"/>
    </row>
    <row r="289" spans="1:7" ht="50.1" customHeight="1" x14ac:dyDescent="0.25">
      <c r="A289" s="281"/>
      <c r="B289" s="282"/>
      <c r="C289" s="284"/>
      <c r="E289" s="284"/>
    </row>
    <row r="290" spans="1:7" ht="50.1" customHeight="1" x14ac:dyDescent="0.25">
      <c r="A290" s="242">
        <v>202</v>
      </c>
      <c r="B290" s="244" t="s">
        <v>201</v>
      </c>
      <c r="C290" s="284" t="e">
        <f>#REF!</f>
        <v>#REF!</v>
      </c>
      <c r="E290" s="284" t="e">
        <f>#REF!</f>
        <v>#REF!</v>
      </c>
    </row>
    <row r="291" spans="1:7" ht="50.1" customHeight="1" x14ac:dyDescent="0.25">
      <c r="A291" s="281">
        <v>203</v>
      </c>
      <c r="B291" s="282" t="s">
        <v>202</v>
      </c>
      <c r="C291" s="284"/>
      <c r="E291" s="284"/>
    </row>
    <row r="292" spans="1:7" ht="50.1" customHeight="1" x14ac:dyDescent="0.25">
      <c r="A292" s="281"/>
      <c r="B292" s="282"/>
      <c r="C292" s="284"/>
      <c r="E292" s="284"/>
    </row>
    <row r="293" spans="1:7" ht="50.1" customHeight="1" x14ac:dyDescent="0.25">
      <c r="A293" s="242">
        <v>204</v>
      </c>
      <c r="B293" s="244" t="s">
        <v>204</v>
      </c>
      <c r="C293" s="284" t="e">
        <f>#REF!</f>
        <v>#REF!</v>
      </c>
      <c r="E293" s="284" t="e">
        <f>#REF!</f>
        <v>#REF!</v>
      </c>
    </row>
    <row r="294" spans="1:7" ht="50.1" customHeight="1" x14ac:dyDescent="0.25">
      <c r="A294" s="281">
        <v>205</v>
      </c>
      <c r="B294" s="282" t="s">
        <v>205</v>
      </c>
      <c r="C294" s="284"/>
      <c r="E294" s="284"/>
    </row>
    <row r="295" spans="1:7" ht="50.1" customHeight="1" x14ac:dyDescent="0.25">
      <c r="A295" s="281"/>
      <c r="B295" s="282"/>
      <c r="C295" s="284"/>
      <c r="E295" s="284"/>
    </row>
    <row r="296" spans="1:7" ht="50.1" customHeight="1" x14ac:dyDescent="0.25">
      <c r="A296" s="242">
        <v>206</v>
      </c>
      <c r="B296" s="244" t="s">
        <v>209</v>
      </c>
      <c r="C296" s="284" t="e">
        <f>#REF!</f>
        <v>#REF!</v>
      </c>
      <c r="E296" s="284" t="e">
        <f>#REF!</f>
        <v>#REF!</v>
      </c>
      <c r="G296" s="284" t="e">
        <f>#REF!</f>
        <v>#REF!</v>
      </c>
    </row>
    <row r="297" spans="1:7" ht="50.1" customHeight="1" x14ac:dyDescent="0.25">
      <c r="A297" s="242">
        <v>207</v>
      </c>
      <c r="B297" s="244" t="s">
        <v>210</v>
      </c>
      <c r="C297" s="284"/>
      <c r="E297" s="284"/>
      <c r="G297" s="284"/>
    </row>
    <row r="298" spans="1:7" ht="50.1" customHeight="1" x14ac:dyDescent="0.25">
      <c r="A298" s="242">
        <v>208</v>
      </c>
      <c r="B298" s="244" t="s">
        <v>503</v>
      </c>
      <c r="C298" s="284"/>
      <c r="E298" s="284"/>
      <c r="G298" s="284"/>
    </row>
    <row r="299" spans="1:7" ht="50.1" customHeight="1" x14ac:dyDescent="0.25">
      <c r="A299" s="242">
        <v>209</v>
      </c>
      <c r="B299" s="244" t="s">
        <v>211</v>
      </c>
      <c r="C299" s="284" t="e">
        <f>#REF!</f>
        <v>#REF!</v>
      </c>
      <c r="E299" s="284" t="e">
        <f>#REF!</f>
        <v>#REF!</v>
      </c>
    </row>
    <row r="300" spans="1:7" ht="50.1" customHeight="1" x14ac:dyDescent="0.25">
      <c r="A300" s="281">
        <v>210</v>
      </c>
      <c r="B300" s="282" t="s">
        <v>212</v>
      </c>
      <c r="C300" s="284"/>
      <c r="E300" s="284"/>
    </row>
    <row r="301" spans="1:7" ht="50.1" customHeight="1" x14ac:dyDescent="0.25">
      <c r="A301" s="281"/>
      <c r="B301" s="282"/>
      <c r="C301" s="284"/>
      <c r="E301" s="284"/>
    </row>
    <row r="302" spans="1:7" ht="50.1" customHeight="1" x14ac:dyDescent="0.25">
      <c r="A302" s="242">
        <v>211</v>
      </c>
      <c r="B302" s="244" t="s">
        <v>213</v>
      </c>
      <c r="C302" s="284" t="e">
        <f>#REF!</f>
        <v>#REF!</v>
      </c>
      <c r="E302" s="284" t="e">
        <f>#REF!</f>
        <v>#REF!</v>
      </c>
      <c r="G302" s="284" t="e">
        <f>#REF!</f>
        <v>#REF!</v>
      </c>
    </row>
    <row r="303" spans="1:7" ht="50.1" customHeight="1" x14ac:dyDescent="0.25">
      <c r="A303" s="242">
        <v>212</v>
      </c>
      <c r="B303" s="244" t="s">
        <v>214</v>
      </c>
      <c r="C303" s="284"/>
      <c r="E303" s="284"/>
      <c r="G303" s="284"/>
    </row>
    <row r="304" spans="1:7" ht="50.1" customHeight="1" x14ac:dyDescent="0.25">
      <c r="A304" s="242">
        <v>213</v>
      </c>
      <c r="B304" s="244" t="s">
        <v>215</v>
      </c>
      <c r="C304" s="284"/>
      <c r="E304" s="284"/>
      <c r="G304" s="284"/>
    </row>
    <row r="305" spans="1:7" ht="50.1" customHeight="1" x14ac:dyDescent="0.25">
      <c r="A305" s="242">
        <v>214</v>
      </c>
      <c r="B305" s="244" t="s">
        <v>333</v>
      </c>
      <c r="C305" s="284" t="e">
        <f>#REF!</f>
        <v>#REF!</v>
      </c>
      <c r="E305" s="284" t="e">
        <f>#REF!</f>
        <v>#REF!</v>
      </c>
      <c r="G305" s="284" t="e">
        <f>#REF!</f>
        <v>#REF!</v>
      </c>
    </row>
    <row r="306" spans="1:7" ht="50.1" customHeight="1" x14ac:dyDescent="0.25">
      <c r="A306" s="242">
        <v>215</v>
      </c>
      <c r="B306" s="244" t="s">
        <v>217</v>
      </c>
      <c r="C306" s="284"/>
      <c r="E306" s="284"/>
      <c r="G306" s="284"/>
    </row>
    <row r="307" spans="1:7" ht="50.1" customHeight="1" x14ac:dyDescent="0.25">
      <c r="A307" s="242">
        <v>216</v>
      </c>
      <c r="B307" s="244" t="s">
        <v>218</v>
      </c>
      <c r="C307" s="284"/>
      <c r="E307" s="284"/>
      <c r="G307" s="284"/>
    </row>
    <row r="308" spans="1:7" ht="50.1" customHeight="1" x14ac:dyDescent="0.25">
      <c r="A308" s="242">
        <v>217</v>
      </c>
      <c r="B308" s="244" t="s">
        <v>473</v>
      </c>
      <c r="C308" s="284" t="e">
        <f>#REF!</f>
        <v>#REF!</v>
      </c>
      <c r="E308" s="284" t="e">
        <f>#REF!</f>
        <v>#REF!</v>
      </c>
    </row>
    <row r="309" spans="1:7" ht="50.1" customHeight="1" x14ac:dyDescent="0.25">
      <c r="A309" s="281">
        <v>218</v>
      </c>
      <c r="B309" s="282" t="s">
        <v>219</v>
      </c>
      <c r="C309" s="284"/>
      <c r="E309" s="284"/>
    </row>
    <row r="310" spans="1:7" ht="50.1" customHeight="1" x14ac:dyDescent="0.25">
      <c r="A310" s="281"/>
      <c r="B310" s="282"/>
      <c r="C310" s="284"/>
      <c r="E310" s="284"/>
    </row>
    <row r="311" spans="1:7" ht="50.1" customHeight="1" x14ac:dyDescent="0.25">
      <c r="A311" s="242">
        <v>219</v>
      </c>
      <c r="B311" s="244" t="s">
        <v>221</v>
      </c>
      <c r="C311" s="284" t="e">
        <f>#REF!</f>
        <v>#REF!</v>
      </c>
      <c r="E311" s="284" t="e">
        <f>#REF!</f>
        <v>#REF!</v>
      </c>
      <c r="G311" s="284" t="e">
        <f>#REF!</f>
        <v>#REF!</v>
      </c>
    </row>
    <row r="312" spans="1:7" ht="50.1" customHeight="1" x14ac:dyDescent="0.25">
      <c r="A312" s="242">
        <v>220</v>
      </c>
      <c r="B312" s="244" t="s">
        <v>222</v>
      </c>
      <c r="C312" s="284"/>
      <c r="E312" s="284"/>
      <c r="G312" s="284"/>
    </row>
    <row r="313" spans="1:7" ht="50.1" customHeight="1" x14ac:dyDescent="0.25">
      <c r="A313" s="242">
        <v>221</v>
      </c>
      <c r="B313" s="244" t="s">
        <v>223</v>
      </c>
      <c r="C313" s="284"/>
      <c r="E313" s="284"/>
      <c r="G313" s="284"/>
    </row>
    <row r="314" spans="1:7" ht="50.1" customHeight="1" x14ac:dyDescent="0.25">
      <c r="A314" s="242">
        <v>222</v>
      </c>
      <c r="B314" s="244" t="s">
        <v>224</v>
      </c>
      <c r="C314" s="284" t="e">
        <f>#REF!</f>
        <v>#REF!</v>
      </c>
      <c r="E314" s="284" t="e">
        <f>#REF!</f>
        <v>#REF!</v>
      </c>
    </row>
    <row r="315" spans="1:7" ht="50.1" customHeight="1" x14ac:dyDescent="0.25">
      <c r="A315" s="281">
        <v>223</v>
      </c>
      <c r="B315" s="282" t="s">
        <v>459</v>
      </c>
      <c r="C315" s="284"/>
      <c r="E315" s="284"/>
    </row>
    <row r="316" spans="1:7" ht="50.1" customHeight="1" x14ac:dyDescent="0.25">
      <c r="A316" s="281"/>
      <c r="B316" s="282"/>
      <c r="C316" s="284"/>
      <c r="E316" s="284"/>
    </row>
    <row r="317" spans="1:7" ht="50.1" customHeight="1" x14ac:dyDescent="0.25">
      <c r="A317" s="242">
        <v>224</v>
      </c>
      <c r="B317" s="244" t="s">
        <v>225</v>
      </c>
      <c r="C317" s="284" t="e">
        <f>#REF!</f>
        <v>#REF!</v>
      </c>
      <c r="E317" s="284" t="e">
        <f>#REF!</f>
        <v>#REF!</v>
      </c>
    </row>
    <row r="318" spans="1:7" ht="50.1" customHeight="1" x14ac:dyDescent="0.25">
      <c r="A318" s="281">
        <v>225</v>
      </c>
      <c r="B318" s="282" t="s">
        <v>226</v>
      </c>
      <c r="C318" s="284"/>
      <c r="E318" s="284"/>
    </row>
    <row r="319" spans="1:7" ht="50.1" customHeight="1" x14ac:dyDescent="0.25">
      <c r="A319" s="281"/>
      <c r="B319" s="282"/>
      <c r="C319" s="284"/>
      <c r="E319" s="284"/>
    </row>
    <row r="320" spans="1:7" ht="50.1" customHeight="1" x14ac:dyDescent="0.25">
      <c r="A320" s="242">
        <v>226</v>
      </c>
      <c r="B320" s="244" t="s">
        <v>227</v>
      </c>
      <c r="C320" s="284" t="e">
        <f>#REF!</f>
        <v>#REF!</v>
      </c>
      <c r="E320" s="284" t="e">
        <f>#REF!</f>
        <v>#REF!</v>
      </c>
    </row>
    <row r="321" spans="1:5" ht="50.1" customHeight="1" x14ac:dyDescent="0.25">
      <c r="A321" s="281">
        <v>227</v>
      </c>
      <c r="B321" s="282" t="s">
        <v>504</v>
      </c>
      <c r="C321" s="284"/>
      <c r="E321" s="284"/>
    </row>
    <row r="322" spans="1:5" ht="50.1" customHeight="1" x14ac:dyDescent="0.25">
      <c r="A322" s="281"/>
      <c r="B322" s="282"/>
      <c r="C322" s="284"/>
      <c r="E322" s="284"/>
    </row>
    <row r="323" spans="1:5" ht="50.1" customHeight="1" x14ac:dyDescent="0.25">
      <c r="A323" s="242">
        <v>228</v>
      </c>
      <c r="B323" s="244" t="s">
        <v>228</v>
      </c>
    </row>
    <row r="324" spans="1:5" ht="50.1" customHeight="1" x14ac:dyDescent="0.25">
      <c r="A324" s="281">
        <v>229</v>
      </c>
      <c r="B324" s="282" t="s">
        <v>229</v>
      </c>
    </row>
    <row r="325" spans="1:5" ht="50.1" customHeight="1" x14ac:dyDescent="0.25">
      <c r="A325" s="281"/>
      <c r="B325" s="282"/>
    </row>
    <row r="326" spans="1:5" ht="50.1" customHeight="1" x14ac:dyDescent="0.25">
      <c r="A326" s="242">
        <v>230</v>
      </c>
      <c r="B326" s="244" t="s">
        <v>233</v>
      </c>
    </row>
    <row r="327" spans="1:5" ht="50.1" customHeight="1" x14ac:dyDescent="0.25">
      <c r="A327" s="281">
        <v>231</v>
      </c>
      <c r="B327" s="282" t="s">
        <v>465</v>
      </c>
    </row>
    <row r="328" spans="1:5" ht="50.1" customHeight="1" x14ac:dyDescent="0.25">
      <c r="A328" s="281"/>
      <c r="B328" s="282"/>
    </row>
    <row r="329" spans="1:5" ht="50.1" customHeight="1" x14ac:dyDescent="0.25">
      <c r="A329" s="242">
        <v>232</v>
      </c>
      <c r="B329" s="244" t="s">
        <v>235</v>
      </c>
    </row>
    <row r="330" spans="1:5" ht="50.1" customHeight="1" x14ac:dyDescent="0.25">
      <c r="A330" s="281">
        <v>233</v>
      </c>
      <c r="B330" s="282" t="s">
        <v>464</v>
      </c>
    </row>
    <row r="331" spans="1:5" ht="50.1" customHeight="1" x14ac:dyDescent="0.25">
      <c r="A331" s="281"/>
      <c r="B331" s="282"/>
    </row>
    <row r="332" spans="1:5" ht="50.1" customHeight="1" x14ac:dyDescent="0.25">
      <c r="A332" s="281">
        <v>234</v>
      </c>
      <c r="B332" s="282" t="s">
        <v>236</v>
      </c>
    </row>
    <row r="333" spans="1:5" ht="50.1" customHeight="1" x14ac:dyDescent="0.25">
      <c r="A333" s="281"/>
      <c r="B333" s="282"/>
    </row>
    <row r="334" spans="1:5" ht="50.1" customHeight="1" x14ac:dyDescent="0.25">
      <c r="A334" s="281"/>
      <c r="B334" s="282"/>
    </row>
    <row r="335" spans="1:5" ht="50.1" customHeight="1" x14ac:dyDescent="0.25">
      <c r="A335" s="242">
        <v>235</v>
      </c>
      <c r="B335" s="244" t="s">
        <v>395</v>
      </c>
    </row>
    <row r="336" spans="1:5" ht="50.1" customHeight="1" x14ac:dyDescent="0.25">
      <c r="A336" s="281">
        <v>236</v>
      </c>
      <c r="B336" s="282" t="s">
        <v>237</v>
      </c>
    </row>
    <row r="337" spans="1:2" ht="50.1" customHeight="1" x14ac:dyDescent="0.25">
      <c r="A337" s="281"/>
      <c r="B337" s="282"/>
    </row>
    <row r="338" spans="1:2" ht="50.1" customHeight="1" x14ac:dyDescent="0.25">
      <c r="A338" s="242">
        <v>237</v>
      </c>
      <c r="B338" s="244" t="s">
        <v>238</v>
      </c>
    </row>
    <row r="339" spans="1:2" ht="50.1" customHeight="1" x14ac:dyDescent="0.25">
      <c r="A339" s="281">
        <v>238</v>
      </c>
      <c r="B339" s="282" t="s">
        <v>1165</v>
      </c>
    </row>
    <row r="340" spans="1:2" ht="50.1" customHeight="1" x14ac:dyDescent="0.25">
      <c r="A340" s="281"/>
      <c r="B340" s="282"/>
    </row>
    <row r="341" spans="1:2" ht="50.1" customHeight="1" x14ac:dyDescent="0.25">
      <c r="A341" s="242">
        <v>239</v>
      </c>
      <c r="B341" s="244" t="s">
        <v>239</v>
      </c>
    </row>
    <row r="342" spans="1:2" ht="50.1" customHeight="1" x14ac:dyDescent="0.25">
      <c r="A342" s="281">
        <v>240</v>
      </c>
      <c r="B342" s="282" t="s">
        <v>240</v>
      </c>
    </row>
    <row r="343" spans="1:2" ht="50.1" customHeight="1" x14ac:dyDescent="0.25">
      <c r="A343" s="281"/>
      <c r="B343" s="282"/>
    </row>
    <row r="344" spans="1:2" ht="50.1" customHeight="1" x14ac:dyDescent="0.25">
      <c r="A344" s="242">
        <v>241</v>
      </c>
      <c r="B344" s="244" t="s">
        <v>241</v>
      </c>
    </row>
    <row r="345" spans="1:2" ht="50.1" customHeight="1" x14ac:dyDescent="0.25">
      <c r="A345" s="281">
        <v>242</v>
      </c>
      <c r="B345" s="282" t="s">
        <v>874</v>
      </c>
    </row>
    <row r="346" spans="1:2" ht="50.1" customHeight="1" x14ac:dyDescent="0.25">
      <c r="A346" s="281"/>
      <c r="B346" s="282"/>
    </row>
    <row r="347" spans="1:2" ht="50.1" customHeight="1" x14ac:dyDescent="0.25">
      <c r="A347" s="242">
        <v>243</v>
      </c>
      <c r="B347" s="244" t="s">
        <v>507</v>
      </c>
    </row>
    <row r="348" spans="1:2" ht="50.1" customHeight="1" x14ac:dyDescent="0.25">
      <c r="A348" s="281">
        <v>244</v>
      </c>
      <c r="B348" s="282" t="s">
        <v>242</v>
      </c>
    </row>
    <row r="349" spans="1:2" ht="50.1" customHeight="1" x14ac:dyDescent="0.25">
      <c r="A349" s="281"/>
      <c r="B349" s="282"/>
    </row>
    <row r="350" spans="1:2" ht="50.1" customHeight="1" x14ac:dyDescent="0.25">
      <c r="A350" s="242">
        <v>245</v>
      </c>
      <c r="B350" s="244" t="s">
        <v>244</v>
      </c>
    </row>
    <row r="351" spans="1:2" ht="50.1" customHeight="1" x14ac:dyDescent="0.25">
      <c r="A351" s="281">
        <v>246</v>
      </c>
      <c r="B351" s="282" t="s">
        <v>245</v>
      </c>
    </row>
    <row r="352" spans="1:2" ht="50.1" customHeight="1" x14ac:dyDescent="0.25">
      <c r="A352" s="281"/>
      <c r="B352" s="282"/>
    </row>
    <row r="353" spans="1:2" ht="50.1" customHeight="1" x14ac:dyDescent="0.25">
      <c r="A353" s="242">
        <v>247</v>
      </c>
      <c r="B353" s="244" t="s">
        <v>246</v>
      </c>
    </row>
    <row r="354" spans="1:2" ht="50.1" customHeight="1" x14ac:dyDescent="0.25">
      <c r="A354" s="281">
        <v>248</v>
      </c>
      <c r="B354" s="282" t="s">
        <v>1181</v>
      </c>
    </row>
    <row r="355" spans="1:2" ht="50.1" customHeight="1" x14ac:dyDescent="0.25">
      <c r="A355" s="281"/>
      <c r="B355" s="282"/>
    </row>
    <row r="356" spans="1:2" ht="50.1" customHeight="1" x14ac:dyDescent="0.25">
      <c r="A356" s="281">
        <v>249</v>
      </c>
      <c r="B356" s="282" t="s">
        <v>248</v>
      </c>
    </row>
    <row r="357" spans="1:2" ht="50.1" customHeight="1" x14ac:dyDescent="0.25">
      <c r="A357" s="281"/>
      <c r="B357" s="282"/>
    </row>
    <row r="358" spans="1:2" ht="50.1" customHeight="1" x14ac:dyDescent="0.25">
      <c r="A358" s="281"/>
      <c r="B358" s="282"/>
    </row>
    <row r="359" spans="1:2" ht="50.1" customHeight="1" x14ac:dyDescent="0.25">
      <c r="A359" s="281">
        <v>250</v>
      </c>
      <c r="B359" s="282" t="s">
        <v>249</v>
      </c>
    </row>
    <row r="360" spans="1:2" ht="50.1" customHeight="1" x14ac:dyDescent="0.25">
      <c r="A360" s="281"/>
      <c r="B360" s="282"/>
    </row>
    <row r="361" spans="1:2" ht="50.1" customHeight="1" x14ac:dyDescent="0.25">
      <c r="A361" s="281"/>
      <c r="B361" s="282"/>
    </row>
    <row r="362" spans="1:2" ht="50.1" customHeight="1" x14ac:dyDescent="0.25">
      <c r="A362" s="242">
        <v>251</v>
      </c>
      <c r="B362" s="244" t="s">
        <v>250</v>
      </c>
    </row>
    <row r="363" spans="1:2" ht="50.1" customHeight="1" x14ac:dyDescent="0.25">
      <c r="A363" s="281">
        <v>252</v>
      </c>
      <c r="B363" s="282" t="s">
        <v>496</v>
      </c>
    </row>
    <row r="364" spans="1:2" ht="50.1" customHeight="1" x14ac:dyDescent="0.25">
      <c r="A364" s="281"/>
      <c r="B364" s="282"/>
    </row>
    <row r="365" spans="1:2" ht="50.1" customHeight="1" x14ac:dyDescent="0.25">
      <c r="A365" s="242">
        <v>253</v>
      </c>
      <c r="B365" s="244" t="s">
        <v>251</v>
      </c>
    </row>
    <row r="366" spans="1:2" ht="50.1" customHeight="1" x14ac:dyDescent="0.25">
      <c r="A366" s="242">
        <v>254</v>
      </c>
      <c r="B366" s="244" t="s">
        <v>252</v>
      </c>
    </row>
    <row r="367" spans="1:2" ht="50.1" customHeight="1" x14ac:dyDescent="0.25">
      <c r="A367" s="242">
        <v>255</v>
      </c>
      <c r="B367" s="244" t="s">
        <v>1167</v>
      </c>
    </row>
    <row r="368" spans="1:2" ht="50.1" customHeight="1" x14ac:dyDescent="0.25">
      <c r="A368" s="242">
        <v>256</v>
      </c>
      <c r="B368" s="244" t="s">
        <v>253</v>
      </c>
    </row>
    <row r="369" spans="1:2" ht="50.1" customHeight="1" x14ac:dyDescent="0.25">
      <c r="A369" s="281">
        <v>257</v>
      </c>
      <c r="B369" s="282" t="s">
        <v>254</v>
      </c>
    </row>
    <row r="370" spans="1:2" ht="50.1" customHeight="1" x14ac:dyDescent="0.25">
      <c r="A370" s="281"/>
      <c r="B370" s="282"/>
    </row>
    <row r="371" spans="1:2" ht="50.1" customHeight="1" x14ac:dyDescent="0.25">
      <c r="A371" s="242">
        <v>258</v>
      </c>
      <c r="B371" s="244" t="s">
        <v>255</v>
      </c>
    </row>
    <row r="372" spans="1:2" ht="50.1" customHeight="1" x14ac:dyDescent="0.25">
      <c r="A372" s="242">
        <v>259</v>
      </c>
      <c r="B372" s="244" t="s">
        <v>256</v>
      </c>
    </row>
    <row r="373" spans="1:2" ht="50.1" customHeight="1" x14ac:dyDescent="0.25">
      <c r="A373" s="242">
        <v>260</v>
      </c>
      <c r="B373" s="244" t="s">
        <v>508</v>
      </c>
    </row>
    <row r="374" spans="1:2" ht="50.1" customHeight="1" x14ac:dyDescent="0.25">
      <c r="A374" s="242">
        <v>261</v>
      </c>
      <c r="B374" s="244" t="s">
        <v>257</v>
      </c>
    </row>
    <row r="375" spans="1:2" ht="50.1" customHeight="1" x14ac:dyDescent="0.25">
      <c r="A375" s="281">
        <v>262</v>
      </c>
      <c r="B375" s="282" t="s">
        <v>1182</v>
      </c>
    </row>
    <row r="376" spans="1:2" ht="50.1" customHeight="1" x14ac:dyDescent="0.25">
      <c r="A376" s="281"/>
      <c r="B376" s="282"/>
    </row>
    <row r="377" spans="1:2" ht="50.1" customHeight="1" x14ac:dyDescent="0.25">
      <c r="A377" s="242">
        <v>263</v>
      </c>
      <c r="B377" s="244" t="s">
        <v>258</v>
      </c>
    </row>
    <row r="378" spans="1:2" ht="50.1" customHeight="1" x14ac:dyDescent="0.25">
      <c r="A378" s="281">
        <v>264</v>
      </c>
      <c r="B378" s="282" t="s">
        <v>259</v>
      </c>
    </row>
    <row r="379" spans="1:2" ht="50.1" customHeight="1" x14ac:dyDescent="0.25">
      <c r="A379" s="281"/>
      <c r="B379" s="282"/>
    </row>
    <row r="380" spans="1:2" ht="50.1" customHeight="1" x14ac:dyDescent="0.25">
      <c r="A380" s="281">
        <v>265</v>
      </c>
      <c r="B380" s="282" t="s">
        <v>260</v>
      </c>
    </row>
    <row r="381" spans="1:2" ht="50.1" customHeight="1" x14ac:dyDescent="0.25">
      <c r="A381" s="281"/>
      <c r="B381" s="282"/>
    </row>
    <row r="382" spans="1:2" ht="50.1" customHeight="1" x14ac:dyDescent="0.25">
      <c r="A382" s="281"/>
      <c r="B382" s="282"/>
    </row>
    <row r="383" spans="1:2" ht="50.1" customHeight="1" x14ac:dyDescent="0.25">
      <c r="A383" s="242">
        <v>266</v>
      </c>
      <c r="B383" s="244" t="s">
        <v>493</v>
      </c>
    </row>
    <row r="384" spans="1:2" ht="50.1" customHeight="1" x14ac:dyDescent="0.25">
      <c r="A384" s="283">
        <v>267</v>
      </c>
      <c r="B384" s="282" t="s">
        <v>261</v>
      </c>
    </row>
    <row r="385" spans="1:2" ht="50.1" customHeight="1" x14ac:dyDescent="0.25">
      <c r="A385" s="283"/>
      <c r="B385" s="282"/>
    </row>
    <row r="386" spans="1:2" ht="50.1" customHeight="1" x14ac:dyDescent="0.25">
      <c r="A386" s="242">
        <v>268</v>
      </c>
      <c r="B386" s="244" t="s">
        <v>263</v>
      </c>
    </row>
    <row r="387" spans="1:2" ht="50.1" customHeight="1" x14ac:dyDescent="0.25">
      <c r="A387" s="281">
        <v>269</v>
      </c>
      <c r="B387" s="282" t="s">
        <v>264</v>
      </c>
    </row>
    <row r="388" spans="1:2" ht="50.1" customHeight="1" x14ac:dyDescent="0.25">
      <c r="A388" s="281"/>
      <c r="B388" s="282"/>
    </row>
    <row r="389" spans="1:2" ht="50.1" customHeight="1" x14ac:dyDescent="0.25">
      <c r="A389" s="242">
        <v>270</v>
      </c>
      <c r="B389" s="244" t="s">
        <v>266</v>
      </c>
    </row>
    <row r="390" spans="1:2" ht="50.1" customHeight="1" x14ac:dyDescent="0.25">
      <c r="A390" s="281">
        <v>271</v>
      </c>
      <c r="B390" s="282" t="s">
        <v>267</v>
      </c>
    </row>
    <row r="391" spans="1:2" ht="50.1" customHeight="1" x14ac:dyDescent="0.25">
      <c r="A391" s="281"/>
      <c r="B391" s="282"/>
    </row>
    <row r="392" spans="1:2" ht="50.1" customHeight="1" x14ac:dyDescent="0.25">
      <c r="A392" s="242">
        <v>272</v>
      </c>
      <c r="B392" s="244" t="s">
        <v>269</v>
      </c>
    </row>
    <row r="393" spans="1:2" ht="50.1" customHeight="1" x14ac:dyDescent="0.25">
      <c r="A393" s="281">
        <v>273</v>
      </c>
      <c r="B393" s="282" t="s">
        <v>1169</v>
      </c>
    </row>
    <row r="394" spans="1:2" ht="50.1" customHeight="1" x14ac:dyDescent="0.25">
      <c r="A394" s="281"/>
      <c r="B394" s="282"/>
    </row>
    <row r="395" spans="1:2" ht="50.1" customHeight="1" x14ac:dyDescent="0.25">
      <c r="A395" s="281">
        <v>274</v>
      </c>
      <c r="B395" s="282" t="s">
        <v>270</v>
      </c>
    </row>
    <row r="396" spans="1:2" ht="50.1" customHeight="1" x14ac:dyDescent="0.25">
      <c r="A396" s="281"/>
      <c r="B396" s="282"/>
    </row>
    <row r="397" spans="1:2" ht="50.1" customHeight="1" x14ac:dyDescent="0.25">
      <c r="A397" s="281"/>
      <c r="B397" s="282"/>
    </row>
    <row r="398" spans="1:2" ht="50.1" customHeight="1" x14ac:dyDescent="0.25">
      <c r="A398" s="281">
        <v>275</v>
      </c>
      <c r="B398" s="282" t="s">
        <v>276</v>
      </c>
    </row>
    <row r="399" spans="1:2" ht="50.1" customHeight="1" x14ac:dyDescent="0.25">
      <c r="A399" s="281"/>
      <c r="B399" s="282"/>
    </row>
    <row r="400" spans="1:2" ht="50.1" customHeight="1" x14ac:dyDescent="0.25">
      <c r="A400" s="281"/>
      <c r="B400" s="282"/>
    </row>
    <row r="401" spans="1:2" ht="50.1" customHeight="1" x14ac:dyDescent="0.25">
      <c r="A401" s="281">
        <v>276</v>
      </c>
      <c r="B401" s="282" t="s">
        <v>278</v>
      </c>
    </row>
    <row r="402" spans="1:2" ht="50.1" customHeight="1" x14ac:dyDescent="0.25">
      <c r="A402" s="281"/>
      <c r="B402" s="282"/>
    </row>
    <row r="403" spans="1:2" ht="50.1" customHeight="1" x14ac:dyDescent="0.25">
      <c r="A403" s="281"/>
      <c r="B403" s="282"/>
    </row>
    <row r="404" spans="1:2" ht="50.1" customHeight="1" x14ac:dyDescent="0.25">
      <c r="A404" s="281">
        <v>277</v>
      </c>
      <c r="B404" s="282" t="s">
        <v>279</v>
      </c>
    </row>
    <row r="405" spans="1:2" ht="50.1" customHeight="1" x14ac:dyDescent="0.25">
      <c r="A405" s="281"/>
      <c r="B405" s="282"/>
    </row>
    <row r="406" spans="1:2" ht="50.1" customHeight="1" x14ac:dyDescent="0.25">
      <c r="A406" s="281"/>
      <c r="B406" s="282"/>
    </row>
    <row r="407" spans="1:2" ht="50.1" customHeight="1" x14ac:dyDescent="0.25">
      <c r="A407" s="281">
        <v>278</v>
      </c>
      <c r="B407" s="282" t="s">
        <v>280</v>
      </c>
    </row>
    <row r="408" spans="1:2" ht="50.1" customHeight="1" x14ac:dyDescent="0.25">
      <c r="A408" s="281"/>
      <c r="B408" s="282"/>
    </row>
    <row r="409" spans="1:2" ht="50.1" customHeight="1" x14ac:dyDescent="0.25">
      <c r="A409" s="281"/>
      <c r="B409" s="282"/>
    </row>
    <row r="410" spans="1:2" ht="50.1" customHeight="1" x14ac:dyDescent="0.25">
      <c r="A410" s="242">
        <v>279</v>
      </c>
      <c r="B410" s="244" t="s">
        <v>281</v>
      </c>
    </row>
    <row r="411" spans="1:2" ht="50.1" customHeight="1" x14ac:dyDescent="0.25">
      <c r="A411" s="242">
        <v>280</v>
      </c>
      <c r="B411" s="244" t="s">
        <v>282</v>
      </c>
    </row>
    <row r="412" spans="1:2" ht="50.1" customHeight="1" x14ac:dyDescent="0.25">
      <c r="A412" s="242">
        <v>281</v>
      </c>
      <c r="B412" s="244" t="s">
        <v>283</v>
      </c>
    </row>
    <row r="413" spans="1:2" ht="50.1" customHeight="1" x14ac:dyDescent="0.25">
      <c r="A413" s="281">
        <v>282</v>
      </c>
      <c r="B413" s="282" t="s">
        <v>284</v>
      </c>
    </row>
    <row r="414" spans="1:2" ht="50.1" customHeight="1" x14ac:dyDescent="0.25">
      <c r="A414" s="281"/>
      <c r="B414" s="282"/>
    </row>
    <row r="415" spans="1:2" ht="50.1" customHeight="1" x14ac:dyDescent="0.25">
      <c r="A415" s="281"/>
      <c r="B415" s="282"/>
    </row>
    <row r="416" spans="1:2" ht="50.1" customHeight="1" x14ac:dyDescent="0.25">
      <c r="A416" s="281">
        <v>283</v>
      </c>
      <c r="B416" s="282" t="s">
        <v>285</v>
      </c>
    </row>
    <row r="417" spans="1:2" ht="50.1" customHeight="1" x14ac:dyDescent="0.25">
      <c r="A417" s="281"/>
      <c r="B417" s="282"/>
    </row>
    <row r="418" spans="1:2" ht="50.1" customHeight="1" x14ac:dyDescent="0.25">
      <c r="A418" s="281"/>
      <c r="B418" s="282"/>
    </row>
    <row r="419" spans="1:2" ht="50.1" customHeight="1" x14ac:dyDescent="0.25">
      <c r="A419" s="281">
        <v>284</v>
      </c>
      <c r="B419" s="282" t="s">
        <v>286</v>
      </c>
    </row>
    <row r="420" spans="1:2" ht="50.1" customHeight="1" x14ac:dyDescent="0.25">
      <c r="A420" s="281"/>
      <c r="B420" s="282"/>
    </row>
    <row r="421" spans="1:2" ht="50.1" customHeight="1" x14ac:dyDescent="0.25">
      <c r="A421" s="281"/>
      <c r="B421" s="282"/>
    </row>
    <row r="422" spans="1:2" ht="50.1" customHeight="1" x14ac:dyDescent="0.25">
      <c r="A422" s="242">
        <v>285</v>
      </c>
      <c r="B422" s="244" t="s">
        <v>287</v>
      </c>
    </row>
    <row r="423" spans="1:2" ht="50.1" customHeight="1" x14ac:dyDescent="0.25">
      <c r="A423" s="242">
        <v>286</v>
      </c>
      <c r="B423" s="244" t="s">
        <v>288</v>
      </c>
    </row>
    <row r="424" spans="1:2" ht="50.1" customHeight="1" x14ac:dyDescent="0.25">
      <c r="A424" s="242">
        <v>287</v>
      </c>
      <c r="B424" s="244" t="s">
        <v>289</v>
      </c>
    </row>
    <row r="425" spans="1:2" ht="50.1" customHeight="1" x14ac:dyDescent="0.25">
      <c r="A425" s="242">
        <v>288</v>
      </c>
      <c r="B425" s="244" t="s">
        <v>290</v>
      </c>
    </row>
    <row r="426" spans="1:2" ht="50.1" customHeight="1" x14ac:dyDescent="0.25">
      <c r="A426" s="242">
        <v>289</v>
      </c>
      <c r="B426" s="244" t="s">
        <v>291</v>
      </c>
    </row>
    <row r="427" spans="1:2" ht="50.1" customHeight="1" x14ac:dyDescent="0.25">
      <c r="A427" s="242">
        <v>290</v>
      </c>
      <c r="B427" s="244" t="s">
        <v>292</v>
      </c>
    </row>
    <row r="428" spans="1:2" ht="50.1" customHeight="1" x14ac:dyDescent="0.25">
      <c r="A428" s="242">
        <v>291</v>
      </c>
      <c r="B428" s="244" t="s">
        <v>293</v>
      </c>
    </row>
    <row r="429" spans="1:2" ht="50.1" customHeight="1" x14ac:dyDescent="0.25">
      <c r="A429" s="242">
        <v>292</v>
      </c>
      <c r="B429" s="244" t="s">
        <v>294</v>
      </c>
    </row>
    <row r="430" spans="1:2" ht="50.1" customHeight="1" x14ac:dyDescent="0.25">
      <c r="A430" s="242">
        <v>293</v>
      </c>
      <c r="B430" s="244" t="s">
        <v>295</v>
      </c>
    </row>
    <row r="431" spans="1:2" ht="50.1" customHeight="1" x14ac:dyDescent="0.25">
      <c r="A431" s="242">
        <v>294</v>
      </c>
      <c r="B431" s="244" t="s">
        <v>296</v>
      </c>
    </row>
    <row r="432" spans="1:2" ht="50.1" customHeight="1" x14ac:dyDescent="0.25">
      <c r="A432" s="281">
        <v>295</v>
      </c>
      <c r="B432" s="282" t="s">
        <v>297</v>
      </c>
    </row>
    <row r="433" spans="1:2" ht="50.1" customHeight="1" x14ac:dyDescent="0.25">
      <c r="A433" s="281"/>
      <c r="B433" s="282"/>
    </row>
    <row r="434" spans="1:2" ht="50.1" customHeight="1" x14ac:dyDescent="0.25">
      <c r="A434" s="242">
        <v>296</v>
      </c>
      <c r="B434" s="244" t="s">
        <v>298</v>
      </c>
    </row>
    <row r="435" spans="1:2" ht="50.1" customHeight="1" x14ac:dyDescent="0.25">
      <c r="A435" s="242">
        <v>297</v>
      </c>
      <c r="B435" s="244" t="s">
        <v>299</v>
      </c>
    </row>
    <row r="436" spans="1:2" ht="50.1" customHeight="1" x14ac:dyDescent="0.25">
      <c r="A436" s="242">
        <v>298</v>
      </c>
      <c r="B436" s="244" t="s">
        <v>1184</v>
      </c>
    </row>
    <row r="437" spans="1:2" ht="50.1" customHeight="1" x14ac:dyDescent="0.25">
      <c r="A437" s="281">
        <v>299</v>
      </c>
      <c r="B437" s="282" t="s">
        <v>300</v>
      </c>
    </row>
    <row r="438" spans="1:2" ht="50.1" customHeight="1" x14ac:dyDescent="0.25">
      <c r="A438" s="281"/>
      <c r="B438" s="282"/>
    </row>
    <row r="439" spans="1:2" ht="50.1" customHeight="1" x14ac:dyDescent="0.25">
      <c r="A439" s="242">
        <v>300</v>
      </c>
      <c r="B439" s="244" t="s">
        <v>301</v>
      </c>
    </row>
    <row r="440" spans="1:2" ht="50.1" customHeight="1" x14ac:dyDescent="0.25">
      <c r="A440" s="242">
        <v>301</v>
      </c>
      <c r="B440" s="244" t="s">
        <v>302</v>
      </c>
    </row>
    <row r="441" spans="1:2" ht="50.1" customHeight="1" x14ac:dyDescent="0.25">
      <c r="A441" s="242">
        <v>302</v>
      </c>
      <c r="B441" s="244" t="s">
        <v>303</v>
      </c>
    </row>
    <row r="442" spans="1:2" ht="50.1" customHeight="1" x14ac:dyDescent="0.25">
      <c r="A442" s="242">
        <v>303</v>
      </c>
      <c r="B442" s="244" t="s">
        <v>304</v>
      </c>
    </row>
    <row r="443" spans="1:2" ht="50.1" customHeight="1" x14ac:dyDescent="0.25">
      <c r="A443" s="242">
        <v>304</v>
      </c>
      <c r="B443" s="244" t="s">
        <v>305</v>
      </c>
    </row>
    <row r="444" spans="1:2" ht="50.1" customHeight="1" x14ac:dyDescent="0.25">
      <c r="A444" s="242">
        <v>305</v>
      </c>
      <c r="B444" s="244" t="s">
        <v>306</v>
      </c>
    </row>
    <row r="445" spans="1:2" ht="50.1" customHeight="1" x14ac:dyDescent="0.25">
      <c r="A445" s="242">
        <v>306</v>
      </c>
      <c r="B445" s="244" t="s">
        <v>307</v>
      </c>
    </row>
    <row r="446" spans="1:2" ht="50.1" customHeight="1" x14ac:dyDescent="0.25">
      <c r="A446" s="242">
        <v>307</v>
      </c>
      <c r="B446" s="244" t="s">
        <v>308</v>
      </c>
    </row>
    <row r="447" spans="1:2" ht="50.1" customHeight="1" x14ac:dyDescent="0.25">
      <c r="A447" s="242">
        <v>308</v>
      </c>
      <c r="B447" s="244" t="s">
        <v>309</v>
      </c>
    </row>
    <row r="448" spans="1:2" ht="50.1" customHeight="1" x14ac:dyDescent="0.25">
      <c r="A448" s="242">
        <v>309</v>
      </c>
      <c r="B448" s="244" t="s">
        <v>310</v>
      </c>
    </row>
    <row r="449" spans="1:2" ht="50.1" customHeight="1" x14ac:dyDescent="0.25">
      <c r="A449" s="242">
        <v>310</v>
      </c>
      <c r="B449" s="244" t="s">
        <v>311</v>
      </c>
    </row>
    <row r="450" spans="1:2" ht="50.1" customHeight="1" x14ac:dyDescent="0.25">
      <c r="A450" s="281">
        <v>311</v>
      </c>
      <c r="B450" s="282" t="s">
        <v>312</v>
      </c>
    </row>
    <row r="451" spans="1:2" ht="50.1" customHeight="1" x14ac:dyDescent="0.25">
      <c r="A451" s="281"/>
      <c r="B451" s="282"/>
    </row>
    <row r="452" spans="1:2" ht="50.1" customHeight="1" x14ac:dyDescent="0.25">
      <c r="A452" s="242">
        <v>312</v>
      </c>
      <c r="B452" s="244" t="s">
        <v>313</v>
      </c>
    </row>
    <row r="453" spans="1:2" ht="50.1" customHeight="1" x14ac:dyDescent="0.25">
      <c r="A453" s="281">
        <v>313</v>
      </c>
      <c r="B453" s="282" t="s">
        <v>314</v>
      </c>
    </row>
    <row r="454" spans="1:2" ht="50.1" customHeight="1" x14ac:dyDescent="0.25">
      <c r="A454" s="281"/>
      <c r="B454" s="282"/>
    </row>
    <row r="455" spans="1:2" ht="50.1" customHeight="1" x14ac:dyDescent="0.25">
      <c r="A455" s="242">
        <v>314</v>
      </c>
      <c r="B455" s="244" t="s">
        <v>315</v>
      </c>
    </row>
    <row r="456" spans="1:2" ht="50.1" customHeight="1" x14ac:dyDescent="0.25">
      <c r="A456" s="242">
        <v>315</v>
      </c>
      <c r="B456" s="244" t="s">
        <v>316</v>
      </c>
    </row>
    <row r="457" spans="1:2" ht="50.1" customHeight="1" x14ac:dyDescent="0.25">
      <c r="A457" s="281">
        <v>316</v>
      </c>
      <c r="B457" s="282" t="s">
        <v>317</v>
      </c>
    </row>
    <row r="458" spans="1:2" ht="50.1" customHeight="1" x14ac:dyDescent="0.25">
      <c r="A458" s="281"/>
      <c r="B458" s="282"/>
    </row>
    <row r="459" spans="1:2" ht="50.1" customHeight="1" x14ac:dyDescent="0.25">
      <c r="A459" s="281">
        <v>317</v>
      </c>
      <c r="B459" s="282" t="s">
        <v>510</v>
      </c>
    </row>
    <row r="460" spans="1:2" ht="50.1" customHeight="1" x14ac:dyDescent="0.25">
      <c r="A460" s="281"/>
      <c r="B460" s="282"/>
    </row>
    <row r="461" spans="1:2" ht="50.1" customHeight="1" x14ac:dyDescent="0.25">
      <c r="A461" s="242">
        <v>318</v>
      </c>
      <c r="B461" s="244" t="s">
        <v>318</v>
      </c>
    </row>
    <row r="462" spans="1:2" ht="50.1" customHeight="1" x14ac:dyDescent="0.25">
      <c r="A462" s="281">
        <v>319</v>
      </c>
      <c r="B462" s="282" t="s">
        <v>319</v>
      </c>
    </row>
    <row r="463" spans="1:2" ht="50.1" customHeight="1" x14ac:dyDescent="0.25">
      <c r="A463" s="281"/>
      <c r="B463" s="282"/>
    </row>
    <row r="464" spans="1:2" ht="50.1" customHeight="1" x14ac:dyDescent="0.25">
      <c r="A464" s="242">
        <v>320</v>
      </c>
      <c r="B464" s="244" t="s">
        <v>320</v>
      </c>
    </row>
    <row r="465" spans="1:2" ht="50.1" customHeight="1" x14ac:dyDescent="0.25">
      <c r="A465" s="281">
        <v>321</v>
      </c>
      <c r="B465" s="282" t="s">
        <v>321</v>
      </c>
    </row>
    <row r="466" spans="1:2" ht="50.1" customHeight="1" x14ac:dyDescent="0.25">
      <c r="A466" s="281"/>
      <c r="B466" s="282"/>
    </row>
    <row r="467" spans="1:2" ht="50.1" customHeight="1" x14ac:dyDescent="0.25">
      <c r="A467" s="242">
        <v>322</v>
      </c>
      <c r="B467" s="244" t="s">
        <v>322</v>
      </c>
    </row>
    <row r="468" spans="1:2" ht="50.1" customHeight="1" x14ac:dyDescent="0.25">
      <c r="A468" s="242">
        <v>323</v>
      </c>
      <c r="B468" s="244" t="s">
        <v>323</v>
      </c>
    </row>
    <row r="469" spans="1:2" ht="50.1" customHeight="1" x14ac:dyDescent="0.25">
      <c r="A469" s="242">
        <v>324</v>
      </c>
      <c r="B469" s="244" t="s">
        <v>324</v>
      </c>
    </row>
    <row r="470" spans="1:2" ht="50.1" customHeight="1" x14ac:dyDescent="0.25">
      <c r="A470" s="242">
        <v>325</v>
      </c>
      <c r="B470" s="244" t="s">
        <v>325</v>
      </c>
    </row>
    <row r="471" spans="1:2" ht="50.1" customHeight="1" x14ac:dyDescent="0.25">
      <c r="A471" s="242">
        <v>326</v>
      </c>
      <c r="B471" s="244" t="s">
        <v>326</v>
      </c>
    </row>
    <row r="472" spans="1:2" ht="50.1" customHeight="1" x14ac:dyDescent="0.25">
      <c r="A472" s="242">
        <v>327</v>
      </c>
      <c r="B472" s="244" t="s">
        <v>327</v>
      </c>
    </row>
    <row r="473" spans="1:2" ht="50.1" customHeight="1" x14ac:dyDescent="0.25">
      <c r="A473" s="242">
        <v>328</v>
      </c>
      <c r="B473" s="244" t="s">
        <v>328</v>
      </c>
    </row>
    <row r="474" spans="1:2" ht="50.1" customHeight="1" x14ac:dyDescent="0.25">
      <c r="A474" s="242">
        <v>329</v>
      </c>
      <c r="B474" s="244" t="s">
        <v>329</v>
      </c>
    </row>
    <row r="475" spans="1:2" ht="50.1" customHeight="1" x14ac:dyDescent="0.25">
      <c r="A475" s="242">
        <v>330</v>
      </c>
      <c r="B475" s="244" t="s">
        <v>330</v>
      </c>
    </row>
    <row r="476" spans="1:2" ht="50.1" customHeight="1" x14ac:dyDescent="0.25">
      <c r="A476" s="242">
        <v>331</v>
      </c>
      <c r="B476" s="244" t="s">
        <v>331</v>
      </c>
    </row>
    <row r="477" spans="1:2" ht="50.1" customHeight="1" x14ac:dyDescent="0.25">
      <c r="A477" s="281">
        <v>332</v>
      </c>
      <c r="B477" s="282" t="s">
        <v>332</v>
      </c>
    </row>
    <row r="478" spans="1:2" ht="50.1" customHeight="1" x14ac:dyDescent="0.25">
      <c r="A478" s="281"/>
      <c r="B478" s="282"/>
    </row>
    <row r="479" spans="1:2" ht="50.1" customHeight="1" x14ac:dyDescent="0.25">
      <c r="A479" s="242">
        <v>333</v>
      </c>
      <c r="B479" s="244" t="s">
        <v>334</v>
      </c>
    </row>
    <row r="480" spans="1:2" ht="50.1" customHeight="1" x14ac:dyDescent="0.25">
      <c r="A480" s="281">
        <v>334</v>
      </c>
      <c r="B480" s="282" t="s">
        <v>511</v>
      </c>
    </row>
    <row r="481" spans="1:2" ht="50.1" customHeight="1" x14ac:dyDescent="0.25">
      <c r="A481" s="281"/>
      <c r="B481" s="282"/>
    </row>
    <row r="482" spans="1:2" ht="50.1" customHeight="1" x14ac:dyDescent="0.25">
      <c r="A482" s="242">
        <v>335</v>
      </c>
      <c r="B482" s="244" t="s">
        <v>335</v>
      </c>
    </row>
    <row r="483" spans="1:2" ht="50.1" customHeight="1" x14ac:dyDescent="0.25">
      <c r="A483" s="281">
        <v>336</v>
      </c>
      <c r="B483" s="282" t="s">
        <v>336</v>
      </c>
    </row>
    <row r="484" spans="1:2" ht="50.1" customHeight="1" x14ac:dyDescent="0.25">
      <c r="A484" s="281"/>
      <c r="B484" s="282"/>
    </row>
    <row r="485" spans="1:2" ht="50.1" customHeight="1" x14ac:dyDescent="0.25">
      <c r="A485" s="281">
        <v>337</v>
      </c>
      <c r="B485" s="282" t="s">
        <v>337</v>
      </c>
    </row>
    <row r="486" spans="1:2" ht="50.1" customHeight="1" x14ac:dyDescent="0.25">
      <c r="A486" s="281"/>
      <c r="B486" s="282"/>
    </row>
    <row r="487" spans="1:2" ht="50.1" customHeight="1" x14ac:dyDescent="0.25">
      <c r="A487" s="281"/>
      <c r="B487" s="282"/>
    </row>
    <row r="488" spans="1:2" ht="50.1" customHeight="1" x14ac:dyDescent="0.25">
      <c r="A488" s="281">
        <v>338</v>
      </c>
      <c r="B488" s="282" t="s">
        <v>338</v>
      </c>
    </row>
    <row r="489" spans="1:2" ht="50.1" customHeight="1" x14ac:dyDescent="0.25">
      <c r="A489" s="281"/>
      <c r="B489" s="282"/>
    </row>
    <row r="490" spans="1:2" ht="50.1" customHeight="1" x14ac:dyDescent="0.25">
      <c r="A490" s="281"/>
      <c r="B490" s="282"/>
    </row>
    <row r="491" spans="1:2" ht="50.1" customHeight="1" x14ac:dyDescent="0.25">
      <c r="A491" s="242">
        <v>339</v>
      </c>
      <c r="B491" s="244" t="s">
        <v>339</v>
      </c>
    </row>
    <row r="492" spans="1:2" ht="50.1" customHeight="1" x14ac:dyDescent="0.25">
      <c r="A492" s="242">
        <v>340</v>
      </c>
      <c r="B492" s="244" t="s">
        <v>340</v>
      </c>
    </row>
    <row r="493" spans="1:2" ht="50.1" customHeight="1" x14ac:dyDescent="0.25">
      <c r="A493" s="242">
        <v>341</v>
      </c>
      <c r="B493" s="244" t="s">
        <v>341</v>
      </c>
    </row>
    <row r="494" spans="1:2" ht="50.1" customHeight="1" x14ac:dyDescent="0.25">
      <c r="A494" s="242">
        <v>342</v>
      </c>
      <c r="B494" s="244" t="s">
        <v>342</v>
      </c>
    </row>
    <row r="495" spans="1:2" ht="50.1" customHeight="1" x14ac:dyDescent="0.25">
      <c r="A495" s="281">
        <v>343</v>
      </c>
      <c r="B495" s="282" t="s">
        <v>343</v>
      </c>
    </row>
    <row r="496" spans="1:2" ht="50.1" customHeight="1" x14ac:dyDescent="0.25">
      <c r="A496" s="281"/>
      <c r="B496" s="282"/>
    </row>
    <row r="497" spans="1:2" ht="50.1" customHeight="1" x14ac:dyDescent="0.25">
      <c r="A497" s="242">
        <v>344</v>
      </c>
      <c r="B497" s="244" t="s">
        <v>344</v>
      </c>
    </row>
    <row r="498" spans="1:2" ht="50.1" customHeight="1" x14ac:dyDescent="0.25">
      <c r="A498" s="281">
        <v>345</v>
      </c>
      <c r="B498" s="282" t="s">
        <v>345</v>
      </c>
    </row>
    <row r="499" spans="1:2" ht="50.1" customHeight="1" x14ac:dyDescent="0.25">
      <c r="A499" s="281"/>
      <c r="B499" s="282"/>
    </row>
    <row r="500" spans="1:2" ht="50.1" customHeight="1" x14ac:dyDescent="0.25">
      <c r="A500" s="281">
        <v>346</v>
      </c>
      <c r="B500" s="282" t="s">
        <v>346</v>
      </c>
    </row>
    <row r="501" spans="1:2" ht="50.1" customHeight="1" x14ac:dyDescent="0.25">
      <c r="A501" s="281"/>
      <c r="B501" s="282"/>
    </row>
    <row r="502" spans="1:2" ht="50.1" customHeight="1" x14ac:dyDescent="0.25">
      <c r="A502" s="281"/>
      <c r="B502" s="282"/>
    </row>
    <row r="503" spans="1:2" ht="50.1" customHeight="1" x14ac:dyDescent="0.25">
      <c r="A503" s="281">
        <v>347</v>
      </c>
      <c r="B503" s="282" t="s">
        <v>347</v>
      </c>
    </row>
    <row r="504" spans="1:2" ht="50.1" customHeight="1" x14ac:dyDescent="0.25">
      <c r="A504" s="281"/>
      <c r="B504" s="282"/>
    </row>
    <row r="505" spans="1:2" ht="50.1" customHeight="1" x14ac:dyDescent="0.25">
      <c r="A505" s="281"/>
      <c r="B505" s="282"/>
    </row>
    <row r="506" spans="1:2" ht="50.1" customHeight="1" x14ac:dyDescent="0.25">
      <c r="A506" s="281">
        <v>348</v>
      </c>
      <c r="B506" s="282" t="s">
        <v>348</v>
      </c>
    </row>
    <row r="507" spans="1:2" ht="50.1" customHeight="1" x14ac:dyDescent="0.25">
      <c r="A507" s="281"/>
      <c r="B507" s="282"/>
    </row>
    <row r="508" spans="1:2" ht="50.1" customHeight="1" x14ac:dyDescent="0.25">
      <c r="A508" s="281"/>
      <c r="B508" s="282"/>
    </row>
    <row r="509" spans="1:2" ht="50.1" customHeight="1" x14ac:dyDescent="0.25">
      <c r="A509" s="281">
        <v>349</v>
      </c>
      <c r="B509" s="282" t="s">
        <v>349</v>
      </c>
    </row>
    <row r="510" spans="1:2" ht="50.1" customHeight="1" x14ac:dyDescent="0.25">
      <c r="A510" s="281"/>
      <c r="B510" s="282"/>
    </row>
    <row r="511" spans="1:2" ht="50.1" customHeight="1" x14ac:dyDescent="0.25">
      <c r="A511" s="281"/>
      <c r="B511" s="282"/>
    </row>
    <row r="512" spans="1:2" ht="50.1" customHeight="1" x14ac:dyDescent="0.25">
      <c r="A512" s="242">
        <v>350</v>
      </c>
      <c r="B512" s="244" t="s">
        <v>441</v>
      </c>
    </row>
    <row r="513" spans="1:2" ht="50.1" customHeight="1" x14ac:dyDescent="0.25">
      <c r="A513" s="242">
        <v>351</v>
      </c>
      <c r="B513" s="244" t="s">
        <v>350</v>
      </c>
    </row>
    <row r="514" spans="1:2" ht="50.1" customHeight="1" x14ac:dyDescent="0.25">
      <c r="A514" s="242">
        <v>352</v>
      </c>
      <c r="B514" s="244" t="s">
        <v>442</v>
      </c>
    </row>
    <row r="515" spans="1:2" ht="50.1" customHeight="1" x14ac:dyDescent="0.25">
      <c r="A515" s="242">
        <v>353</v>
      </c>
      <c r="B515" s="244" t="s">
        <v>351</v>
      </c>
    </row>
    <row r="516" spans="1:2" ht="50.1" customHeight="1" x14ac:dyDescent="0.25">
      <c r="A516" s="281">
        <v>354</v>
      </c>
      <c r="B516" s="282" t="s">
        <v>352</v>
      </c>
    </row>
    <row r="517" spans="1:2" ht="50.1" customHeight="1" x14ac:dyDescent="0.25">
      <c r="A517" s="281"/>
      <c r="B517" s="282"/>
    </row>
    <row r="518" spans="1:2" ht="50.1" customHeight="1" x14ac:dyDescent="0.25">
      <c r="A518" s="242">
        <v>355</v>
      </c>
      <c r="B518" s="244" t="s">
        <v>353</v>
      </c>
    </row>
    <row r="519" spans="1:2" ht="50.1" customHeight="1" x14ac:dyDescent="0.25">
      <c r="A519" s="281">
        <v>356</v>
      </c>
      <c r="B519" s="282" t="s">
        <v>354</v>
      </c>
    </row>
    <row r="520" spans="1:2" ht="50.1" customHeight="1" x14ac:dyDescent="0.25">
      <c r="A520" s="281"/>
      <c r="B520" s="282"/>
    </row>
    <row r="521" spans="1:2" ht="50.1" customHeight="1" x14ac:dyDescent="0.25">
      <c r="A521" s="242">
        <v>357</v>
      </c>
      <c r="B521" s="244" t="s">
        <v>355</v>
      </c>
    </row>
    <row r="522" spans="1:2" ht="50.1" customHeight="1" x14ac:dyDescent="0.25">
      <c r="A522" s="281">
        <v>358</v>
      </c>
      <c r="B522" s="282" t="s">
        <v>356</v>
      </c>
    </row>
    <row r="523" spans="1:2" ht="50.1" customHeight="1" x14ac:dyDescent="0.25">
      <c r="A523" s="281"/>
      <c r="B523" s="282"/>
    </row>
    <row r="524" spans="1:2" ht="50.1" customHeight="1" x14ac:dyDescent="0.25">
      <c r="A524" s="242">
        <v>359</v>
      </c>
      <c r="B524" s="244" t="s">
        <v>357</v>
      </c>
    </row>
    <row r="525" spans="1:2" ht="50.1" customHeight="1" x14ac:dyDescent="0.25">
      <c r="A525" s="281">
        <v>360</v>
      </c>
      <c r="B525" s="282" t="s">
        <v>358</v>
      </c>
    </row>
    <row r="526" spans="1:2" ht="50.1" customHeight="1" x14ac:dyDescent="0.25">
      <c r="A526" s="281"/>
      <c r="B526" s="282"/>
    </row>
    <row r="527" spans="1:2" ht="50.1" customHeight="1" x14ac:dyDescent="0.25">
      <c r="A527" s="281">
        <v>361</v>
      </c>
      <c r="B527" s="282" t="s">
        <v>359</v>
      </c>
    </row>
    <row r="528" spans="1:2" ht="50.1" customHeight="1" x14ac:dyDescent="0.25">
      <c r="A528" s="281"/>
      <c r="B528" s="282"/>
    </row>
    <row r="529" spans="1:2" ht="50.1" customHeight="1" x14ac:dyDescent="0.25">
      <c r="A529" s="281"/>
      <c r="B529" s="282"/>
    </row>
    <row r="530" spans="1:2" ht="50.1" customHeight="1" x14ac:dyDescent="0.25">
      <c r="A530" s="242">
        <v>362</v>
      </c>
      <c r="B530" s="244" t="s">
        <v>360</v>
      </c>
    </row>
    <row r="531" spans="1:2" ht="50.1" customHeight="1" x14ac:dyDescent="0.25">
      <c r="A531" s="281">
        <v>363</v>
      </c>
      <c r="B531" s="282" t="s">
        <v>361</v>
      </c>
    </row>
    <row r="532" spans="1:2" ht="50.1" customHeight="1" x14ac:dyDescent="0.25">
      <c r="A532" s="281"/>
      <c r="B532" s="282"/>
    </row>
    <row r="533" spans="1:2" ht="50.1" customHeight="1" x14ac:dyDescent="0.25">
      <c r="A533" s="281">
        <v>364</v>
      </c>
      <c r="B533" s="282" t="s">
        <v>362</v>
      </c>
    </row>
    <row r="534" spans="1:2" ht="50.1" customHeight="1" x14ac:dyDescent="0.25">
      <c r="A534" s="281"/>
      <c r="B534" s="282"/>
    </row>
    <row r="535" spans="1:2" ht="50.1" customHeight="1" x14ac:dyDescent="0.25">
      <c r="A535" s="281"/>
      <c r="B535" s="282"/>
    </row>
    <row r="536" spans="1:2" ht="50.1" customHeight="1" x14ac:dyDescent="0.25">
      <c r="A536" s="242">
        <v>365</v>
      </c>
      <c r="B536" s="244" t="s">
        <v>363</v>
      </c>
    </row>
    <row r="537" spans="1:2" ht="50.1" customHeight="1" x14ac:dyDescent="0.25">
      <c r="A537" s="242">
        <v>366</v>
      </c>
      <c r="B537" s="244" t="s">
        <v>364</v>
      </c>
    </row>
    <row r="538" spans="1:2" ht="50.1" customHeight="1" x14ac:dyDescent="0.25">
      <c r="A538" s="242">
        <v>367</v>
      </c>
      <c r="B538" s="244" t="s">
        <v>365</v>
      </c>
    </row>
    <row r="539" spans="1:2" ht="50.1" customHeight="1" x14ac:dyDescent="0.25">
      <c r="A539" s="242">
        <v>368</v>
      </c>
      <c r="B539" s="244" t="s">
        <v>366</v>
      </c>
    </row>
    <row r="540" spans="1:2" ht="50.1" customHeight="1" x14ac:dyDescent="0.25">
      <c r="A540" s="281">
        <v>369</v>
      </c>
      <c r="B540" s="282" t="s">
        <v>367</v>
      </c>
    </row>
    <row r="541" spans="1:2" ht="50.1" customHeight="1" x14ac:dyDescent="0.25">
      <c r="A541" s="281"/>
      <c r="B541" s="282"/>
    </row>
    <row r="542" spans="1:2" ht="50.1" customHeight="1" x14ac:dyDescent="0.25">
      <c r="A542" s="242">
        <v>370</v>
      </c>
      <c r="B542" s="244" t="s">
        <v>368</v>
      </c>
    </row>
    <row r="543" spans="1:2" ht="50.1" customHeight="1" x14ac:dyDescent="0.25">
      <c r="A543" s="281">
        <v>371</v>
      </c>
      <c r="B543" s="282" t="s">
        <v>369</v>
      </c>
    </row>
    <row r="544" spans="1:2" ht="50.1" customHeight="1" x14ac:dyDescent="0.25">
      <c r="A544" s="281"/>
      <c r="B544" s="282"/>
    </row>
    <row r="545" spans="1:2" ht="50.1" customHeight="1" x14ac:dyDescent="0.25">
      <c r="A545" s="281">
        <v>372</v>
      </c>
      <c r="B545" s="282" t="s">
        <v>370</v>
      </c>
    </row>
    <row r="546" spans="1:2" ht="50.1" customHeight="1" x14ac:dyDescent="0.25">
      <c r="A546" s="281"/>
      <c r="B546" s="282"/>
    </row>
    <row r="547" spans="1:2" ht="50.1" customHeight="1" x14ac:dyDescent="0.25">
      <c r="A547" s="281"/>
      <c r="B547" s="282"/>
    </row>
    <row r="548" spans="1:2" ht="50.1" customHeight="1" x14ac:dyDescent="0.25">
      <c r="A548" s="281">
        <v>373</v>
      </c>
      <c r="B548" s="282" t="s">
        <v>371</v>
      </c>
    </row>
    <row r="549" spans="1:2" ht="50.1" customHeight="1" x14ac:dyDescent="0.25">
      <c r="A549" s="281"/>
      <c r="B549" s="282"/>
    </row>
    <row r="550" spans="1:2" ht="50.1" customHeight="1" x14ac:dyDescent="0.25">
      <c r="A550" s="281"/>
      <c r="B550" s="282"/>
    </row>
    <row r="551" spans="1:2" ht="50.1" customHeight="1" x14ac:dyDescent="0.25">
      <c r="A551" s="281">
        <v>374</v>
      </c>
      <c r="B551" s="282" t="s">
        <v>372</v>
      </c>
    </row>
    <row r="552" spans="1:2" ht="50.1" customHeight="1" x14ac:dyDescent="0.25">
      <c r="A552" s="281"/>
      <c r="B552" s="282"/>
    </row>
    <row r="553" spans="1:2" ht="50.1" customHeight="1" x14ac:dyDescent="0.25">
      <c r="A553" s="281"/>
      <c r="B553" s="282"/>
    </row>
    <row r="554" spans="1:2" ht="50.1" customHeight="1" x14ac:dyDescent="0.25">
      <c r="A554" s="281">
        <v>375</v>
      </c>
      <c r="B554" s="282" t="s">
        <v>373</v>
      </c>
    </row>
    <row r="555" spans="1:2" ht="50.1" customHeight="1" x14ac:dyDescent="0.25">
      <c r="A555" s="281"/>
      <c r="B555" s="282"/>
    </row>
    <row r="556" spans="1:2" ht="50.1" customHeight="1" x14ac:dyDescent="0.25">
      <c r="A556" s="281"/>
      <c r="B556" s="282"/>
    </row>
    <row r="557" spans="1:2" ht="50.1" customHeight="1" x14ac:dyDescent="0.25">
      <c r="A557" s="242">
        <v>376</v>
      </c>
      <c r="B557" s="244" t="s">
        <v>374</v>
      </c>
    </row>
    <row r="558" spans="1:2" ht="50.1" customHeight="1" x14ac:dyDescent="0.25">
      <c r="A558" s="281">
        <v>377</v>
      </c>
      <c r="B558" s="282" t="s">
        <v>375</v>
      </c>
    </row>
    <row r="559" spans="1:2" ht="50.1" customHeight="1" x14ac:dyDescent="0.25">
      <c r="A559" s="281"/>
      <c r="B559" s="282"/>
    </row>
    <row r="560" spans="1:2" ht="50.1" customHeight="1" x14ac:dyDescent="0.25">
      <c r="A560" s="242">
        <v>378</v>
      </c>
      <c r="B560" s="244" t="s">
        <v>376</v>
      </c>
    </row>
    <row r="561" spans="1:2" ht="50.1" customHeight="1" x14ac:dyDescent="0.25">
      <c r="A561" s="281">
        <v>379</v>
      </c>
      <c r="B561" s="282" t="s">
        <v>377</v>
      </c>
    </row>
    <row r="562" spans="1:2" ht="50.1" customHeight="1" x14ac:dyDescent="0.25">
      <c r="A562" s="281"/>
      <c r="B562" s="282"/>
    </row>
    <row r="563" spans="1:2" ht="50.1" customHeight="1" x14ac:dyDescent="0.25">
      <c r="A563" s="242">
        <v>380</v>
      </c>
      <c r="B563" s="244" t="s">
        <v>378</v>
      </c>
    </row>
    <row r="564" spans="1:2" ht="50.1" customHeight="1" x14ac:dyDescent="0.25">
      <c r="A564" s="281">
        <v>381</v>
      </c>
      <c r="B564" s="282" t="s">
        <v>379</v>
      </c>
    </row>
    <row r="565" spans="1:2" ht="50.1" customHeight="1" x14ac:dyDescent="0.25">
      <c r="A565" s="281"/>
      <c r="B565" s="282"/>
    </row>
    <row r="566" spans="1:2" ht="50.1" customHeight="1" x14ac:dyDescent="0.25">
      <c r="A566" s="242">
        <v>382</v>
      </c>
      <c r="B566" s="244" t="s">
        <v>380</v>
      </c>
    </row>
    <row r="567" spans="1:2" ht="50.1" customHeight="1" x14ac:dyDescent="0.25">
      <c r="A567" s="281">
        <v>383</v>
      </c>
      <c r="B567" s="282" t="s">
        <v>381</v>
      </c>
    </row>
    <row r="568" spans="1:2" ht="50.1" customHeight="1" x14ac:dyDescent="0.25">
      <c r="A568" s="281"/>
      <c r="B568" s="282"/>
    </row>
    <row r="569" spans="1:2" ht="50.1" customHeight="1" x14ac:dyDescent="0.25">
      <c r="A569" s="242">
        <v>384</v>
      </c>
      <c r="B569" s="244" t="s">
        <v>382</v>
      </c>
    </row>
    <row r="570" spans="1:2" ht="50.1" customHeight="1" x14ac:dyDescent="0.25">
      <c r="A570" s="281">
        <v>385</v>
      </c>
      <c r="B570" s="282" t="s">
        <v>383</v>
      </c>
    </row>
    <row r="571" spans="1:2" ht="50.1" customHeight="1" x14ac:dyDescent="0.25">
      <c r="A571" s="281"/>
      <c r="B571" s="282"/>
    </row>
    <row r="572" spans="1:2" ht="50.1" customHeight="1" x14ac:dyDescent="0.25">
      <c r="A572" s="242">
        <v>386</v>
      </c>
      <c r="B572" s="244" t="s">
        <v>384</v>
      </c>
    </row>
    <row r="573" spans="1:2" ht="50.1" customHeight="1" x14ac:dyDescent="0.25">
      <c r="A573" s="281">
        <v>387</v>
      </c>
      <c r="B573" s="282" t="s">
        <v>385</v>
      </c>
    </row>
    <row r="574" spans="1:2" ht="50.1" customHeight="1" x14ac:dyDescent="0.25">
      <c r="A574" s="281"/>
      <c r="B574" s="282"/>
    </row>
    <row r="575" spans="1:2" ht="50.1" customHeight="1" x14ac:dyDescent="0.25">
      <c r="A575" s="281">
        <v>388</v>
      </c>
      <c r="B575" s="282" t="s">
        <v>386</v>
      </c>
    </row>
    <row r="576" spans="1:2" ht="50.1" customHeight="1" x14ac:dyDescent="0.25">
      <c r="A576" s="281"/>
      <c r="B576" s="282"/>
    </row>
    <row r="577" spans="1:2" ht="50.1" customHeight="1" x14ac:dyDescent="0.25">
      <c r="A577" s="281"/>
      <c r="B577" s="282"/>
    </row>
    <row r="578" spans="1:2" ht="50.1" customHeight="1" x14ac:dyDescent="0.25">
      <c r="A578" s="281">
        <v>389</v>
      </c>
      <c r="B578" s="282" t="s">
        <v>387</v>
      </c>
    </row>
    <row r="579" spans="1:2" ht="50.1" customHeight="1" x14ac:dyDescent="0.25">
      <c r="A579" s="281"/>
      <c r="B579" s="282"/>
    </row>
    <row r="580" spans="1:2" ht="50.1" customHeight="1" x14ac:dyDescent="0.25">
      <c r="A580" s="281"/>
      <c r="B580" s="282"/>
    </row>
    <row r="581" spans="1:2" ht="50.1" customHeight="1" x14ac:dyDescent="0.25">
      <c r="A581" s="242">
        <v>390</v>
      </c>
      <c r="B581" s="244" t="s">
        <v>388</v>
      </c>
    </row>
    <row r="582" spans="1:2" ht="50.1" customHeight="1" x14ac:dyDescent="0.25">
      <c r="A582" s="281">
        <v>391</v>
      </c>
      <c r="B582" s="282" t="s">
        <v>389</v>
      </c>
    </row>
    <row r="583" spans="1:2" ht="50.1" customHeight="1" x14ac:dyDescent="0.25">
      <c r="A583" s="281"/>
      <c r="B583" s="282"/>
    </row>
    <row r="584" spans="1:2" ht="50.1" customHeight="1" x14ac:dyDescent="0.25">
      <c r="A584" s="242">
        <v>392</v>
      </c>
      <c r="B584" s="244" t="s">
        <v>390</v>
      </c>
    </row>
    <row r="585" spans="1:2" ht="50.1" customHeight="1" x14ac:dyDescent="0.25">
      <c r="A585" s="242">
        <v>393</v>
      </c>
      <c r="B585" s="244" t="s">
        <v>391</v>
      </c>
    </row>
    <row r="586" spans="1:2" ht="50.1" customHeight="1" x14ac:dyDescent="0.25">
      <c r="A586" s="242">
        <v>394</v>
      </c>
      <c r="B586" s="244" t="s">
        <v>512</v>
      </c>
    </row>
    <row r="587" spans="1:2" ht="50.1" customHeight="1" x14ac:dyDescent="0.25">
      <c r="A587" s="281">
        <v>395</v>
      </c>
      <c r="B587" s="282" t="s">
        <v>392</v>
      </c>
    </row>
    <row r="588" spans="1:2" ht="50.1" customHeight="1" x14ac:dyDescent="0.25">
      <c r="A588" s="281"/>
      <c r="B588" s="282"/>
    </row>
    <row r="589" spans="1:2" ht="50.1" customHeight="1" x14ac:dyDescent="0.25">
      <c r="A589" s="281"/>
      <c r="B589" s="282"/>
    </row>
    <row r="590" spans="1:2" ht="50.1" customHeight="1" x14ac:dyDescent="0.25">
      <c r="A590" s="242">
        <v>396</v>
      </c>
      <c r="B590" s="244" t="s">
        <v>468</v>
      </c>
    </row>
    <row r="591" spans="1:2" ht="50.1" customHeight="1" x14ac:dyDescent="0.25">
      <c r="A591" s="281">
        <v>397</v>
      </c>
      <c r="B591" s="282" t="s">
        <v>393</v>
      </c>
    </row>
    <row r="592" spans="1:2" ht="50.1" customHeight="1" x14ac:dyDescent="0.25">
      <c r="A592" s="281"/>
      <c r="B592" s="282"/>
    </row>
    <row r="593" spans="1:2" ht="50.1" customHeight="1" x14ac:dyDescent="0.25">
      <c r="A593" s="281">
        <v>398</v>
      </c>
      <c r="B593" s="282" t="s">
        <v>394</v>
      </c>
    </row>
    <row r="594" spans="1:2" ht="50.1" customHeight="1" x14ac:dyDescent="0.25">
      <c r="A594" s="281"/>
      <c r="B594" s="282"/>
    </row>
    <row r="595" spans="1:2" ht="50.1" customHeight="1" x14ac:dyDescent="0.25">
      <c r="A595" s="281"/>
      <c r="B595" s="282"/>
    </row>
    <row r="596" spans="1:2" ht="50.1" customHeight="1" x14ac:dyDescent="0.25">
      <c r="A596" s="281">
        <v>399</v>
      </c>
      <c r="B596" s="282" t="s">
        <v>396</v>
      </c>
    </row>
    <row r="597" spans="1:2" ht="50.1" customHeight="1" x14ac:dyDescent="0.25">
      <c r="A597" s="281"/>
      <c r="B597" s="282"/>
    </row>
    <row r="598" spans="1:2" ht="50.1" customHeight="1" x14ac:dyDescent="0.25">
      <c r="A598" s="281">
        <v>400</v>
      </c>
      <c r="B598" s="282" t="s">
        <v>397</v>
      </c>
    </row>
    <row r="599" spans="1:2" ht="50.1" customHeight="1" x14ac:dyDescent="0.25">
      <c r="A599" s="281"/>
      <c r="B599" s="282"/>
    </row>
    <row r="600" spans="1:2" ht="50.1" customHeight="1" x14ac:dyDescent="0.25">
      <c r="A600" s="281">
        <v>401</v>
      </c>
      <c r="B600" s="282" t="s">
        <v>513</v>
      </c>
    </row>
    <row r="601" spans="1:2" ht="50.1" customHeight="1" x14ac:dyDescent="0.25">
      <c r="A601" s="281"/>
      <c r="B601" s="282"/>
    </row>
    <row r="602" spans="1:2" ht="50.1" customHeight="1" x14ac:dyDescent="0.25">
      <c r="A602" s="242">
        <v>402</v>
      </c>
      <c r="B602" s="244" t="s">
        <v>398</v>
      </c>
    </row>
    <row r="603" spans="1:2" ht="50.1" customHeight="1" x14ac:dyDescent="0.25">
      <c r="A603" s="242">
        <v>403</v>
      </c>
      <c r="B603" s="244" t="s">
        <v>399</v>
      </c>
    </row>
    <row r="604" spans="1:2" ht="50.1" customHeight="1" x14ac:dyDescent="0.25">
      <c r="A604" s="242">
        <v>404</v>
      </c>
      <c r="B604" s="244" t="s">
        <v>400</v>
      </c>
    </row>
    <row r="605" spans="1:2" ht="50.1" customHeight="1" x14ac:dyDescent="0.25">
      <c r="A605" s="281">
        <v>405</v>
      </c>
      <c r="B605" s="282" t="s">
        <v>401</v>
      </c>
    </row>
    <row r="606" spans="1:2" ht="50.1" customHeight="1" x14ac:dyDescent="0.25">
      <c r="A606" s="281"/>
      <c r="B606" s="282"/>
    </row>
    <row r="607" spans="1:2" ht="50.1" customHeight="1" x14ac:dyDescent="0.25">
      <c r="A607" s="281">
        <v>406</v>
      </c>
      <c r="B607" s="282" t="s">
        <v>402</v>
      </c>
    </row>
    <row r="608" spans="1:2" ht="50.1" customHeight="1" x14ac:dyDescent="0.25">
      <c r="A608" s="281"/>
      <c r="B608" s="282"/>
    </row>
    <row r="609" spans="1:2" ht="50.1" customHeight="1" x14ac:dyDescent="0.25">
      <c r="A609" s="281">
        <v>407</v>
      </c>
      <c r="B609" s="282" t="s">
        <v>403</v>
      </c>
    </row>
    <row r="610" spans="1:2" ht="50.1" customHeight="1" x14ac:dyDescent="0.25">
      <c r="A610" s="281"/>
      <c r="B610" s="282"/>
    </row>
    <row r="611" spans="1:2" ht="50.1" customHeight="1" x14ac:dyDescent="0.25">
      <c r="A611" s="281">
        <v>408</v>
      </c>
      <c r="B611" s="282" t="s">
        <v>404</v>
      </c>
    </row>
    <row r="612" spans="1:2" ht="50.1" customHeight="1" x14ac:dyDescent="0.25">
      <c r="A612" s="281"/>
      <c r="B612" s="282"/>
    </row>
    <row r="613" spans="1:2" ht="50.1" customHeight="1" x14ac:dyDescent="0.25">
      <c r="A613" s="281"/>
      <c r="B613" s="282"/>
    </row>
    <row r="614" spans="1:2" ht="50.1" customHeight="1" x14ac:dyDescent="0.25">
      <c r="A614" s="281">
        <v>409</v>
      </c>
      <c r="B614" s="282" t="s">
        <v>405</v>
      </c>
    </row>
    <row r="615" spans="1:2" ht="50.1" customHeight="1" x14ac:dyDescent="0.25">
      <c r="A615" s="281"/>
      <c r="B615" s="282"/>
    </row>
    <row r="616" spans="1:2" ht="50.1" customHeight="1" x14ac:dyDescent="0.25">
      <c r="A616" s="281"/>
      <c r="B616" s="282"/>
    </row>
    <row r="617" spans="1:2" ht="50.1" customHeight="1" x14ac:dyDescent="0.25">
      <c r="A617" s="242">
        <v>410</v>
      </c>
      <c r="B617" s="244" t="s">
        <v>406</v>
      </c>
    </row>
    <row r="618" spans="1:2" ht="50.1" customHeight="1" x14ac:dyDescent="0.25">
      <c r="A618" s="242">
        <v>411</v>
      </c>
      <c r="B618" s="244" t="s">
        <v>407</v>
      </c>
    </row>
    <row r="619" spans="1:2" ht="50.1" customHeight="1" x14ac:dyDescent="0.25">
      <c r="A619" s="242">
        <v>412</v>
      </c>
      <c r="B619" s="244" t="s">
        <v>408</v>
      </c>
    </row>
    <row r="620" spans="1:2" ht="50.1" customHeight="1" x14ac:dyDescent="0.25">
      <c r="A620" s="242">
        <v>413</v>
      </c>
      <c r="B620" s="244" t="s">
        <v>409</v>
      </c>
    </row>
    <row r="621" spans="1:2" ht="50.1" customHeight="1" x14ac:dyDescent="0.25">
      <c r="A621" s="242">
        <v>414</v>
      </c>
      <c r="B621" s="244" t="s">
        <v>410</v>
      </c>
    </row>
    <row r="622" spans="1:2" ht="50.1" customHeight="1" x14ac:dyDescent="0.25">
      <c r="A622" s="242">
        <v>415</v>
      </c>
      <c r="B622" s="244" t="s">
        <v>411</v>
      </c>
    </row>
    <row r="623" spans="1:2" ht="50.1" customHeight="1" x14ac:dyDescent="0.25">
      <c r="A623" s="281">
        <v>416</v>
      </c>
      <c r="B623" s="282" t="s">
        <v>412</v>
      </c>
    </row>
    <row r="624" spans="1:2" ht="50.1" customHeight="1" x14ac:dyDescent="0.25">
      <c r="A624" s="281"/>
      <c r="B624" s="282"/>
    </row>
    <row r="625" spans="1:2" ht="50.1" customHeight="1" x14ac:dyDescent="0.25">
      <c r="A625" s="281"/>
      <c r="B625" s="282"/>
    </row>
    <row r="626" spans="1:2" ht="50.1" customHeight="1" x14ac:dyDescent="0.25">
      <c r="A626" s="281">
        <v>417</v>
      </c>
      <c r="B626" s="282" t="s">
        <v>413</v>
      </c>
    </row>
    <row r="627" spans="1:2" ht="50.1" customHeight="1" x14ac:dyDescent="0.25">
      <c r="A627" s="281"/>
      <c r="B627" s="282"/>
    </row>
    <row r="628" spans="1:2" ht="50.1" customHeight="1" x14ac:dyDescent="0.25">
      <c r="A628" s="281"/>
      <c r="B628" s="282"/>
    </row>
    <row r="629" spans="1:2" ht="50.1" customHeight="1" x14ac:dyDescent="0.25">
      <c r="A629" s="281">
        <v>418</v>
      </c>
      <c r="B629" s="282" t="s">
        <v>414</v>
      </c>
    </row>
    <row r="630" spans="1:2" ht="50.1" customHeight="1" x14ac:dyDescent="0.25">
      <c r="A630" s="281"/>
      <c r="B630" s="282"/>
    </row>
    <row r="631" spans="1:2" ht="50.1" customHeight="1" x14ac:dyDescent="0.25">
      <c r="A631" s="281"/>
      <c r="B631" s="282"/>
    </row>
    <row r="632" spans="1:2" ht="50.1" customHeight="1" x14ac:dyDescent="0.25">
      <c r="A632" s="281">
        <v>419</v>
      </c>
      <c r="B632" s="282" t="s">
        <v>415</v>
      </c>
    </row>
    <row r="633" spans="1:2" ht="50.1" customHeight="1" x14ac:dyDescent="0.25">
      <c r="A633" s="281"/>
      <c r="B633" s="282"/>
    </row>
    <row r="634" spans="1:2" ht="50.1" customHeight="1" x14ac:dyDescent="0.25">
      <c r="A634" s="281"/>
      <c r="B634" s="282"/>
    </row>
    <row r="635" spans="1:2" ht="50.1" customHeight="1" x14ac:dyDescent="0.25">
      <c r="A635" s="281">
        <v>420</v>
      </c>
      <c r="B635" s="282" t="s">
        <v>416</v>
      </c>
    </row>
    <row r="636" spans="1:2" ht="50.1" customHeight="1" x14ac:dyDescent="0.25">
      <c r="A636" s="281"/>
      <c r="B636" s="282"/>
    </row>
    <row r="637" spans="1:2" ht="50.1" customHeight="1" x14ac:dyDescent="0.25">
      <c r="A637" s="281"/>
      <c r="B637" s="282"/>
    </row>
    <row r="638" spans="1:2" ht="50.1" customHeight="1" x14ac:dyDescent="0.25">
      <c r="A638" s="281">
        <v>421</v>
      </c>
      <c r="B638" s="282" t="s">
        <v>417</v>
      </c>
    </row>
    <row r="639" spans="1:2" ht="50.1" customHeight="1" x14ac:dyDescent="0.25">
      <c r="A639" s="281"/>
      <c r="B639" s="282"/>
    </row>
    <row r="640" spans="1:2" ht="50.1" customHeight="1" x14ac:dyDescent="0.25">
      <c r="A640" s="281"/>
      <c r="B640" s="282"/>
    </row>
    <row r="641" spans="1:2" ht="50.1" customHeight="1" x14ac:dyDescent="0.25">
      <c r="A641" s="281">
        <v>422</v>
      </c>
      <c r="B641" s="282" t="s">
        <v>418</v>
      </c>
    </row>
    <row r="642" spans="1:2" ht="50.1" customHeight="1" x14ac:dyDescent="0.25">
      <c r="A642" s="281"/>
      <c r="B642" s="282"/>
    </row>
    <row r="643" spans="1:2" ht="50.1" customHeight="1" x14ac:dyDescent="0.25">
      <c r="A643" s="281"/>
      <c r="B643" s="282"/>
    </row>
    <row r="644" spans="1:2" ht="50.1" customHeight="1" x14ac:dyDescent="0.25">
      <c r="A644" s="281">
        <v>423</v>
      </c>
      <c r="B644" s="282" t="s">
        <v>419</v>
      </c>
    </row>
    <row r="645" spans="1:2" ht="50.1" customHeight="1" x14ac:dyDescent="0.25">
      <c r="A645" s="281"/>
      <c r="B645" s="282"/>
    </row>
    <row r="646" spans="1:2" ht="50.1" customHeight="1" x14ac:dyDescent="0.25">
      <c r="A646" s="281"/>
      <c r="B646" s="282"/>
    </row>
    <row r="647" spans="1:2" ht="50.1" customHeight="1" x14ac:dyDescent="0.25">
      <c r="A647" s="281">
        <v>424</v>
      </c>
      <c r="B647" s="282" t="s">
        <v>420</v>
      </c>
    </row>
    <row r="648" spans="1:2" ht="50.1" customHeight="1" x14ac:dyDescent="0.25">
      <c r="A648" s="281"/>
      <c r="B648" s="282"/>
    </row>
    <row r="649" spans="1:2" ht="50.1" customHeight="1" x14ac:dyDescent="0.25">
      <c r="A649" s="281"/>
      <c r="B649" s="282"/>
    </row>
    <row r="650" spans="1:2" ht="50.1" customHeight="1" x14ac:dyDescent="0.25">
      <c r="A650" s="281">
        <v>425</v>
      </c>
      <c r="B650" s="282" t="s">
        <v>421</v>
      </c>
    </row>
    <row r="651" spans="1:2" ht="50.1" customHeight="1" x14ac:dyDescent="0.25">
      <c r="A651" s="281"/>
      <c r="B651" s="282"/>
    </row>
    <row r="652" spans="1:2" ht="50.1" customHeight="1" x14ac:dyDescent="0.25">
      <c r="A652" s="281"/>
      <c r="B652" s="282"/>
    </row>
    <row r="653" spans="1:2" ht="50.1" customHeight="1" x14ac:dyDescent="0.25">
      <c r="A653" s="242">
        <v>426</v>
      </c>
      <c r="B653" s="244" t="s">
        <v>422</v>
      </c>
    </row>
    <row r="654" spans="1:2" ht="50.1" customHeight="1" x14ac:dyDescent="0.25">
      <c r="A654" s="242">
        <v>427</v>
      </c>
      <c r="B654" s="244" t="s">
        <v>423</v>
      </c>
    </row>
    <row r="655" spans="1:2" ht="50.1" customHeight="1" x14ac:dyDescent="0.25">
      <c r="A655" s="242">
        <v>428</v>
      </c>
      <c r="B655" s="244" t="s">
        <v>424</v>
      </c>
    </row>
    <row r="656" spans="1:2" ht="50.1" customHeight="1" x14ac:dyDescent="0.25">
      <c r="A656" s="242">
        <v>429</v>
      </c>
      <c r="B656" s="244" t="s">
        <v>425</v>
      </c>
    </row>
    <row r="657" spans="1:2" ht="50.1" customHeight="1" x14ac:dyDescent="0.25">
      <c r="A657" s="242">
        <v>430</v>
      </c>
      <c r="B657" s="244" t="s">
        <v>426</v>
      </c>
    </row>
    <row r="658" spans="1:2" ht="50.1" customHeight="1" x14ac:dyDescent="0.25">
      <c r="A658" s="242">
        <v>431</v>
      </c>
      <c r="B658" s="244" t="s">
        <v>427</v>
      </c>
    </row>
    <row r="659" spans="1:2" ht="50.1" customHeight="1" x14ac:dyDescent="0.25">
      <c r="A659" s="242">
        <v>432</v>
      </c>
      <c r="B659" s="244" t="s">
        <v>428</v>
      </c>
    </row>
    <row r="660" spans="1:2" ht="50.1" customHeight="1" x14ac:dyDescent="0.25">
      <c r="A660" s="242">
        <v>433</v>
      </c>
      <c r="B660" s="244" t="s">
        <v>429</v>
      </c>
    </row>
    <row r="661" spans="1:2" ht="50.1" customHeight="1" x14ac:dyDescent="0.25">
      <c r="A661" s="242">
        <v>434</v>
      </c>
      <c r="B661" s="244" t="s">
        <v>430</v>
      </c>
    </row>
    <row r="662" spans="1:2" ht="50.1" customHeight="1" x14ac:dyDescent="0.25">
      <c r="A662" s="242">
        <v>435</v>
      </c>
      <c r="B662" s="244" t="s">
        <v>431</v>
      </c>
    </row>
    <row r="663" spans="1:2" ht="50.1" customHeight="1" x14ac:dyDescent="0.25">
      <c r="A663" s="242">
        <v>436</v>
      </c>
      <c r="B663" s="244" t="s">
        <v>432</v>
      </c>
    </row>
    <row r="664" spans="1:2" ht="50.1" customHeight="1" x14ac:dyDescent="0.25">
      <c r="A664" s="242">
        <v>437</v>
      </c>
      <c r="B664" s="244" t="s">
        <v>433</v>
      </c>
    </row>
    <row r="665" spans="1:2" ht="50.1" customHeight="1" x14ac:dyDescent="0.25">
      <c r="A665" s="242">
        <v>438</v>
      </c>
      <c r="B665" s="244" t="s">
        <v>434</v>
      </c>
    </row>
    <row r="666" spans="1:2" ht="50.1" customHeight="1" x14ac:dyDescent="0.25">
      <c r="A666" s="281">
        <v>439</v>
      </c>
      <c r="B666" s="282" t="s">
        <v>435</v>
      </c>
    </row>
    <row r="667" spans="1:2" ht="50.1" customHeight="1" x14ac:dyDescent="0.25">
      <c r="A667" s="281"/>
      <c r="B667" s="282"/>
    </row>
    <row r="668" spans="1:2" ht="50.1" customHeight="1" x14ac:dyDescent="0.25">
      <c r="A668" s="242">
        <v>440</v>
      </c>
      <c r="B668" s="244" t="s">
        <v>436</v>
      </c>
    </row>
    <row r="669" spans="1:2" ht="50.1" customHeight="1" x14ac:dyDescent="0.25">
      <c r="A669" s="281">
        <v>441</v>
      </c>
      <c r="B669" s="282" t="s">
        <v>437</v>
      </c>
    </row>
    <row r="670" spans="1:2" ht="50.1" customHeight="1" x14ac:dyDescent="0.25">
      <c r="A670" s="281"/>
      <c r="B670" s="282"/>
    </row>
    <row r="671" spans="1:2" ht="50.1" customHeight="1" x14ac:dyDescent="0.25">
      <c r="A671" s="242">
        <v>442</v>
      </c>
      <c r="B671" s="244" t="s">
        <v>438</v>
      </c>
    </row>
    <row r="672" spans="1:2" ht="50.1" customHeight="1" x14ac:dyDescent="0.25">
      <c r="A672" s="242">
        <v>443</v>
      </c>
      <c r="B672" s="244" t="s">
        <v>439</v>
      </c>
    </row>
    <row r="673" spans="1:2" ht="50.1" customHeight="1" x14ac:dyDescent="0.25">
      <c r="A673" s="242">
        <v>444</v>
      </c>
      <c r="B673" s="244" t="s">
        <v>440</v>
      </c>
    </row>
    <row r="674" spans="1:2" ht="50.1" customHeight="1" x14ac:dyDescent="0.25">
      <c r="A674" s="242">
        <v>445</v>
      </c>
      <c r="B674" s="244" t="s">
        <v>443</v>
      </c>
    </row>
    <row r="675" spans="1:2" ht="50.1" customHeight="1" x14ac:dyDescent="0.25">
      <c r="A675" s="281">
        <v>446</v>
      </c>
      <c r="B675" s="282" t="s">
        <v>444</v>
      </c>
    </row>
    <row r="676" spans="1:2" ht="50.1" customHeight="1" x14ac:dyDescent="0.25">
      <c r="A676" s="281"/>
      <c r="B676" s="282"/>
    </row>
    <row r="677" spans="1:2" ht="50.1" customHeight="1" x14ac:dyDescent="0.25">
      <c r="A677" s="242">
        <v>447</v>
      </c>
      <c r="B677" s="244" t="s">
        <v>445</v>
      </c>
    </row>
    <row r="678" spans="1:2" ht="50.1" customHeight="1" x14ac:dyDescent="0.25">
      <c r="A678" s="281">
        <v>448</v>
      </c>
      <c r="B678" s="282" t="s">
        <v>446</v>
      </c>
    </row>
    <row r="679" spans="1:2" ht="50.1" customHeight="1" x14ac:dyDescent="0.25">
      <c r="A679" s="281"/>
      <c r="B679" s="282"/>
    </row>
    <row r="680" spans="1:2" ht="50.1" customHeight="1" x14ac:dyDescent="0.25">
      <c r="A680" s="242">
        <v>449</v>
      </c>
      <c r="B680" s="244" t="s">
        <v>447</v>
      </c>
    </row>
    <row r="681" spans="1:2" ht="50.1" customHeight="1" x14ac:dyDescent="0.25">
      <c r="A681" s="242">
        <v>450</v>
      </c>
      <c r="B681" s="244" t="s">
        <v>448</v>
      </c>
    </row>
    <row r="682" spans="1:2" ht="50.1" customHeight="1" x14ac:dyDescent="0.25">
      <c r="A682" s="242">
        <v>451</v>
      </c>
      <c r="B682" s="244" t="s">
        <v>449</v>
      </c>
    </row>
    <row r="683" spans="1:2" ht="50.1" customHeight="1" x14ac:dyDescent="0.25">
      <c r="A683" s="242">
        <v>452</v>
      </c>
      <c r="B683" s="244" t="s">
        <v>450</v>
      </c>
    </row>
    <row r="684" spans="1:2" ht="50.1" customHeight="1" x14ac:dyDescent="0.25">
      <c r="A684" s="281">
        <v>453</v>
      </c>
      <c r="B684" s="282" t="s">
        <v>451</v>
      </c>
    </row>
    <row r="685" spans="1:2" ht="50.1" customHeight="1" x14ac:dyDescent="0.25">
      <c r="A685" s="281"/>
      <c r="B685" s="282"/>
    </row>
    <row r="686" spans="1:2" ht="50.1" customHeight="1" x14ac:dyDescent="0.25">
      <c r="A686" s="281">
        <v>454</v>
      </c>
      <c r="B686" s="282" t="s">
        <v>452</v>
      </c>
    </row>
    <row r="687" spans="1:2" ht="50.1" customHeight="1" x14ac:dyDescent="0.25">
      <c r="A687" s="281"/>
      <c r="B687" s="282"/>
    </row>
    <row r="688" spans="1:2" ht="50.1" customHeight="1" x14ac:dyDescent="0.25">
      <c r="A688" s="281"/>
      <c r="B688" s="282"/>
    </row>
    <row r="689" spans="1:2" ht="50.1" customHeight="1" x14ac:dyDescent="0.25">
      <c r="A689" s="242">
        <v>455</v>
      </c>
      <c r="B689" s="244" t="s">
        <v>453</v>
      </c>
    </row>
    <row r="690" spans="1:2" ht="50.1" customHeight="1" x14ac:dyDescent="0.25">
      <c r="A690" s="281">
        <v>456</v>
      </c>
      <c r="B690" s="282" t="s">
        <v>454</v>
      </c>
    </row>
    <row r="691" spans="1:2" ht="50.1" customHeight="1" x14ac:dyDescent="0.25">
      <c r="A691" s="281"/>
      <c r="B691" s="282"/>
    </row>
    <row r="692" spans="1:2" ht="50.1" customHeight="1" x14ac:dyDescent="0.25">
      <c r="A692" s="242">
        <v>457</v>
      </c>
      <c r="B692" s="244" t="s">
        <v>455</v>
      </c>
    </row>
    <row r="693" spans="1:2" ht="50.1" customHeight="1" x14ac:dyDescent="0.25">
      <c r="A693" s="281">
        <v>458</v>
      </c>
      <c r="B693" s="282" t="s">
        <v>456</v>
      </c>
    </row>
    <row r="694" spans="1:2" ht="50.1" customHeight="1" x14ac:dyDescent="0.25">
      <c r="A694" s="281"/>
      <c r="B694" s="282"/>
    </row>
    <row r="695" spans="1:2" ht="50.1" customHeight="1" x14ac:dyDescent="0.25">
      <c r="A695" s="242">
        <v>459</v>
      </c>
      <c r="B695" s="244" t="s">
        <v>457</v>
      </c>
    </row>
    <row r="696" spans="1:2" ht="50.1" customHeight="1" x14ac:dyDescent="0.25">
      <c r="A696" s="281">
        <v>460</v>
      </c>
      <c r="B696" s="282" t="s">
        <v>458</v>
      </c>
    </row>
    <row r="697" spans="1:2" ht="50.1" customHeight="1" x14ac:dyDescent="0.25">
      <c r="A697" s="281"/>
      <c r="B697" s="282"/>
    </row>
    <row r="698" spans="1:2" ht="50.1" customHeight="1" x14ac:dyDescent="0.25">
      <c r="A698" s="242">
        <v>461</v>
      </c>
      <c r="B698" s="244" t="s">
        <v>460</v>
      </c>
    </row>
    <row r="699" spans="1:2" ht="50.1" customHeight="1" x14ac:dyDescent="0.25">
      <c r="A699" s="281">
        <v>462</v>
      </c>
      <c r="B699" s="282" t="s">
        <v>461</v>
      </c>
    </row>
    <row r="700" spans="1:2" ht="50.1" customHeight="1" x14ac:dyDescent="0.25">
      <c r="A700" s="281"/>
      <c r="B700" s="282"/>
    </row>
    <row r="701" spans="1:2" ht="50.1" customHeight="1" x14ac:dyDescent="0.25">
      <c r="A701" s="242">
        <v>463</v>
      </c>
      <c r="B701" s="244" t="s">
        <v>462</v>
      </c>
    </row>
    <row r="702" spans="1:2" ht="50.1" customHeight="1" x14ac:dyDescent="0.25">
      <c r="A702" s="281">
        <v>464</v>
      </c>
      <c r="B702" s="282" t="s">
        <v>463</v>
      </c>
    </row>
    <row r="703" spans="1:2" ht="50.1" customHeight="1" x14ac:dyDescent="0.25">
      <c r="A703" s="281"/>
      <c r="B703" s="282"/>
    </row>
    <row r="704" spans="1:2" ht="50.1" customHeight="1" x14ac:dyDescent="0.25">
      <c r="A704" s="242">
        <v>465</v>
      </c>
      <c r="B704" s="244" t="s">
        <v>466</v>
      </c>
    </row>
    <row r="705" spans="1:2" ht="50.1" customHeight="1" x14ac:dyDescent="0.25">
      <c r="A705" s="281">
        <v>466</v>
      </c>
      <c r="B705" s="282" t="s">
        <v>467</v>
      </c>
    </row>
    <row r="706" spans="1:2" ht="50.1" customHeight="1" x14ac:dyDescent="0.25">
      <c r="A706" s="281"/>
      <c r="B706" s="282"/>
    </row>
    <row r="707" spans="1:2" ht="50.1" customHeight="1" x14ac:dyDescent="0.25">
      <c r="A707" s="242">
        <v>467</v>
      </c>
      <c r="B707" s="244" t="s">
        <v>469</v>
      </c>
    </row>
    <row r="708" spans="1:2" ht="50.1" customHeight="1" x14ac:dyDescent="0.25">
      <c r="A708" s="281">
        <v>468</v>
      </c>
      <c r="B708" s="282" t="s">
        <v>470</v>
      </c>
    </row>
    <row r="709" spans="1:2" ht="50.1" customHeight="1" x14ac:dyDescent="0.25">
      <c r="A709" s="281"/>
      <c r="B709" s="282"/>
    </row>
    <row r="710" spans="1:2" ht="50.1" customHeight="1" x14ac:dyDescent="0.25">
      <c r="A710" s="242">
        <v>469</v>
      </c>
      <c r="B710" s="244" t="s">
        <v>471</v>
      </c>
    </row>
    <row r="711" spans="1:2" ht="50.1" customHeight="1" x14ac:dyDescent="0.25">
      <c r="A711" s="281">
        <v>470</v>
      </c>
      <c r="B711" s="282" t="s">
        <v>472</v>
      </c>
    </row>
    <row r="712" spans="1:2" ht="50.1" customHeight="1" x14ac:dyDescent="0.25">
      <c r="A712" s="281"/>
      <c r="B712" s="282"/>
    </row>
    <row r="713" spans="1:2" ht="50.1" customHeight="1" x14ac:dyDescent="0.25">
      <c r="A713" s="281">
        <v>471</v>
      </c>
      <c r="B713" s="282" t="s">
        <v>476</v>
      </c>
    </row>
    <row r="714" spans="1:2" ht="50.1" customHeight="1" x14ac:dyDescent="0.25">
      <c r="A714" s="281"/>
      <c r="B714" s="282"/>
    </row>
    <row r="715" spans="1:2" ht="50.1" customHeight="1" x14ac:dyDescent="0.25">
      <c r="A715" s="281"/>
      <c r="B715" s="282"/>
    </row>
    <row r="716" spans="1:2" ht="50.1" customHeight="1" x14ac:dyDescent="0.25">
      <c r="A716" s="281">
        <v>472</v>
      </c>
      <c r="B716" s="282" t="s">
        <v>477</v>
      </c>
    </row>
    <row r="717" spans="1:2" ht="50.1" customHeight="1" x14ac:dyDescent="0.25">
      <c r="A717" s="281"/>
      <c r="B717" s="282"/>
    </row>
    <row r="718" spans="1:2" ht="50.1" customHeight="1" x14ac:dyDescent="0.25">
      <c r="A718" s="281"/>
      <c r="B718" s="282"/>
    </row>
    <row r="719" spans="1:2" ht="50.1" customHeight="1" x14ac:dyDescent="0.25">
      <c r="A719" s="242">
        <v>473</v>
      </c>
      <c r="B719" s="244" t="s">
        <v>478</v>
      </c>
    </row>
    <row r="720" spans="1:2" ht="50.1" customHeight="1" x14ac:dyDescent="0.25">
      <c r="A720" s="242">
        <v>474</v>
      </c>
      <c r="B720" s="244" t="s">
        <v>479</v>
      </c>
    </row>
    <row r="721" spans="1:2" ht="50.1" customHeight="1" x14ac:dyDescent="0.25">
      <c r="A721" s="242">
        <v>475</v>
      </c>
      <c r="B721" s="244" t="s">
        <v>480</v>
      </c>
    </row>
    <row r="722" spans="1:2" ht="50.1" customHeight="1" x14ac:dyDescent="0.25">
      <c r="A722" s="242">
        <v>476</v>
      </c>
      <c r="B722" s="244" t="s">
        <v>482</v>
      </c>
    </row>
    <row r="723" spans="1:2" ht="50.1" customHeight="1" x14ac:dyDescent="0.25">
      <c r="A723" s="281">
        <v>477</v>
      </c>
      <c r="B723" s="282" t="s">
        <v>483</v>
      </c>
    </row>
    <row r="724" spans="1:2" ht="50.1" customHeight="1" x14ac:dyDescent="0.25">
      <c r="A724" s="281"/>
      <c r="B724" s="282"/>
    </row>
    <row r="725" spans="1:2" ht="50.1" customHeight="1" x14ac:dyDescent="0.25">
      <c r="A725" s="242">
        <v>478</v>
      </c>
      <c r="B725" s="244" t="s">
        <v>484</v>
      </c>
    </row>
    <row r="726" spans="1:2" ht="50.1" customHeight="1" x14ac:dyDescent="0.25">
      <c r="A726" s="281">
        <v>479</v>
      </c>
      <c r="B726" s="282" t="s">
        <v>485</v>
      </c>
    </row>
    <row r="727" spans="1:2" ht="50.1" customHeight="1" x14ac:dyDescent="0.25">
      <c r="A727" s="281"/>
      <c r="B727" s="282"/>
    </row>
    <row r="728" spans="1:2" ht="50.1" customHeight="1" x14ac:dyDescent="0.25">
      <c r="A728" s="242">
        <v>480</v>
      </c>
      <c r="B728" s="244" t="s">
        <v>486</v>
      </c>
    </row>
    <row r="729" spans="1:2" ht="50.1" customHeight="1" x14ac:dyDescent="0.25">
      <c r="A729" s="281">
        <v>481</v>
      </c>
      <c r="B729" s="282" t="s">
        <v>487</v>
      </c>
    </row>
    <row r="730" spans="1:2" ht="50.1" customHeight="1" x14ac:dyDescent="0.25">
      <c r="A730" s="281"/>
      <c r="B730" s="282"/>
    </row>
    <row r="731" spans="1:2" ht="50.1" customHeight="1" x14ac:dyDescent="0.25">
      <c r="A731" s="242">
        <v>482</v>
      </c>
      <c r="B731" s="244" t="s">
        <v>488</v>
      </c>
    </row>
    <row r="732" spans="1:2" ht="50.1" customHeight="1" x14ac:dyDescent="0.25">
      <c r="A732" s="281">
        <v>483</v>
      </c>
      <c r="B732" s="282" t="s">
        <v>489</v>
      </c>
    </row>
    <row r="733" spans="1:2" ht="50.1" customHeight="1" x14ac:dyDescent="0.25">
      <c r="A733" s="281"/>
      <c r="B733" s="282"/>
    </row>
    <row r="734" spans="1:2" ht="50.1" customHeight="1" x14ac:dyDescent="0.25">
      <c r="A734" s="281">
        <v>484</v>
      </c>
      <c r="B734" s="282" t="s">
        <v>490</v>
      </c>
    </row>
    <row r="735" spans="1:2" ht="50.1" customHeight="1" x14ac:dyDescent="0.25">
      <c r="A735" s="281"/>
      <c r="B735" s="282"/>
    </row>
    <row r="736" spans="1:2" ht="50.1" customHeight="1" x14ac:dyDescent="0.25">
      <c r="A736" s="281"/>
      <c r="B736" s="282"/>
    </row>
    <row r="737" spans="1:5" ht="50.1" customHeight="1" x14ac:dyDescent="0.25">
      <c r="A737" s="242">
        <v>485</v>
      </c>
      <c r="B737" s="244" t="s">
        <v>491</v>
      </c>
    </row>
    <row r="738" spans="1:5" ht="50.1" customHeight="1" x14ac:dyDescent="0.25">
      <c r="A738" s="281">
        <v>486</v>
      </c>
      <c r="B738" s="282" t="s">
        <v>492</v>
      </c>
    </row>
    <row r="739" spans="1:5" ht="50.1" customHeight="1" x14ac:dyDescent="0.25">
      <c r="A739" s="281"/>
      <c r="B739" s="282"/>
    </row>
    <row r="740" spans="1:5" ht="50.1" customHeight="1" x14ac:dyDescent="0.25">
      <c r="A740" s="242">
        <v>487</v>
      </c>
      <c r="B740" s="244" t="s">
        <v>494</v>
      </c>
    </row>
    <row r="741" spans="1:5" ht="50.1" customHeight="1" x14ac:dyDescent="0.25">
      <c r="A741" s="281">
        <v>488</v>
      </c>
      <c r="B741" s="282" t="s">
        <v>495</v>
      </c>
    </row>
    <row r="742" spans="1:5" ht="50.1" customHeight="1" x14ac:dyDescent="0.25">
      <c r="A742" s="281"/>
      <c r="B742" s="282"/>
    </row>
    <row r="743" spans="1:5" ht="50.1" customHeight="1" x14ac:dyDescent="0.25">
      <c r="A743" s="281">
        <v>489</v>
      </c>
      <c r="B743" s="282" t="s">
        <v>514</v>
      </c>
      <c r="D743" s="221" t="s">
        <v>1189</v>
      </c>
      <c r="E743" s="221"/>
    </row>
    <row r="744" spans="1:5" ht="50.1" customHeight="1" x14ac:dyDescent="0.25">
      <c r="A744" s="281"/>
      <c r="B744" s="282"/>
      <c r="D744" s="221" t="s">
        <v>1371</v>
      </c>
      <c r="E744" s="221"/>
    </row>
    <row r="745" spans="1:5" ht="50.1" customHeight="1" x14ac:dyDescent="0.25">
      <c r="A745" s="281"/>
      <c r="B745" s="282"/>
      <c r="D745" s="221" t="s">
        <v>719</v>
      </c>
    </row>
    <row r="746" spans="1:5" ht="50.1" customHeight="1" x14ac:dyDescent="0.25">
      <c r="A746" s="281">
        <v>490</v>
      </c>
      <c r="B746" s="282" t="s">
        <v>515</v>
      </c>
    </row>
    <row r="747" spans="1:5" ht="50.1" customHeight="1" x14ac:dyDescent="0.25">
      <c r="A747" s="281"/>
      <c r="B747" s="282"/>
    </row>
    <row r="748" spans="1:5" ht="50.1" customHeight="1" x14ac:dyDescent="0.25">
      <c r="A748" s="281"/>
      <c r="B748" s="282"/>
    </row>
    <row r="749" spans="1:5" ht="50.1" customHeight="1" x14ac:dyDescent="0.25">
      <c r="A749" s="242">
        <v>491</v>
      </c>
      <c r="B749" s="244" t="s">
        <v>516</v>
      </c>
    </row>
    <row r="750" spans="1:5" ht="50.1" customHeight="1" x14ac:dyDescent="0.25">
      <c r="A750" s="281">
        <v>492</v>
      </c>
      <c r="B750" s="282" t="s">
        <v>517</v>
      </c>
    </row>
    <row r="751" spans="1:5" ht="50.1" customHeight="1" x14ac:dyDescent="0.25">
      <c r="A751" s="281"/>
      <c r="B751" s="282"/>
    </row>
    <row r="752" spans="1:5" ht="50.1" customHeight="1" x14ac:dyDescent="0.25">
      <c r="A752" s="281"/>
      <c r="B752" s="282"/>
    </row>
    <row r="753" spans="1:2" ht="50.1" customHeight="1" x14ac:dyDescent="0.25">
      <c r="A753" s="281">
        <v>493</v>
      </c>
      <c r="B753" s="282" t="s">
        <v>518</v>
      </c>
    </row>
    <row r="754" spans="1:2" ht="50.1" customHeight="1" x14ac:dyDescent="0.25">
      <c r="A754" s="281"/>
      <c r="B754" s="282"/>
    </row>
    <row r="755" spans="1:2" ht="50.1" customHeight="1" x14ac:dyDescent="0.25">
      <c r="A755" s="281"/>
      <c r="B755" s="282"/>
    </row>
    <row r="756" spans="1:2" ht="50.1" customHeight="1" x14ac:dyDescent="0.25">
      <c r="A756" s="281">
        <v>494</v>
      </c>
      <c r="B756" s="282" t="s">
        <v>519</v>
      </c>
    </row>
    <row r="757" spans="1:2" ht="50.1" customHeight="1" x14ac:dyDescent="0.25">
      <c r="A757" s="281"/>
      <c r="B757" s="282"/>
    </row>
    <row r="758" spans="1:2" ht="50.1" customHeight="1" x14ac:dyDescent="0.25">
      <c r="A758" s="281"/>
      <c r="B758" s="282"/>
    </row>
    <row r="759" spans="1:2" ht="50.1" customHeight="1" x14ac:dyDescent="0.25">
      <c r="A759" s="281">
        <v>495</v>
      </c>
      <c r="B759" s="282" t="s">
        <v>520</v>
      </c>
    </row>
    <row r="760" spans="1:2" ht="50.1" customHeight="1" x14ac:dyDescent="0.25">
      <c r="A760" s="281"/>
      <c r="B760" s="282"/>
    </row>
    <row r="761" spans="1:2" ht="50.1" customHeight="1" x14ac:dyDescent="0.25">
      <c r="A761" s="281"/>
      <c r="B761" s="282"/>
    </row>
    <row r="762" spans="1:2" ht="50.1" customHeight="1" x14ac:dyDescent="0.25">
      <c r="A762" s="281">
        <v>496</v>
      </c>
      <c r="B762" s="282" t="s">
        <v>521</v>
      </c>
    </row>
    <row r="763" spans="1:2" ht="50.1" customHeight="1" x14ac:dyDescent="0.25">
      <c r="A763" s="281"/>
      <c r="B763" s="282"/>
    </row>
    <row r="764" spans="1:2" ht="50.1" customHeight="1" x14ac:dyDescent="0.25">
      <c r="A764" s="281"/>
      <c r="B764" s="282"/>
    </row>
    <row r="765" spans="1:2" ht="50.1" customHeight="1" x14ac:dyDescent="0.25">
      <c r="A765" s="281">
        <v>497</v>
      </c>
      <c r="B765" s="282" t="s">
        <v>522</v>
      </c>
    </row>
    <row r="766" spans="1:2" ht="50.1" customHeight="1" x14ac:dyDescent="0.25">
      <c r="A766" s="281"/>
      <c r="B766" s="282"/>
    </row>
    <row r="767" spans="1:2" ht="50.1" customHeight="1" x14ac:dyDescent="0.25">
      <c r="A767" s="281"/>
      <c r="B767" s="282"/>
    </row>
    <row r="768" spans="1:2" ht="50.1" customHeight="1" x14ac:dyDescent="0.25">
      <c r="A768" s="281">
        <v>498</v>
      </c>
      <c r="B768" s="282" t="s">
        <v>523</v>
      </c>
    </row>
    <row r="769" spans="1:2" ht="50.1" customHeight="1" x14ac:dyDescent="0.25">
      <c r="A769" s="281"/>
      <c r="B769" s="282"/>
    </row>
    <row r="770" spans="1:2" ht="50.1" customHeight="1" x14ac:dyDescent="0.25">
      <c r="A770" s="281"/>
      <c r="B770" s="282"/>
    </row>
    <row r="771" spans="1:2" ht="50.1" customHeight="1" x14ac:dyDescent="0.25">
      <c r="A771" s="281">
        <v>499</v>
      </c>
      <c r="B771" s="282" t="s">
        <v>524</v>
      </c>
    </row>
    <row r="772" spans="1:2" ht="50.1" customHeight="1" x14ac:dyDescent="0.25">
      <c r="A772" s="281"/>
      <c r="B772" s="282"/>
    </row>
    <row r="773" spans="1:2" ht="50.1" customHeight="1" x14ac:dyDescent="0.25">
      <c r="A773" s="281"/>
      <c r="B773" s="282"/>
    </row>
    <row r="774" spans="1:2" ht="50.1" customHeight="1" x14ac:dyDescent="0.25">
      <c r="A774" s="281">
        <v>500</v>
      </c>
      <c r="B774" s="282" t="s">
        <v>525</v>
      </c>
    </row>
    <row r="775" spans="1:2" ht="50.1" customHeight="1" x14ac:dyDescent="0.25">
      <c r="A775" s="281"/>
      <c r="B775" s="282"/>
    </row>
    <row r="776" spans="1:2" ht="50.1" customHeight="1" x14ac:dyDescent="0.25">
      <c r="A776" s="281"/>
      <c r="B776" s="282"/>
    </row>
    <row r="777" spans="1:2" ht="50.1" customHeight="1" x14ac:dyDescent="0.25">
      <c r="A777" s="281">
        <v>501</v>
      </c>
      <c r="B777" s="282" t="s">
        <v>526</v>
      </c>
    </row>
    <row r="778" spans="1:2" ht="50.1" customHeight="1" x14ac:dyDescent="0.25">
      <c r="A778" s="281"/>
      <c r="B778" s="282"/>
    </row>
    <row r="779" spans="1:2" ht="50.1" customHeight="1" x14ac:dyDescent="0.25">
      <c r="A779" s="281"/>
      <c r="B779" s="282"/>
    </row>
    <row r="780" spans="1:2" ht="50.1" customHeight="1" x14ac:dyDescent="0.25">
      <c r="A780" s="281">
        <v>502</v>
      </c>
      <c r="B780" s="282" t="s">
        <v>527</v>
      </c>
    </row>
    <row r="781" spans="1:2" ht="50.1" customHeight="1" x14ac:dyDescent="0.25">
      <c r="A781" s="281"/>
      <c r="B781" s="282"/>
    </row>
    <row r="782" spans="1:2" ht="50.1" customHeight="1" x14ac:dyDescent="0.25">
      <c r="A782" s="281"/>
      <c r="B782" s="282"/>
    </row>
    <row r="783" spans="1:2" ht="50.1" customHeight="1" x14ac:dyDescent="0.25">
      <c r="A783" s="281">
        <v>503</v>
      </c>
      <c r="B783" s="282" t="s">
        <v>528</v>
      </c>
    </row>
    <row r="784" spans="1:2" ht="50.1" customHeight="1" x14ac:dyDescent="0.25">
      <c r="A784" s="281"/>
      <c r="B784" s="282"/>
    </row>
    <row r="785" spans="1:2" ht="50.1" customHeight="1" x14ac:dyDescent="0.25">
      <c r="A785" s="281"/>
      <c r="B785" s="282"/>
    </row>
    <row r="786" spans="1:2" ht="50.1" customHeight="1" x14ac:dyDescent="0.25">
      <c r="A786" s="242" t="s">
        <v>1171</v>
      </c>
      <c r="B786" s="244" t="s">
        <v>1174</v>
      </c>
    </row>
    <row r="787" spans="1:2" ht="50.1" customHeight="1" x14ac:dyDescent="0.25">
      <c r="A787" s="242" t="s">
        <v>1172</v>
      </c>
      <c r="B787" s="244" t="s">
        <v>1175</v>
      </c>
    </row>
    <row r="788" spans="1:2" ht="50.1" customHeight="1" x14ac:dyDescent="0.25">
      <c r="A788" s="242" t="s">
        <v>1173</v>
      </c>
      <c r="B788" s="244" t="s">
        <v>1176</v>
      </c>
    </row>
    <row r="789" spans="1:2" ht="50.1" customHeight="1" x14ac:dyDescent="0.25">
      <c r="A789" s="242" t="s">
        <v>660</v>
      </c>
      <c r="B789" s="244" t="s">
        <v>661</v>
      </c>
    </row>
    <row r="790" spans="1:2" ht="50.1" customHeight="1" x14ac:dyDescent="0.25">
      <c r="A790" s="242" t="s">
        <v>662</v>
      </c>
      <c r="B790" s="244" t="s">
        <v>663</v>
      </c>
    </row>
    <row r="791" spans="1:2" ht="50.1" customHeight="1" x14ac:dyDescent="0.25">
      <c r="A791" s="242" t="s">
        <v>664</v>
      </c>
      <c r="B791" s="244" t="s">
        <v>665</v>
      </c>
    </row>
    <row r="792" spans="1:2" ht="50.1" customHeight="1" x14ac:dyDescent="0.25">
      <c r="A792" s="242" t="s">
        <v>666</v>
      </c>
      <c r="B792" s="244" t="s">
        <v>667</v>
      </c>
    </row>
    <row r="793" spans="1:2" ht="50.1" customHeight="1" x14ac:dyDescent="0.25">
      <c r="A793" s="242" t="s">
        <v>669</v>
      </c>
      <c r="B793" s="244" t="s">
        <v>670</v>
      </c>
    </row>
    <row r="794" spans="1:2" ht="50.1" customHeight="1" x14ac:dyDescent="0.25">
      <c r="A794" s="242" t="s">
        <v>1170</v>
      </c>
      <c r="B794" s="244" t="s">
        <v>1139</v>
      </c>
    </row>
    <row r="795" spans="1:2" ht="50.1" customHeight="1" x14ac:dyDescent="0.25">
      <c r="A795" s="242" t="s">
        <v>1179</v>
      </c>
      <c r="B795" s="244" t="s">
        <v>1180</v>
      </c>
    </row>
    <row r="796" spans="1:2" ht="50.1" customHeight="1" x14ac:dyDescent="0.25">
      <c r="A796" s="242" t="s">
        <v>1177</v>
      </c>
      <c r="B796" s="244" t="s">
        <v>1178</v>
      </c>
    </row>
    <row r="797" spans="1:2" ht="50.1" customHeight="1" x14ac:dyDescent="0.25">
      <c r="A797" s="242" t="s">
        <v>675</v>
      </c>
      <c r="B797" s="244" t="s">
        <v>676</v>
      </c>
    </row>
    <row r="798" spans="1:2" ht="50.1" customHeight="1" x14ac:dyDescent="0.25">
      <c r="A798" s="242" t="s">
        <v>677</v>
      </c>
      <c r="B798" s="244" t="s">
        <v>678</v>
      </c>
    </row>
    <row r="799" spans="1:2" ht="50.1" customHeight="1" x14ac:dyDescent="0.25">
      <c r="A799" s="242" t="s">
        <v>679</v>
      </c>
      <c r="B799" s="244" t="s">
        <v>680</v>
      </c>
    </row>
    <row r="800" spans="1:2" ht="50.1" customHeight="1" x14ac:dyDescent="0.25">
      <c r="A800" s="242" t="s">
        <v>681</v>
      </c>
      <c r="B800" s="244" t="s">
        <v>682</v>
      </c>
    </row>
    <row r="801" spans="1:2" ht="50.1" customHeight="1" x14ac:dyDescent="0.25">
      <c r="A801" s="242" t="s">
        <v>683</v>
      </c>
      <c r="B801" s="244" t="s">
        <v>684</v>
      </c>
    </row>
    <row r="802" spans="1:2" ht="50.1" customHeight="1" x14ac:dyDescent="0.25">
      <c r="A802" s="242" t="s">
        <v>671</v>
      </c>
      <c r="B802" s="244" t="s">
        <v>672</v>
      </c>
    </row>
    <row r="803" spans="1:2" ht="50.1" customHeight="1" x14ac:dyDescent="0.25">
      <c r="A803" s="242" t="s">
        <v>673</v>
      </c>
      <c r="B803" s="244" t="s">
        <v>674</v>
      </c>
    </row>
  </sheetData>
  <mergeCells count="632">
    <mergeCell ref="B105:B106"/>
    <mergeCell ref="A105:A106"/>
    <mergeCell ref="E101:E103"/>
    <mergeCell ref="A111:A112"/>
    <mergeCell ref="B111:B112"/>
    <mergeCell ref="E104:E106"/>
    <mergeCell ref="A103:A104"/>
    <mergeCell ref="B103:B104"/>
    <mergeCell ref="B101:B102"/>
    <mergeCell ref="A101:A102"/>
    <mergeCell ref="C101:C106"/>
    <mergeCell ref="C107:C109"/>
    <mergeCell ref="A81:A82"/>
    <mergeCell ref="B81:B82"/>
    <mergeCell ref="B79:B80"/>
    <mergeCell ref="A79:A80"/>
    <mergeCell ref="E77:E82"/>
    <mergeCell ref="C86:C88"/>
    <mergeCell ref="E95:E97"/>
    <mergeCell ref="G95:G97"/>
    <mergeCell ref="E98:E100"/>
    <mergeCell ref="C95:C97"/>
    <mergeCell ref="C98:C100"/>
    <mergeCell ref="B99:B100"/>
    <mergeCell ref="A99:A100"/>
    <mergeCell ref="E89:E91"/>
    <mergeCell ref="G89:G91"/>
    <mergeCell ref="E92:E94"/>
    <mergeCell ref="A93:A94"/>
    <mergeCell ref="B93:B94"/>
    <mergeCell ref="C89:C91"/>
    <mergeCell ref="C92:C94"/>
    <mergeCell ref="G80:G82"/>
    <mergeCell ref="E83:E85"/>
    <mergeCell ref="G83:G85"/>
    <mergeCell ref="G86:G88"/>
    <mergeCell ref="B69:B70"/>
    <mergeCell ref="A69:A70"/>
    <mergeCell ref="A75:A76"/>
    <mergeCell ref="B75:B76"/>
    <mergeCell ref="E65:E67"/>
    <mergeCell ref="E68:E70"/>
    <mergeCell ref="A57:A58"/>
    <mergeCell ref="B57:B58"/>
    <mergeCell ref="A60:A61"/>
    <mergeCell ref="B60:B61"/>
    <mergeCell ref="A63:A64"/>
    <mergeCell ref="B63:B64"/>
    <mergeCell ref="B66:B67"/>
    <mergeCell ref="A66:A67"/>
    <mergeCell ref="C71:C73"/>
    <mergeCell ref="C74:C76"/>
    <mergeCell ref="A54:A55"/>
    <mergeCell ref="B54:B55"/>
    <mergeCell ref="A52:A53"/>
    <mergeCell ref="B52:B53"/>
    <mergeCell ref="A30:A31"/>
    <mergeCell ref="B30:B31"/>
    <mergeCell ref="E26:E28"/>
    <mergeCell ref="E44:E46"/>
    <mergeCell ref="G44:G46"/>
    <mergeCell ref="E50:E55"/>
    <mergeCell ref="G53:G55"/>
    <mergeCell ref="G50:G52"/>
    <mergeCell ref="E47:E49"/>
    <mergeCell ref="G47:G49"/>
    <mergeCell ref="A21:A22"/>
    <mergeCell ref="B21:B22"/>
    <mergeCell ref="A24:A25"/>
    <mergeCell ref="B24:B25"/>
    <mergeCell ref="E17:E19"/>
    <mergeCell ref="G17:G19"/>
    <mergeCell ref="E20:E22"/>
    <mergeCell ref="A42:A43"/>
    <mergeCell ref="B42:B43"/>
    <mergeCell ref="G173:G175"/>
    <mergeCell ref="G248:G250"/>
    <mergeCell ref="G251:G253"/>
    <mergeCell ref="G254:G256"/>
    <mergeCell ref="E32:E34"/>
    <mergeCell ref="G32:G34"/>
    <mergeCell ref="G35:G37"/>
    <mergeCell ref="E35:E37"/>
    <mergeCell ref="E38:E40"/>
    <mergeCell ref="G38:G40"/>
    <mergeCell ref="E41:E43"/>
    <mergeCell ref="E116:E118"/>
    <mergeCell ref="E119:E121"/>
    <mergeCell ref="E122:E124"/>
    <mergeCell ref="E125:E127"/>
    <mergeCell ref="G125:G127"/>
    <mergeCell ref="E128:E130"/>
    <mergeCell ref="E131:E133"/>
    <mergeCell ref="E71:E73"/>
    <mergeCell ref="E113:E115"/>
    <mergeCell ref="E107:E109"/>
    <mergeCell ref="G107:G109"/>
    <mergeCell ref="E110:E112"/>
    <mergeCell ref="G77:G79"/>
    <mergeCell ref="E86:E88"/>
    <mergeCell ref="C110:C112"/>
    <mergeCell ref="E2:E4"/>
    <mergeCell ref="E5:E7"/>
    <mergeCell ref="G2:G4"/>
    <mergeCell ref="G5:G7"/>
    <mergeCell ref="G8:G10"/>
    <mergeCell ref="G11:G13"/>
    <mergeCell ref="E8:E10"/>
    <mergeCell ref="E11:E13"/>
    <mergeCell ref="E14:E16"/>
    <mergeCell ref="G14:G16"/>
    <mergeCell ref="G71:G73"/>
    <mergeCell ref="E74:E76"/>
    <mergeCell ref="G26:G28"/>
    <mergeCell ref="E29:E31"/>
    <mergeCell ref="E23:E25"/>
    <mergeCell ref="E56:E58"/>
    <mergeCell ref="E59:E61"/>
    <mergeCell ref="E62:E64"/>
    <mergeCell ref="C2:C4"/>
    <mergeCell ref="C83:C85"/>
    <mergeCell ref="C5:C7"/>
    <mergeCell ref="C8:C10"/>
    <mergeCell ref="C11:C13"/>
    <mergeCell ref="C14:C16"/>
    <mergeCell ref="C17:C19"/>
    <mergeCell ref="C20:C22"/>
    <mergeCell ref="C23:C25"/>
    <mergeCell ref="C26:C28"/>
    <mergeCell ref="C62:C64"/>
    <mergeCell ref="C65:C67"/>
    <mergeCell ref="C68:C70"/>
    <mergeCell ref="C41:C43"/>
    <mergeCell ref="C29:C31"/>
    <mergeCell ref="C35:C37"/>
    <mergeCell ref="C32:C34"/>
    <mergeCell ref="C38:C40"/>
    <mergeCell ref="C59:C61"/>
    <mergeCell ref="C56:C58"/>
    <mergeCell ref="C50:C55"/>
    <mergeCell ref="C47:C49"/>
    <mergeCell ref="C44:C46"/>
    <mergeCell ref="C77:C82"/>
    <mergeCell ref="C146:C154"/>
    <mergeCell ref="C119:C121"/>
    <mergeCell ref="C122:C124"/>
    <mergeCell ref="C125:C127"/>
    <mergeCell ref="C113:C115"/>
    <mergeCell ref="C116:C118"/>
    <mergeCell ref="C134:C136"/>
    <mergeCell ref="C137:C139"/>
    <mergeCell ref="C131:C133"/>
    <mergeCell ref="C140:C142"/>
    <mergeCell ref="C143:C145"/>
    <mergeCell ref="C128:C130"/>
    <mergeCell ref="A117:A118"/>
    <mergeCell ref="B117:B118"/>
    <mergeCell ref="B114:B115"/>
    <mergeCell ref="A114:A115"/>
    <mergeCell ref="B120:B121"/>
    <mergeCell ref="A120:A121"/>
    <mergeCell ref="B123:B124"/>
    <mergeCell ref="A123:A124"/>
    <mergeCell ref="B129:B130"/>
    <mergeCell ref="A129:A130"/>
    <mergeCell ref="B132:B133"/>
    <mergeCell ref="A132:A133"/>
    <mergeCell ref="A138:A139"/>
    <mergeCell ref="B138:B139"/>
    <mergeCell ref="B135:B136"/>
    <mergeCell ref="A135:A136"/>
    <mergeCell ref="B153:B154"/>
    <mergeCell ref="A153:A154"/>
    <mergeCell ref="B151:B152"/>
    <mergeCell ref="A151:A152"/>
    <mergeCell ref="B149:B150"/>
    <mergeCell ref="A149:A150"/>
    <mergeCell ref="B146:B148"/>
    <mergeCell ref="A146:A148"/>
    <mergeCell ref="B144:B145"/>
    <mergeCell ref="A144:A145"/>
    <mergeCell ref="B141:B142"/>
    <mergeCell ref="A141:A142"/>
    <mergeCell ref="B156:B157"/>
    <mergeCell ref="A156:A157"/>
    <mergeCell ref="C158:C160"/>
    <mergeCell ref="E158:E160"/>
    <mergeCell ref="B159:B160"/>
    <mergeCell ref="A159:A160"/>
    <mergeCell ref="A170:A172"/>
    <mergeCell ref="B170:B172"/>
    <mergeCell ref="B168:B169"/>
    <mergeCell ref="A168:A169"/>
    <mergeCell ref="E167:E169"/>
    <mergeCell ref="E164:E166"/>
    <mergeCell ref="C164:C166"/>
    <mergeCell ref="C155:C157"/>
    <mergeCell ref="C167:C169"/>
    <mergeCell ref="C170:C172"/>
    <mergeCell ref="E155:E157"/>
    <mergeCell ref="G164:G166"/>
    <mergeCell ref="G161:G163"/>
    <mergeCell ref="E161:E163"/>
    <mergeCell ref="C161:C163"/>
    <mergeCell ref="C173:C175"/>
    <mergeCell ref="E173:E175"/>
    <mergeCell ref="C248:C262"/>
    <mergeCell ref="E248:E262"/>
    <mergeCell ref="G257:G259"/>
    <mergeCell ref="G260:G262"/>
    <mergeCell ref="C191:C193"/>
    <mergeCell ref="C194:C196"/>
    <mergeCell ref="E194:E196"/>
    <mergeCell ref="C197:C199"/>
    <mergeCell ref="E197:E199"/>
    <mergeCell ref="G194:G196"/>
    <mergeCell ref="G197:G199"/>
    <mergeCell ref="C200:C202"/>
    <mergeCell ref="C203:C205"/>
    <mergeCell ref="C206:C208"/>
    <mergeCell ref="C209:C211"/>
    <mergeCell ref="C212:C214"/>
    <mergeCell ref="C176:C178"/>
    <mergeCell ref="E176:E178"/>
    <mergeCell ref="B177:B178"/>
    <mergeCell ref="A177:A178"/>
    <mergeCell ref="B180:B181"/>
    <mergeCell ref="A180:A181"/>
    <mergeCell ref="B183:B184"/>
    <mergeCell ref="A183:A184"/>
    <mergeCell ref="C182:C184"/>
    <mergeCell ref="E182:E184"/>
    <mergeCell ref="E179:E181"/>
    <mergeCell ref="C179:C181"/>
    <mergeCell ref="B192:B193"/>
    <mergeCell ref="A192:A193"/>
    <mergeCell ref="A200:A202"/>
    <mergeCell ref="B200:B202"/>
    <mergeCell ref="B203:B205"/>
    <mergeCell ref="A203:A205"/>
    <mergeCell ref="B207:B208"/>
    <mergeCell ref="A207:A208"/>
    <mergeCell ref="E188:E190"/>
    <mergeCell ref="C185:C190"/>
    <mergeCell ref="A189:A190"/>
    <mergeCell ref="B189:B190"/>
    <mergeCell ref="A187:A188"/>
    <mergeCell ref="B187:B188"/>
    <mergeCell ref="B185:B186"/>
    <mergeCell ref="A185:A186"/>
    <mergeCell ref="E185:E187"/>
    <mergeCell ref="A225:A226"/>
    <mergeCell ref="A227:A229"/>
    <mergeCell ref="A230:A232"/>
    <mergeCell ref="A233:A235"/>
    <mergeCell ref="B209:B211"/>
    <mergeCell ref="A209:A211"/>
    <mergeCell ref="B212:B214"/>
    <mergeCell ref="A212:A214"/>
    <mergeCell ref="B216:B218"/>
    <mergeCell ref="A216:A218"/>
    <mergeCell ref="A219:A221"/>
    <mergeCell ref="A222:A224"/>
    <mergeCell ref="C236:C238"/>
    <mergeCell ref="E236:E238"/>
    <mergeCell ref="G236:G238"/>
    <mergeCell ref="C239:C241"/>
    <mergeCell ref="E239:E241"/>
    <mergeCell ref="C242:C244"/>
    <mergeCell ref="E242:E244"/>
    <mergeCell ref="B240:B241"/>
    <mergeCell ref="E215:E217"/>
    <mergeCell ref="E218:E220"/>
    <mergeCell ref="E221:E223"/>
    <mergeCell ref="E224:E226"/>
    <mergeCell ref="E227:E229"/>
    <mergeCell ref="E230:E232"/>
    <mergeCell ref="E233:E235"/>
    <mergeCell ref="C215:C235"/>
    <mergeCell ref="B225:B226"/>
    <mergeCell ref="B227:B229"/>
    <mergeCell ref="B230:B232"/>
    <mergeCell ref="B233:B235"/>
    <mergeCell ref="B219:B221"/>
    <mergeCell ref="B222:B224"/>
    <mergeCell ref="A248:A249"/>
    <mergeCell ref="B248:B249"/>
    <mergeCell ref="B250:B251"/>
    <mergeCell ref="A250:A251"/>
    <mergeCell ref="A252:A253"/>
    <mergeCell ref="B252:B253"/>
    <mergeCell ref="A240:A241"/>
    <mergeCell ref="B243:B244"/>
    <mergeCell ref="A243:A244"/>
    <mergeCell ref="B246:B247"/>
    <mergeCell ref="A246:A247"/>
    <mergeCell ref="B261:B262"/>
    <mergeCell ref="A261:A262"/>
    <mergeCell ref="A259:A260"/>
    <mergeCell ref="B254:B256"/>
    <mergeCell ref="A254:A256"/>
    <mergeCell ref="A257:A258"/>
    <mergeCell ref="C263:C265"/>
    <mergeCell ref="E263:E265"/>
    <mergeCell ref="G263:G265"/>
    <mergeCell ref="B257:B258"/>
    <mergeCell ref="B259:B260"/>
    <mergeCell ref="C269:C271"/>
    <mergeCell ref="C266:C268"/>
    <mergeCell ref="B266:B268"/>
    <mergeCell ref="A266:A268"/>
    <mergeCell ref="B269:B271"/>
    <mergeCell ref="A269:A271"/>
    <mergeCell ref="C272:C274"/>
    <mergeCell ref="E272:E274"/>
    <mergeCell ref="G272:G274"/>
    <mergeCell ref="C275:C277"/>
    <mergeCell ref="C278:C280"/>
    <mergeCell ref="C281:C283"/>
    <mergeCell ref="E275:E277"/>
    <mergeCell ref="E278:E280"/>
    <mergeCell ref="G275:G277"/>
    <mergeCell ref="G278:G280"/>
    <mergeCell ref="E281:E283"/>
    <mergeCell ref="C284:C286"/>
    <mergeCell ref="E284:E286"/>
    <mergeCell ref="B282:B283"/>
    <mergeCell ref="A282:A283"/>
    <mergeCell ref="B285:B286"/>
    <mergeCell ref="A285:A286"/>
    <mergeCell ref="B288:B289"/>
    <mergeCell ref="A288:A289"/>
    <mergeCell ref="C287:C289"/>
    <mergeCell ref="E287:E289"/>
    <mergeCell ref="B291:B292"/>
    <mergeCell ref="A291:A292"/>
    <mergeCell ref="B294:B295"/>
    <mergeCell ref="A294:A295"/>
    <mergeCell ref="E290:E292"/>
    <mergeCell ref="C296:C298"/>
    <mergeCell ref="C299:C301"/>
    <mergeCell ref="E296:E298"/>
    <mergeCell ref="C290:C292"/>
    <mergeCell ref="E293:E295"/>
    <mergeCell ref="C293:C295"/>
    <mergeCell ref="G296:G298"/>
    <mergeCell ref="E299:E301"/>
    <mergeCell ref="B300:B301"/>
    <mergeCell ref="A300:A301"/>
    <mergeCell ref="C302:C304"/>
    <mergeCell ref="E302:E304"/>
    <mergeCell ref="G302:G304"/>
    <mergeCell ref="C305:C307"/>
    <mergeCell ref="E305:E307"/>
    <mergeCell ref="G305:G307"/>
    <mergeCell ref="C308:C310"/>
    <mergeCell ref="E308:E310"/>
    <mergeCell ref="E311:E313"/>
    <mergeCell ref="G311:G313"/>
    <mergeCell ref="C311:C313"/>
    <mergeCell ref="B309:B310"/>
    <mergeCell ref="A309:A310"/>
    <mergeCell ref="B315:B316"/>
    <mergeCell ref="A315:A316"/>
    <mergeCell ref="C314:C316"/>
    <mergeCell ref="E314:E316"/>
    <mergeCell ref="B318:B319"/>
    <mergeCell ref="A318:A319"/>
    <mergeCell ref="E317:E319"/>
    <mergeCell ref="C317:C319"/>
    <mergeCell ref="E320:E322"/>
    <mergeCell ref="B321:B322"/>
    <mergeCell ref="A321:A322"/>
    <mergeCell ref="C320:C322"/>
    <mergeCell ref="B324:B325"/>
    <mergeCell ref="A324:A325"/>
    <mergeCell ref="B327:B328"/>
    <mergeCell ref="A327:A328"/>
    <mergeCell ref="B330:B331"/>
    <mergeCell ref="A330:A331"/>
    <mergeCell ref="A332:A334"/>
    <mergeCell ref="B332:B334"/>
    <mergeCell ref="B336:B337"/>
    <mergeCell ref="A336:A337"/>
    <mergeCell ref="B339:B340"/>
    <mergeCell ref="A339:A340"/>
    <mergeCell ref="B342:B343"/>
    <mergeCell ref="A342:A343"/>
    <mergeCell ref="A345:A346"/>
    <mergeCell ref="B345:B346"/>
    <mergeCell ref="B348:B349"/>
    <mergeCell ref="A348:A349"/>
    <mergeCell ref="B351:B352"/>
    <mergeCell ref="A351:A352"/>
    <mergeCell ref="A354:A355"/>
    <mergeCell ref="B354:B355"/>
    <mergeCell ref="B356:B358"/>
    <mergeCell ref="A356:A358"/>
    <mergeCell ref="A359:A361"/>
    <mergeCell ref="B359:B361"/>
    <mergeCell ref="A363:A364"/>
    <mergeCell ref="B363:B364"/>
    <mergeCell ref="B369:B370"/>
    <mergeCell ref="A369:A370"/>
    <mergeCell ref="B375:B376"/>
    <mergeCell ref="A375:A376"/>
    <mergeCell ref="B378:B379"/>
    <mergeCell ref="A378:A379"/>
    <mergeCell ref="B380:B382"/>
    <mergeCell ref="A380:A382"/>
    <mergeCell ref="B384:B385"/>
    <mergeCell ref="A384:A385"/>
    <mergeCell ref="B387:B388"/>
    <mergeCell ref="A387:A388"/>
    <mergeCell ref="B390:B391"/>
    <mergeCell ref="A390:A391"/>
    <mergeCell ref="B393:B394"/>
    <mergeCell ref="A393:A394"/>
    <mergeCell ref="B395:B397"/>
    <mergeCell ref="A395:A397"/>
    <mergeCell ref="B398:B400"/>
    <mergeCell ref="A398:A400"/>
    <mergeCell ref="B401:B403"/>
    <mergeCell ref="A401:A403"/>
    <mergeCell ref="B404:B406"/>
    <mergeCell ref="A404:A406"/>
    <mergeCell ref="A407:A409"/>
    <mergeCell ref="B407:B409"/>
    <mergeCell ref="A413:A415"/>
    <mergeCell ref="B413:B415"/>
    <mergeCell ref="B416:B418"/>
    <mergeCell ref="A416:A418"/>
    <mergeCell ref="A419:A421"/>
    <mergeCell ref="B419:B421"/>
    <mergeCell ref="B432:B433"/>
    <mergeCell ref="A432:A433"/>
    <mergeCell ref="B437:B438"/>
    <mergeCell ref="A437:A438"/>
    <mergeCell ref="B453:B454"/>
    <mergeCell ref="A453:A454"/>
    <mergeCell ref="B450:B451"/>
    <mergeCell ref="A459:A460"/>
    <mergeCell ref="B459:B460"/>
    <mergeCell ref="B457:B458"/>
    <mergeCell ref="A457:A458"/>
    <mergeCell ref="A450:A451"/>
    <mergeCell ref="B462:B463"/>
    <mergeCell ref="A462:A463"/>
    <mergeCell ref="B465:B466"/>
    <mergeCell ref="A465:A466"/>
    <mergeCell ref="A477:A478"/>
    <mergeCell ref="B477:B478"/>
    <mergeCell ref="A480:A481"/>
    <mergeCell ref="B480:B481"/>
    <mergeCell ref="A483:A484"/>
    <mergeCell ref="B483:B484"/>
    <mergeCell ref="B485:B487"/>
    <mergeCell ref="A485:A487"/>
    <mergeCell ref="B488:B490"/>
    <mergeCell ref="A488:A490"/>
    <mergeCell ref="B495:B496"/>
    <mergeCell ref="A495:A496"/>
    <mergeCell ref="B498:B499"/>
    <mergeCell ref="A498:A499"/>
    <mergeCell ref="A500:A502"/>
    <mergeCell ref="B500:B502"/>
    <mergeCell ref="B522:B523"/>
    <mergeCell ref="A522:A523"/>
    <mergeCell ref="B525:B526"/>
    <mergeCell ref="A525:A526"/>
    <mergeCell ref="A527:A529"/>
    <mergeCell ref="B527:B529"/>
    <mergeCell ref="B531:B532"/>
    <mergeCell ref="A531:A532"/>
    <mergeCell ref="B503:B505"/>
    <mergeCell ref="A503:A505"/>
    <mergeCell ref="A506:A508"/>
    <mergeCell ref="B506:B508"/>
    <mergeCell ref="B509:B511"/>
    <mergeCell ref="A509:A511"/>
    <mergeCell ref="A516:A517"/>
    <mergeCell ref="B516:B517"/>
    <mergeCell ref="B519:B520"/>
    <mergeCell ref="A519:A520"/>
    <mergeCell ref="A533:A535"/>
    <mergeCell ref="B533:B535"/>
    <mergeCell ref="B540:B541"/>
    <mergeCell ref="A540:A541"/>
    <mergeCell ref="B543:B544"/>
    <mergeCell ref="A543:A544"/>
    <mergeCell ref="A545:A547"/>
    <mergeCell ref="B545:B547"/>
    <mergeCell ref="B548:B550"/>
    <mergeCell ref="A548:A550"/>
    <mergeCell ref="A551:A553"/>
    <mergeCell ref="B551:B553"/>
    <mergeCell ref="B554:B556"/>
    <mergeCell ref="A554:A556"/>
    <mergeCell ref="B558:B559"/>
    <mergeCell ref="A558:A559"/>
    <mergeCell ref="B561:B562"/>
    <mergeCell ref="A561:A562"/>
    <mergeCell ref="B564:B565"/>
    <mergeCell ref="A564:A565"/>
    <mergeCell ref="B567:B568"/>
    <mergeCell ref="A567:A568"/>
    <mergeCell ref="B570:B571"/>
    <mergeCell ref="A570:A571"/>
    <mergeCell ref="A573:A574"/>
    <mergeCell ref="B573:B574"/>
    <mergeCell ref="B575:B577"/>
    <mergeCell ref="A575:A577"/>
    <mergeCell ref="A578:A580"/>
    <mergeCell ref="B578:B580"/>
    <mergeCell ref="B582:B583"/>
    <mergeCell ref="A582:A583"/>
    <mergeCell ref="A587:A589"/>
    <mergeCell ref="B587:B589"/>
    <mergeCell ref="B591:B592"/>
    <mergeCell ref="A591:A592"/>
    <mergeCell ref="B593:B595"/>
    <mergeCell ref="A593:A595"/>
    <mergeCell ref="A598:A599"/>
    <mergeCell ref="B598:B599"/>
    <mergeCell ref="B600:B601"/>
    <mergeCell ref="A600:A601"/>
    <mergeCell ref="B596:B597"/>
    <mergeCell ref="A596:A597"/>
    <mergeCell ref="A611:A613"/>
    <mergeCell ref="B611:B613"/>
    <mergeCell ref="A605:A606"/>
    <mergeCell ref="B605:B606"/>
    <mergeCell ref="B607:B608"/>
    <mergeCell ref="A607:A608"/>
    <mergeCell ref="B609:B610"/>
    <mergeCell ref="A609:A610"/>
    <mergeCell ref="A614:A616"/>
    <mergeCell ref="B614:B616"/>
    <mergeCell ref="A623:A625"/>
    <mergeCell ref="B623:B625"/>
    <mergeCell ref="A626:A628"/>
    <mergeCell ref="B626:B628"/>
    <mergeCell ref="B629:B631"/>
    <mergeCell ref="A629:A631"/>
    <mergeCell ref="B632:B634"/>
    <mergeCell ref="A632:A634"/>
    <mergeCell ref="B635:B637"/>
    <mergeCell ref="A635:A637"/>
    <mergeCell ref="A638:A640"/>
    <mergeCell ref="B638:B640"/>
    <mergeCell ref="B641:B643"/>
    <mergeCell ref="A641:A643"/>
    <mergeCell ref="B644:B646"/>
    <mergeCell ref="A644:A646"/>
    <mergeCell ref="A647:A649"/>
    <mergeCell ref="B647:B649"/>
    <mergeCell ref="A684:A685"/>
    <mergeCell ref="B684:B685"/>
    <mergeCell ref="B686:B688"/>
    <mergeCell ref="A686:A688"/>
    <mergeCell ref="B690:B691"/>
    <mergeCell ref="A690:A691"/>
    <mergeCell ref="B693:B694"/>
    <mergeCell ref="A693:A694"/>
    <mergeCell ref="B650:B652"/>
    <mergeCell ref="A650:A652"/>
    <mergeCell ref="A666:A667"/>
    <mergeCell ref="B666:B667"/>
    <mergeCell ref="B669:B670"/>
    <mergeCell ref="A669:A670"/>
    <mergeCell ref="B675:B676"/>
    <mergeCell ref="A675:A676"/>
    <mergeCell ref="B678:B679"/>
    <mergeCell ref="A678:A679"/>
    <mergeCell ref="B696:B697"/>
    <mergeCell ref="A696:A697"/>
    <mergeCell ref="B699:B700"/>
    <mergeCell ref="A699:A700"/>
    <mergeCell ref="B702:B703"/>
    <mergeCell ref="A702:A703"/>
    <mergeCell ref="B705:B706"/>
    <mergeCell ref="A705:A706"/>
    <mergeCell ref="B708:B709"/>
    <mergeCell ref="A708:A709"/>
    <mergeCell ref="B711:B712"/>
    <mergeCell ref="A711:A712"/>
    <mergeCell ref="A713:A715"/>
    <mergeCell ref="B713:B715"/>
    <mergeCell ref="A716:A718"/>
    <mergeCell ref="B716:B718"/>
    <mergeCell ref="B723:B724"/>
    <mergeCell ref="A723:A724"/>
    <mergeCell ref="B726:B727"/>
    <mergeCell ref="A726:A727"/>
    <mergeCell ref="B729:B730"/>
    <mergeCell ref="A729:A730"/>
    <mergeCell ref="B732:B733"/>
    <mergeCell ref="A732:A733"/>
    <mergeCell ref="B734:B736"/>
    <mergeCell ref="A734:A736"/>
    <mergeCell ref="B738:B739"/>
    <mergeCell ref="A738:A739"/>
    <mergeCell ref="B741:B742"/>
    <mergeCell ref="A741:A742"/>
    <mergeCell ref="B743:B745"/>
    <mergeCell ref="A743:A745"/>
    <mergeCell ref="A746:A748"/>
    <mergeCell ref="B746:B748"/>
    <mergeCell ref="A750:A752"/>
    <mergeCell ref="B750:B752"/>
    <mergeCell ref="A753:A755"/>
    <mergeCell ref="B753:B755"/>
    <mergeCell ref="A756:A758"/>
    <mergeCell ref="B756:B758"/>
    <mergeCell ref="A774:A776"/>
    <mergeCell ref="B774:B776"/>
    <mergeCell ref="B777:B779"/>
    <mergeCell ref="A777:A779"/>
    <mergeCell ref="A783:A785"/>
    <mergeCell ref="B783:B785"/>
    <mergeCell ref="A780:A782"/>
    <mergeCell ref="B780:B782"/>
    <mergeCell ref="B759:B761"/>
    <mergeCell ref="A759:A761"/>
    <mergeCell ref="B762:B764"/>
    <mergeCell ref="A762:A764"/>
    <mergeCell ref="B765:B767"/>
    <mergeCell ref="A765:A767"/>
    <mergeCell ref="A768:A770"/>
    <mergeCell ref="B768:B770"/>
    <mergeCell ref="B771:B773"/>
    <mergeCell ref="A771:A773"/>
  </mergeCells>
  <conditionalFormatting sqref="A1:A21 A23:A24 A26:A30 A32:A42 A44:A52 A54 A56:A57 A59:A60 A62:A63 A65:A66 A68:A69 A71:A75 A77:A79 A81 A83:A93 A95:A99 A101 A103 A105 A107:A111 A113:A114 A116:A117 A119:A120 A122:A123 A125:A129 A131:A132 A134:A135 A137:A138 A140:A141 A143:A144 A146 A149 A151 A153 A155:A156 A158:A159 A161:A168 A170 A173:A177 A179:A180 A182:A183 A185 A187 A189 A191:A192 A194:A200 A203 A206:A207 A209 A212 A215:A216 A219 A222 A225 A227 A230 A233 A236:A240 A242:A243 A245:A246 A248 A250 A252 A254 A257 A259 A261 A263:A266 A269 A272:A282 A284:A285 A287:A288 A290:A291 A293:A294 A296:A300 A302:A309 A311:A315 A317:A318 A320:A321 A323:A324 A326:A327 A329:A330 A332 A335:A336 A338:A339 A341:A342 A344:A345 A347:A348 A350:A351 A353:A354 A356 A359 A362:A363 A365:A369 A371:A375 A377:A378 A380 A383:A384 A386:A387 A389:A390 A392:A393 A395 A398 A401 A404 A407 A410:A413 A416 A419 A422:A432 A434:A437 A439:A450 A452:A453 A455:A457 A459 A461:A462 A464:A465 A467:A477 A479:A480 A482:A483 A485 A488 A491:A495 A497:A498 A500 A503 A506 A509 A512:A516 A518:A519 A521:A522 A524:A525 A527 A530:A531 A533 A536:A540 A542:A543 A545 A548 A551 A554 A557:A558 A560:A561 A563:A564 A566:A567 A569:A570 A572:A573 A575 A578 A581:A582 A584:A587 A590:A591 A593 A596 A598 A600 A602:A605 A607 A609 A611 A614 A617:A623 A626 A629 A632 A635 A638 A641 A644 A647 A650 A653:A666 A668:A669 A671:A675 A677:A678 A680:A684 A686 A689:A690 A692:A693 A695:A696 A698:A699 A701:A702 A704:A705 A707:A708 A710:A711 A713 A716 A719:A723 A725:A726 A728:A729 A731:A732 A734 A737:A738 A740:A741 A743 A746 A749:A750 A753 A756 A759 A762 A765 A768 A771 A774 A777 A780 A783 A786:A1048576">
    <cfRule type="notContainsBlanks" dxfId="485" priority="3">
      <formula>LEN(TRIM(A1))&gt;0</formula>
    </cfRule>
  </conditionalFormatting>
  <conditionalFormatting sqref="A2:A21 A24 A27:A30 A33:A42 A45:A52 A57 A60 A66 A69 A72:A75 A78:A79 A84:A93 A96:A99 A108:A111 A114 A117 A120 A123 A126:A129 A132 A135 A138 A141 A144 A156 A159 A162:A168 A174:A177 A180 A183 A192 A195:A200 A207 A216 A237:A240 A243 A246 A264:A266 A273:A282 A285 A288 A291 A294 A297:A300 A303:A309 A312:A315 A318 A321 A324 A327 A330 A336 A339 A342 A345 A348 A351 A354 A363 A366:A369 A372:A375 A378 A384 A387 A390 A393 A411:A413 A423:A432 A435:A437 A440:A450 A456:A457 A462 A465 A468:A477 A480 A483 A492:A495 A498 A513:A516 A519 A522 A525 A531 A537:A540 A543 A558 A561 A564 A567 A570 A573 A582 A585:A587 A591 A603:A605 A618:A623 A654:A666 A669 A672:A675 A678 A681:A684 A693 A696 A699 A702 A705 A708 A711 A720:A723 A726 A729 A732 A738 A741 A787:A788 A805:A1048576">
    <cfRule type="expression" priority="5">
      <formula>IF(A1&lt;10, "00"&amp;A1, IF(A1&lt;100, "0"&amp;A1, A1))</formula>
    </cfRule>
  </conditionalFormatting>
  <conditionalFormatting sqref="A23 A32 A44 A56 A59 A68 A83 A105 A107 A113 A134 A140 A143 A151 A153 A158 A161 A170 A187 A189 A191 A194 A209 A242 A250 A252 A259 A261 A284 A287 A317 A320 A332 A350 A353 A365 A380 A434 A439 A452 A459 A464 A467 A482 A485 A500 A527 A560 A563 A600 A607 A609 A611 A677 A680 A686 A707 A725 A740 A743 A796">
    <cfRule type="expression" priority="4">
      <formula>IF(A21&lt;10, "00"&amp;A21, IF(A21&lt;100, "0"&amp;A21, A21))</formula>
    </cfRule>
  </conditionalFormatting>
  <conditionalFormatting sqref="A26">
    <cfRule type="expression" priority="970">
      <formula>IF(A24&lt;10, "00"&amp;A24, IF(A24&lt;100, "0"&amp;A24, A24))</formula>
    </cfRule>
  </conditionalFormatting>
  <conditionalFormatting sqref="A54">
    <cfRule type="expression" priority="977">
      <formula>IF(A52&lt;10, "00"&amp;A52, IF(A52&lt;100, "0"&amp;A52, A52))</formula>
    </cfRule>
  </conditionalFormatting>
  <conditionalFormatting sqref="A62">
    <cfRule type="expression" priority="986">
      <formula>IF(A60&lt;10, "00"&amp;A60, IF(A60&lt;100, "0"&amp;A60, A60))</formula>
    </cfRule>
  </conditionalFormatting>
  <conditionalFormatting sqref="A63">
    <cfRule type="expression" priority="990">
      <formula>IF(A62&lt;10, "00"&amp;A62, IF(A62&lt;100, "0"&amp;A62, A62))</formula>
    </cfRule>
  </conditionalFormatting>
  <conditionalFormatting sqref="A65">
    <cfRule type="expression" priority="994">
      <formula>IF(A63&lt;10, "00"&amp;A63, IF(A63&lt;100, "0"&amp;A63, A63))</formula>
    </cfRule>
  </conditionalFormatting>
  <conditionalFormatting sqref="A71">
    <cfRule type="expression" priority="1001">
      <formula>IF(A69&lt;10, "00"&amp;A69, IF(A69&lt;100, "0"&amp;A69, A69))</formula>
    </cfRule>
  </conditionalFormatting>
  <conditionalFormatting sqref="A77">
    <cfRule type="expression" priority="1017">
      <formula>IF(A75&lt;10, "00"&amp;A75, IF(A75&lt;100, "0"&amp;A75, A75))</formula>
    </cfRule>
  </conditionalFormatting>
  <conditionalFormatting sqref="A81">
    <cfRule type="expression" priority="1024">
      <formula>IF(A79&lt;10, "00"&amp;A79, IF(A79&lt;100, "0"&amp;A79, A79))</formula>
    </cfRule>
  </conditionalFormatting>
  <conditionalFormatting sqref="A95">
    <cfRule type="expression" priority="1031">
      <formula>IF(A93&lt;10, "00"&amp;A93, IF(A93&lt;100, "0"&amp;A93, A93))</formula>
    </cfRule>
  </conditionalFormatting>
  <conditionalFormatting sqref="A101">
    <cfRule type="expression" priority="1048">
      <formula>IF(A99&lt;10, "00"&amp;A99, IF(A99&lt;100, "0"&amp;A99, A99))</formula>
    </cfRule>
  </conditionalFormatting>
  <conditionalFormatting sqref="A103">
    <cfRule type="expression" priority="1054">
      <formula>IF(A101&lt;10, "00"&amp;A101, IF(A101&lt;100, "0"&amp;A101, A101))</formula>
    </cfRule>
  </conditionalFormatting>
  <conditionalFormatting sqref="A116">
    <cfRule type="expression" priority="1067">
      <formula>IF(A114&lt;10, "00"&amp;A114, IF(A114&lt;100, "0"&amp;A114, A114))</formula>
    </cfRule>
  </conditionalFormatting>
  <conditionalFormatting sqref="A119">
    <cfRule type="expression" priority="1072">
      <formula>IF(A117&lt;10, "00"&amp;A117, IF(A117&lt;100, "0"&amp;A117, A117))</formula>
    </cfRule>
  </conditionalFormatting>
  <conditionalFormatting sqref="A122">
    <cfRule type="expression" priority="1077">
      <formula>IF(A120&lt;10, "00"&amp;A120, IF(A120&lt;100, "0"&amp;A120, A120))</formula>
    </cfRule>
  </conditionalFormatting>
  <conditionalFormatting sqref="A125">
    <cfRule type="expression" priority="1082">
      <formula>IF(A123&lt;10, "00"&amp;A123, IF(A123&lt;100, "0"&amp;A123, A123))</formula>
    </cfRule>
  </conditionalFormatting>
  <conditionalFormatting sqref="A131">
    <cfRule type="expression" priority="1093">
      <formula>IF(A129&lt;10, "00"&amp;A129, IF(A129&lt;100, "0"&amp;A129, A129))</formula>
    </cfRule>
  </conditionalFormatting>
  <conditionalFormatting sqref="A137">
    <cfRule type="expression" priority="1100">
      <formula>IF(A135&lt;10, "00"&amp;A135, IF(A135&lt;100, "0"&amp;A135, A135))</formula>
    </cfRule>
  </conditionalFormatting>
  <conditionalFormatting sqref="A146">
    <cfRule type="expression" priority="1105">
      <formula>IF(A144&lt;10, "00"&amp;A144, IF(A144&lt;100, "0"&amp;A144, A144))</formula>
    </cfRule>
  </conditionalFormatting>
  <conditionalFormatting sqref="A149 A219 A222 A225 A257 A269 A335 A362 A404 A416 A488 A536 A548 A581 A626 A635 A689 A749 A759 A774 A777 A783">
    <cfRule type="expression" priority="1115">
      <formula>IF(A146&lt;10, "00"&amp;A146, IF(A146&lt;100, "0"&amp;A146, A146))</formula>
    </cfRule>
  </conditionalFormatting>
  <conditionalFormatting sqref="A155">
    <cfRule type="expression" priority="1116">
      <formula>IF(A153&lt;10, "00"&amp;A153, IF(A153&lt;100, "0"&amp;A153, A153))</formula>
    </cfRule>
  </conditionalFormatting>
  <conditionalFormatting sqref="A173">
    <cfRule type="expression" priority="1120">
      <formula>IF(A170&lt;10, "00"&amp;A170, IF(A170&lt;100, "0"&amp;A170, A170))</formula>
    </cfRule>
  </conditionalFormatting>
  <conditionalFormatting sqref="A179">
    <cfRule type="expression" priority="1130">
      <formula>IF(A177&lt;10, "00"&amp;A177, IF(A177&lt;100, "0"&amp;A177, A177))</formula>
    </cfRule>
  </conditionalFormatting>
  <conditionalFormatting sqref="A182">
    <cfRule type="expression" priority="1135">
      <formula>IF(A180&lt;10, "00"&amp;A180, IF(A180&lt;100, "0"&amp;A180, A180))</formula>
    </cfRule>
  </conditionalFormatting>
  <conditionalFormatting sqref="A185">
    <cfRule type="expression" priority="1140">
      <formula>IF(A183&lt;10, "00"&amp;A183, IF(A183&lt;100, "0"&amp;A183, A183))</formula>
    </cfRule>
  </conditionalFormatting>
  <conditionalFormatting sqref="A203">
    <cfRule type="expression" priority="1145">
      <formula>IF(A200&lt;10, "00"&amp;A200, IF(A200&lt;100, "0"&amp;A200, A200))</formula>
    </cfRule>
  </conditionalFormatting>
  <conditionalFormatting sqref="A206">
    <cfRule type="expression" priority="1146">
      <formula>IF(A203&lt;10, "00"&amp;A203, IF(A203&lt;100, "0"&amp;A203, A203))</formula>
    </cfRule>
  </conditionalFormatting>
  <conditionalFormatting sqref="A212">
    <cfRule type="expression" priority="1152">
      <formula>IF(A209&lt;10, "00"&amp;A209, IF(A209&lt;100, "0"&amp;A209, A209))</formula>
    </cfRule>
  </conditionalFormatting>
  <conditionalFormatting sqref="A215">
    <cfRule type="expression" priority="1156">
      <formula>IF(A212&lt;10, "00"&amp;A212, IF(A212&lt;100, "0"&amp;A212, A212))</formula>
    </cfRule>
  </conditionalFormatting>
  <conditionalFormatting sqref="A227">
    <cfRule type="expression" priority="1187">
      <formula>IF(A225&lt;10, "00"&amp;A225, IF(A225&lt;100, "0"&amp;A225, A225))</formula>
    </cfRule>
  </conditionalFormatting>
  <conditionalFormatting sqref="A230">
    <cfRule type="expression" priority="1209">
      <formula>IF(A227&lt;10, "00"&amp;A227, IF(A227&lt;100, "0"&amp;A227, A227))</formula>
    </cfRule>
  </conditionalFormatting>
  <conditionalFormatting sqref="A233">
    <cfRule type="expression" priority="1210">
      <formula>IF(A230&lt;10, "00"&amp;A230, IF(A230&lt;100, "0"&amp;A230, A230))</formula>
    </cfRule>
  </conditionalFormatting>
  <conditionalFormatting sqref="A236">
    <cfRule type="expression" priority="1211">
      <formula>IF(A233&lt;10, "00"&amp;A233, IF(A233&lt;100, "0"&amp;A233, A233))</formula>
    </cfRule>
  </conditionalFormatting>
  <conditionalFormatting sqref="A245">
    <cfRule type="expression" priority="1227">
      <formula>IF(A243&lt;10, "00"&amp;A243, IF(A243&lt;100, "0"&amp;A243, A243))</formula>
    </cfRule>
  </conditionalFormatting>
  <conditionalFormatting sqref="A248">
    <cfRule type="expression" priority="1232">
      <formula>IF(A246&lt;10, "00"&amp;A246, IF(A246&lt;100, "0"&amp;A246, A246))</formula>
    </cfRule>
  </conditionalFormatting>
  <conditionalFormatting sqref="A254">
    <cfRule type="expression" priority="1255">
      <formula>IF(A252&lt;10, "00"&amp;A252, IF(A252&lt;100, "0"&amp;A252, A252))</formula>
    </cfRule>
  </conditionalFormatting>
  <conditionalFormatting sqref="A263">
    <cfRule type="expression" priority="1251">
      <formula>IF(A261&lt;10, "00"&amp;A261, IF(A261&lt;100, "0"&amp;A261, A261))</formula>
    </cfRule>
  </conditionalFormatting>
  <conditionalFormatting sqref="A272">
    <cfRule type="expression" priority="1259">
      <formula>IF(A269&lt;10, "00"&amp;A269, IF(A269&lt;100, "0"&amp;A269, A269))</formula>
    </cfRule>
  </conditionalFormatting>
  <conditionalFormatting sqref="A290">
    <cfRule type="expression" priority="1264">
      <formula>IF(A288&lt;10, "00"&amp;A288, IF(A288&lt;100, "0"&amp;A288, A288))</formula>
    </cfRule>
  </conditionalFormatting>
  <conditionalFormatting sqref="A293">
    <cfRule type="expression" priority="1269">
      <formula>IF(A291&lt;10, "00"&amp;A291, IF(A291&lt;100, "0"&amp;A291, A291))</formula>
    </cfRule>
  </conditionalFormatting>
  <conditionalFormatting sqref="A296">
    <cfRule type="expression" priority="1274">
      <formula>IF(A294&lt;10, "00"&amp;A294, IF(A294&lt;100, "0"&amp;A294, A294))</formula>
    </cfRule>
  </conditionalFormatting>
  <conditionalFormatting sqref="A302">
    <cfRule type="expression" priority="1284">
      <formula>IF(A300&lt;10, "00"&amp;A300, IF(A300&lt;100, "0"&amp;A300, A300))</formula>
    </cfRule>
  </conditionalFormatting>
  <conditionalFormatting sqref="A311">
    <cfRule type="expression" priority="1299">
      <formula>IF(A309&lt;10, "00"&amp;A309, IF(A309&lt;100, "0"&amp;A309, A309))</formula>
    </cfRule>
  </conditionalFormatting>
  <conditionalFormatting sqref="A323">
    <cfRule type="expression" priority="1306">
      <formula>IF(A321&lt;10, "00"&amp;A321, IF(A321&lt;100, "0"&amp;A321, A321))</formula>
    </cfRule>
  </conditionalFormatting>
  <conditionalFormatting sqref="A326">
    <cfRule type="expression" priority="1311">
      <formula>IF(A324&lt;10, "00"&amp;A324, IF(A324&lt;100, "0"&amp;A324, A324))</formula>
    </cfRule>
  </conditionalFormatting>
  <conditionalFormatting sqref="A329">
    <cfRule type="expression" priority="1316">
      <formula>IF(A327&lt;10, "00"&amp;A327, IF(A327&lt;100, "0"&amp;A327, A327))</formula>
    </cfRule>
  </conditionalFormatting>
  <conditionalFormatting sqref="A338">
    <cfRule type="expression" priority="1321">
      <formula>IF(A336&lt;10, "00"&amp;A336, IF(A336&lt;100, "0"&amp;A336, A336))</formula>
    </cfRule>
  </conditionalFormatting>
  <conditionalFormatting sqref="A341">
    <cfRule type="expression" priority="1326">
      <formula>IF(A339&lt;10, "00"&amp;A339, IF(A339&lt;100, "0"&amp;A339, A339))</formula>
    </cfRule>
  </conditionalFormatting>
  <conditionalFormatting sqref="A344">
    <cfRule type="expression" priority="1331">
      <formula>IF(A342&lt;10, "00"&amp;A342, IF(A342&lt;100, "0"&amp;A342, A342))</formula>
    </cfRule>
  </conditionalFormatting>
  <conditionalFormatting sqref="A347">
    <cfRule type="expression" priority="1336">
      <formula>IF(A345&lt;10, "00"&amp;A345, IF(A345&lt;100, "0"&amp;A345, A345))</formula>
    </cfRule>
  </conditionalFormatting>
  <conditionalFormatting sqref="A356">
    <cfRule type="expression" priority="1343">
      <formula>IF(A354&lt;10, "00"&amp;A354, IF(A354&lt;100, "0"&amp;A354, A354))</formula>
    </cfRule>
  </conditionalFormatting>
  <conditionalFormatting sqref="A359">
    <cfRule type="expression" priority="1347">
      <formula>IF(A356&lt;10, "00"&amp;A356, IF(A356&lt;100, "0"&amp;A356, A356))</formula>
    </cfRule>
  </conditionalFormatting>
  <conditionalFormatting sqref="A371">
    <cfRule type="expression" priority="1371">
      <formula>IF(A369&lt;10, "00"&amp;A369, IF(A369&lt;100, "0"&amp;A369, A369))</formula>
    </cfRule>
  </conditionalFormatting>
  <conditionalFormatting sqref="A377">
    <cfRule type="expression" priority="1381">
      <formula>IF(A375&lt;10, "00"&amp;A375, IF(A375&lt;100, "0"&amp;A375, A375))</formula>
    </cfRule>
  </conditionalFormatting>
  <conditionalFormatting sqref="A383">
    <cfRule type="expression" priority="1387">
      <formula>IF(A380&lt;10, "00"&amp;A380, IF(A380&lt;100, "0"&amp;A380, A380))</formula>
    </cfRule>
  </conditionalFormatting>
  <conditionalFormatting sqref="A386">
    <cfRule type="expression" priority="1393">
      <formula>IF(A384&lt;10, "00"&amp;A384, IF(A384&lt;100, "0"&amp;A384, A384))</formula>
    </cfRule>
  </conditionalFormatting>
  <conditionalFormatting sqref="A389">
    <cfRule type="expression" priority="1398">
      <formula>IF(A387&lt;10, "00"&amp;A387, IF(A387&lt;100, "0"&amp;A387, A387))</formula>
    </cfRule>
  </conditionalFormatting>
  <conditionalFormatting sqref="A392">
    <cfRule type="expression" priority="1403">
      <formula>IF(A390&lt;10, "00"&amp;A390, IF(A390&lt;100, "0"&amp;A390, A390))</formula>
    </cfRule>
  </conditionalFormatting>
  <conditionalFormatting sqref="A395">
    <cfRule type="expression" priority="1408">
      <formula>IF(A393&lt;10, "00"&amp;A393, IF(A393&lt;100, "0"&amp;A393, A393))</formula>
    </cfRule>
  </conditionalFormatting>
  <conditionalFormatting sqref="A398">
    <cfRule type="expression" priority="1412">
      <formula>IF(A395&lt;10, "00"&amp;A395, IF(A395&lt;100, "0"&amp;A395, A395))</formula>
    </cfRule>
  </conditionalFormatting>
  <conditionalFormatting sqref="A401">
    <cfRule type="expression" priority="1416">
      <formula>IF(A398&lt;10, "00"&amp;A398, IF(A398&lt;100, "0"&amp;A398, A398))</formula>
    </cfRule>
  </conditionalFormatting>
  <conditionalFormatting sqref="A407">
    <cfRule type="expression" priority="1426">
      <formula>IF(A404&lt;10, "00"&amp;A404, IF(A404&lt;100, "0"&amp;A404, A404))</formula>
    </cfRule>
  </conditionalFormatting>
  <conditionalFormatting sqref="A410">
    <cfRule type="expression" priority="1427">
      <formula>IF(A407&lt;10, "00"&amp;A407, IF(A407&lt;100, "0"&amp;A407, A407))</formula>
    </cfRule>
  </conditionalFormatting>
  <conditionalFormatting sqref="A419">
    <cfRule type="expression" priority="1434">
      <formula>IF(A416&lt;10, "00"&amp;A416, IF(A416&lt;100, "0"&amp;A416, A416))</formula>
    </cfRule>
  </conditionalFormatting>
  <conditionalFormatting sqref="A422">
    <cfRule type="expression" priority="1438">
      <formula>IF(A419&lt;10, "00"&amp;A419, IF(A419&lt;100, "0"&amp;A419, A419))</formula>
    </cfRule>
  </conditionalFormatting>
  <conditionalFormatting sqref="A453">
    <cfRule type="expression" priority="1474">
      <formula>IF(A452&lt;10, "00"&amp;A452, IF(A452&lt;100, "0"&amp;A452, A452))</formula>
    </cfRule>
  </conditionalFormatting>
  <conditionalFormatting sqref="A455">
    <cfRule type="expression" priority="1478">
      <formula>IF(A453&lt;10, "00"&amp;A453, IF(A453&lt;100, "0"&amp;A453, A453))</formula>
    </cfRule>
  </conditionalFormatting>
  <conditionalFormatting sqref="A461">
    <cfRule type="expression" priority="1490">
      <formula>IF(A459&lt;10, "00"&amp;A459, IF(A459&lt;100, "0"&amp;A459, A459))</formula>
    </cfRule>
  </conditionalFormatting>
  <conditionalFormatting sqref="A479">
    <cfRule type="expression" priority="1497">
      <formula>IF(A477&lt;10, "00"&amp;A477, IF(A477&lt;100, "0"&amp;A477, A477))</formula>
    </cfRule>
  </conditionalFormatting>
  <conditionalFormatting sqref="A491">
    <cfRule type="expression" priority="1527">
      <formula>IF(A488&lt;10, "00"&amp;A488, IF(A488&lt;100, "0"&amp;A488, A488))</formula>
    </cfRule>
  </conditionalFormatting>
  <conditionalFormatting sqref="A497">
    <cfRule type="expression" priority="1537">
      <formula>IF(A495&lt;10, "00"&amp;A495, IF(A495&lt;100, "0"&amp;A495, A495))</formula>
    </cfRule>
  </conditionalFormatting>
  <conditionalFormatting sqref="A503">
    <cfRule type="expression" priority="1559">
      <formula>IF(A500&lt;10, "00"&amp;A500, IF(A500&lt;100, "0"&amp;A500, A500))</formula>
    </cfRule>
  </conditionalFormatting>
  <conditionalFormatting sqref="A506">
    <cfRule type="expression" priority="1560">
      <formula>IF(A503&lt;10, "00"&amp;A503, IF(A503&lt;100, "0"&amp;A503, A503))</formula>
    </cfRule>
  </conditionalFormatting>
  <conditionalFormatting sqref="A509">
    <cfRule type="expression" priority="1569">
      <formula>IF(A506&lt;10, "00"&amp;A506, IF(A506&lt;100, "0"&amp;A506, A506))</formula>
    </cfRule>
  </conditionalFormatting>
  <conditionalFormatting sqref="A512">
    <cfRule type="expression" priority="1573">
      <formula>IF(A509&lt;10, "00"&amp;A509, IF(A509&lt;100, "0"&amp;A509, A509))</formula>
    </cfRule>
  </conditionalFormatting>
  <conditionalFormatting sqref="A518">
    <cfRule type="expression" priority="1583">
      <formula>IF(A516&lt;10, "00"&amp;A516, IF(A516&lt;100, "0"&amp;A516, A516))</formula>
    </cfRule>
  </conditionalFormatting>
  <conditionalFormatting sqref="A521">
    <cfRule type="expression" priority="1588">
      <formula>IF(A519&lt;10, "00"&amp;A519, IF(A519&lt;100, "0"&amp;A519, A519))</formula>
    </cfRule>
  </conditionalFormatting>
  <conditionalFormatting sqref="A524">
    <cfRule type="expression" priority="1593">
      <formula>IF(A522&lt;10, "00"&amp;A522, IF(A522&lt;100, "0"&amp;A522, A522))</formula>
    </cfRule>
  </conditionalFormatting>
  <conditionalFormatting sqref="A530">
    <cfRule type="expression" priority="1605">
      <formula>IF(A527&lt;10, "00"&amp;A527, IF(A527&lt;100, "0"&amp;A527, A527))</formula>
    </cfRule>
  </conditionalFormatting>
  <conditionalFormatting sqref="A533">
    <cfRule type="expression" priority="1611">
      <formula>IF(A531&lt;10, "00"&amp;A531, IF(A531&lt;100, "0"&amp;A531, A531))</formula>
    </cfRule>
  </conditionalFormatting>
  <conditionalFormatting sqref="A542">
    <cfRule type="expression" priority="1632">
      <formula>IF(A540&lt;10, "00"&amp;A540, IF(A540&lt;100, "0"&amp;A540, A540))</formula>
    </cfRule>
  </conditionalFormatting>
  <conditionalFormatting sqref="A545">
    <cfRule type="expression" priority="1638">
      <formula>IF(A543&lt;10, "00"&amp;A543, IF(A543&lt;100, "0"&amp;A543, A543))</formula>
    </cfRule>
  </conditionalFormatting>
  <conditionalFormatting sqref="A551">
    <cfRule type="expression" priority="1650">
      <formula>IF(A548&lt;10, "00"&amp;A548, IF(A548&lt;100, "0"&amp;A548, A548))</formula>
    </cfRule>
  </conditionalFormatting>
  <conditionalFormatting sqref="A554">
    <cfRule type="expression" priority="1659">
      <formula>IF(A551&lt;10, "00"&amp;A551, IF(A551&lt;100, "0"&amp;A551, A551))</formula>
    </cfRule>
  </conditionalFormatting>
  <conditionalFormatting sqref="A557">
    <cfRule type="expression" priority="1663">
      <formula>IF(A554&lt;10, "00"&amp;A554, IF(A554&lt;100, "0"&amp;A554, A554))</formula>
    </cfRule>
  </conditionalFormatting>
  <conditionalFormatting sqref="A566">
    <cfRule type="expression" priority="1668">
      <formula>IF(A564&lt;10, "00"&amp;A564, IF(A564&lt;100, "0"&amp;A564, A564))</formula>
    </cfRule>
  </conditionalFormatting>
  <conditionalFormatting sqref="A569">
    <cfRule type="expression" priority="1673">
      <formula>IF(A567&lt;10, "00"&amp;A567, IF(A567&lt;100, "0"&amp;A567, A567))</formula>
    </cfRule>
  </conditionalFormatting>
  <conditionalFormatting sqref="A572">
    <cfRule type="expression" priority="1678">
      <formula>IF(A570&lt;10, "00"&amp;A570, IF(A570&lt;100, "0"&amp;A570, A570))</formula>
    </cfRule>
  </conditionalFormatting>
  <conditionalFormatting sqref="A575">
    <cfRule type="expression" priority="1683">
      <formula>IF(A573&lt;10, "00"&amp;A573, IF(A573&lt;100, "0"&amp;A573, A573))</formula>
    </cfRule>
  </conditionalFormatting>
  <conditionalFormatting sqref="A578">
    <cfRule type="expression" priority="1687">
      <formula>IF(A575&lt;10, "00"&amp;A575, IF(A575&lt;100, "0"&amp;A575, A575))</formula>
    </cfRule>
  </conditionalFormatting>
  <conditionalFormatting sqref="A584">
    <cfRule type="expression" priority="1692">
      <formula>IF(A582&lt;10, "00"&amp;A582, IF(A582&lt;100, "0"&amp;A582, A582))</formula>
    </cfRule>
  </conditionalFormatting>
  <conditionalFormatting sqref="A590">
    <cfRule type="expression" priority="1701">
      <formula>IF(A587&lt;10, "00"&amp;A587, IF(A587&lt;100, "0"&amp;A587, A587))</formula>
    </cfRule>
  </conditionalFormatting>
  <conditionalFormatting sqref="A593">
    <cfRule type="expression" priority="1706">
      <formula>IF(A591&lt;10, "00"&amp;A591, IF(A591&lt;100, "0"&amp;A591, A591))</formula>
    </cfRule>
  </conditionalFormatting>
  <conditionalFormatting sqref="A596">
    <cfRule type="expression" priority="1710">
      <formula>IF(A593&lt;10, "00"&amp;A593, IF(A593&lt;100, "0"&amp;A593, A593))</formula>
    </cfRule>
  </conditionalFormatting>
  <conditionalFormatting sqref="A598">
    <cfRule type="expression" priority="1719">
      <formula>IF(A596&lt;10, "00"&amp;A596, IF(A596&lt;100, "0"&amp;A596, A596))</formula>
    </cfRule>
  </conditionalFormatting>
  <conditionalFormatting sqref="A602">
    <cfRule type="expression" priority="1720">
      <formula>IF(A600&lt;10, "00"&amp;A600, IF(A600&lt;100, "0"&amp;A600, A600))</formula>
    </cfRule>
  </conditionalFormatting>
  <conditionalFormatting sqref="A614">
    <cfRule type="expression" priority="1738">
      <formula>IF(A611&lt;10, "00"&amp;A611, IF(A611&lt;100, "0"&amp;A611, A611))</formula>
    </cfRule>
  </conditionalFormatting>
  <conditionalFormatting sqref="A617">
    <cfRule type="expression" priority="1742">
      <formula>IF(A614&lt;10, "00"&amp;A614, IF(A614&lt;100, "0"&amp;A614, A614))</formula>
    </cfRule>
  </conditionalFormatting>
  <conditionalFormatting sqref="A629">
    <cfRule type="expression" priority="1753">
      <formula>IF(A626&lt;10, "00"&amp;A626, IF(A626&lt;100, "0"&amp;A626, A626))</formula>
    </cfRule>
  </conditionalFormatting>
  <conditionalFormatting sqref="A632">
    <cfRule type="expression" priority="1757">
      <formula>IF(A629&lt;10, "00"&amp;A629, IF(A629&lt;100, "0"&amp;A629, A629))</formula>
    </cfRule>
  </conditionalFormatting>
  <conditionalFormatting sqref="A638">
    <cfRule type="expression" priority="1769">
      <formula>IF(A635&lt;10, "00"&amp;A635, IF(A635&lt;100, "0"&amp;A635, A635))</formula>
    </cfRule>
  </conditionalFormatting>
  <conditionalFormatting sqref="A641">
    <cfRule type="expression" priority="1778">
      <formula>IF(A638&lt;10, "00"&amp;A638, IF(A638&lt;100, "0"&amp;A638, A638))</formula>
    </cfRule>
  </conditionalFormatting>
  <conditionalFormatting sqref="A644">
    <cfRule type="expression" priority="1790">
      <formula>IF(A641&lt;10, "00"&amp;A641, IF(A641&lt;100, "0"&amp;A641, A641))</formula>
    </cfRule>
  </conditionalFormatting>
  <conditionalFormatting sqref="A647">
    <cfRule type="expression" priority="1791">
      <formula>IF(A644&lt;10, "00"&amp;A644, IF(A644&lt;100, "0"&amp;A644, A644))</formula>
    </cfRule>
  </conditionalFormatting>
  <conditionalFormatting sqref="A650">
    <cfRule type="expression" priority="1795">
      <formula>IF(A647&lt;10, "00"&amp;A647, IF(A647&lt;100, "0"&amp;A647, A647))</formula>
    </cfRule>
  </conditionalFormatting>
  <conditionalFormatting sqref="A653">
    <cfRule type="expression" priority="1797">
      <formula>IF(A650&lt;10, "00"&amp;A650, IF(A650&lt;100, "0"&amp;A650, A650))</formula>
    </cfRule>
  </conditionalFormatting>
  <conditionalFormatting sqref="A668">
    <cfRule type="expression" priority="1804">
      <formula>IF(A666&lt;10, "00"&amp;A666, IF(A666&lt;100, "0"&amp;A666, A666))</formula>
    </cfRule>
  </conditionalFormatting>
  <conditionalFormatting sqref="A671">
    <cfRule type="expression" priority="1809">
      <formula>IF(A669&lt;10, "00"&amp;A669, IF(A669&lt;100, "0"&amp;A669, A669))</formula>
    </cfRule>
  </conditionalFormatting>
  <conditionalFormatting sqref="A690">
    <cfRule type="expression" priority="1818">
      <formula>IF(A689&lt;10, "00"&amp;A689, IF(A689&lt;100, "0"&amp;A689, A689))</formula>
    </cfRule>
  </conditionalFormatting>
  <conditionalFormatting sqref="A692">
    <cfRule type="expression" priority="1822">
      <formula>IF(A690&lt;10, "00"&amp;A690, IF(A690&lt;100, "0"&amp;A690, A690))</formula>
    </cfRule>
  </conditionalFormatting>
  <conditionalFormatting sqref="A695">
    <cfRule type="expression" priority="1827">
      <formula>IF(A693&lt;10, "00"&amp;A693, IF(A693&lt;100, "0"&amp;A693, A693))</formula>
    </cfRule>
  </conditionalFormatting>
  <conditionalFormatting sqref="A698">
    <cfRule type="expression" priority="1832">
      <formula>IF(A696&lt;10, "00"&amp;A696, IF(A696&lt;100, "0"&amp;A696, A696))</formula>
    </cfRule>
  </conditionalFormatting>
  <conditionalFormatting sqref="A701">
    <cfRule type="expression" priority="1837">
      <formula>IF(A699&lt;10, "00"&amp;A699, IF(A699&lt;100, "0"&amp;A699, A699))</formula>
    </cfRule>
  </conditionalFormatting>
  <conditionalFormatting sqref="A704">
    <cfRule type="expression" priority="1842">
      <formula>IF(A702&lt;10, "00"&amp;A702, IF(A702&lt;100, "0"&amp;A702, A702))</formula>
    </cfRule>
  </conditionalFormatting>
  <conditionalFormatting sqref="A710">
    <cfRule type="expression" priority="1848">
      <formula>IF(A708&lt;10, "00"&amp;A708, IF(A708&lt;100, "0"&amp;A708, A708))</formula>
    </cfRule>
  </conditionalFormatting>
  <conditionalFormatting sqref="A713">
    <cfRule type="expression" priority="1853">
      <formula>IF(A711&lt;10, "00"&amp;A711, IF(A711&lt;100, "0"&amp;A711, A711))</formula>
    </cfRule>
  </conditionalFormatting>
  <conditionalFormatting sqref="A716">
    <cfRule type="expression" priority="1857">
      <formula>IF(A713&lt;10, "00"&amp;A713, IF(A713&lt;100, "0"&amp;A713, A713))</formula>
    </cfRule>
  </conditionalFormatting>
  <conditionalFormatting sqref="A719">
    <cfRule type="expression" priority="1861">
      <formula>IF(A716&lt;10, "00"&amp;A716, IF(A716&lt;100, "0"&amp;A716, A716))</formula>
    </cfRule>
  </conditionalFormatting>
  <conditionalFormatting sqref="A728">
    <cfRule type="expression" priority="1866">
      <formula>IF(A726&lt;10, "00"&amp;A726, IF(A726&lt;100, "0"&amp;A726, A726))</formula>
    </cfRule>
  </conditionalFormatting>
  <conditionalFormatting sqref="A731">
    <cfRule type="expression" priority="1871">
      <formula>IF(A729&lt;10, "00"&amp;A729, IF(A729&lt;100, "0"&amp;A729, A729))</formula>
    </cfRule>
  </conditionalFormatting>
  <conditionalFormatting sqref="A734">
    <cfRule type="expression" priority="1876">
      <formula>IF(A732&lt;10, "00"&amp;A732, IF(A732&lt;100, "0"&amp;A732, A732))</formula>
    </cfRule>
  </conditionalFormatting>
  <conditionalFormatting sqref="A737">
    <cfRule type="expression" priority="1880">
      <formula>IF(A734&lt;10, "00"&amp;A734, IF(A734&lt;100, "0"&amp;A734, A734))</formula>
    </cfRule>
  </conditionalFormatting>
  <conditionalFormatting sqref="A746">
    <cfRule type="expression" priority="1887">
      <formula>IF(A743&lt;10, "00"&amp;A743, IF(A743&lt;100, "0"&amp;A743, A743))</formula>
    </cfRule>
  </conditionalFormatting>
  <conditionalFormatting sqref="A750">
    <cfRule type="expression" priority="1894">
      <formula>IF(A749&lt;10, "00"&amp;A749, IF(A749&lt;100, "0"&amp;A749, A749))</formula>
    </cfRule>
  </conditionalFormatting>
  <conditionalFormatting sqref="A753">
    <cfRule type="expression" priority="1903">
      <formula>IF(A750&lt;10, "00"&amp;A750, IF(A750&lt;100, "0"&amp;A750, A750))</formula>
    </cfRule>
  </conditionalFormatting>
  <conditionalFormatting sqref="A756">
    <cfRule type="expression" priority="1904">
      <formula>IF(A753&lt;10, "00"&amp;A753, IF(A753&lt;100, "0"&amp;A753, A753))</formula>
    </cfRule>
  </conditionalFormatting>
  <conditionalFormatting sqref="A762">
    <cfRule type="expression" priority="1908">
      <formula>IF(A759&lt;10, "00"&amp;A759, IF(A759&lt;100, "0"&amp;A759, A759))</formula>
    </cfRule>
  </conditionalFormatting>
  <conditionalFormatting sqref="A765">
    <cfRule type="expression" priority="1912">
      <formula>IF(A762&lt;10, "00"&amp;A762, IF(A762&lt;100, "0"&amp;A762, A762))</formula>
    </cfRule>
  </conditionalFormatting>
  <conditionalFormatting sqref="A768">
    <cfRule type="expression" priority="1926">
      <formula>IF(A765&lt;10, "00"&amp;A765, IF(A765&lt;100, "0"&amp;A765, A765))</formula>
    </cfRule>
  </conditionalFormatting>
  <conditionalFormatting sqref="A771">
    <cfRule type="expression" priority="1930">
      <formula>IF(A768&lt;10, "00"&amp;A768, IF(A768&lt;100, "0"&amp;A768, A768))</formula>
    </cfRule>
  </conditionalFormatting>
  <conditionalFormatting sqref="A780">
    <cfRule type="expression" priority="1934">
      <formula>IF(A777&lt;10, "00"&amp;A777, IF(A777&lt;100, "0"&amp;A777, A777))</formula>
    </cfRule>
  </conditionalFormatting>
  <conditionalFormatting sqref="A786">
    <cfRule type="expression" priority="1944">
      <formula>IF(A780&lt;10, "00"&amp;A780, IF(A780&lt;100, "0"&amp;A780, A780))</formula>
    </cfRule>
  </conditionalFormatting>
  <conditionalFormatting sqref="A789">
    <cfRule type="expression" priority="1917">
      <formula>IF(A765&lt;10, "00"&amp;A765, IF(A765&lt;100, "0"&amp;A765, A765))</formula>
    </cfRule>
  </conditionalFormatting>
  <conditionalFormatting sqref="A790:A793 A798:A801 A803">
    <cfRule type="expression" priority="6">
      <formula>IF(A789&lt;10, "00"&amp;A789, IF(A789&lt;100, "0"&amp;A789, A789))</formula>
    </cfRule>
  </conditionalFormatting>
  <conditionalFormatting sqref="A794">
    <cfRule type="expression" priority="8">
      <formula>IF(#REF!&lt;10, "00"&amp;#REF!, IF(#REF!&lt;100, "0"&amp;#REF!, #REF!))</formula>
    </cfRule>
  </conditionalFormatting>
  <conditionalFormatting sqref="A795">
    <cfRule type="expression" priority="2">
      <formula>IF(A794&lt;10, "00"&amp;A794, IF(A794&lt;100, "0"&amp;A794, A794))</formula>
    </cfRule>
  </conditionalFormatting>
  <conditionalFormatting sqref="A797">
    <cfRule type="expression" priority="10">
      <formula>IF(A803&lt;10, "00"&amp;A803, IF(A803&lt;100, "0"&amp;A803, A803))</formula>
    </cfRule>
  </conditionalFormatting>
  <conditionalFormatting sqref="A802">
    <cfRule type="expression" priority="9">
      <formula>IF(A793&lt;10, "00"&amp;A793, IF(A793&lt;100, "0"&amp;A793, A793))</formula>
    </cfRule>
  </conditionalFormatting>
  <conditionalFormatting sqref="A804">
    <cfRule type="expression" priority="1062">
      <formula>IF(#REF!&lt;10, "00"&amp;#REF!, IF(#REF!&lt;100, "0"&amp;#REF!, #REF!))</formula>
    </cfRule>
  </conditionalFormatting>
  <conditionalFormatting sqref="B1:B21 B23:B24 B26:B30 B32:B42 B44:B52 B54 B56:B57 B59:B60 B62:B63 B65:B66 B68:B69 B71:B75 B77:B79 B81 B83:B93 B95:B99 B101 B103 B105 B107:B111 B113:B114 B116:B117 B119:B120 B122:B123 B125:B129 B131:B132 B134:B135 B137:B138 B140:B141 B143:B144 B146 B149 B151 B153 B155:B156 B158:B159 B161:B168 B170 B173:B177 B179:B180 B182:B183 B185 B187 B189 B191:B192 B194:B200 B203 B206:B207 B209 B212 B215:B216 B219 B222 B225 B227 B230 B233 B236:B240 B242:B243 B245:B246 B248 B250 B252 B254 B257 B259 B261 B263:B266 B269 B272:B282 B284:B285 B287:B288 B290:B291 B293:B294 B296:B300 B302:B309 B311:B315 B317:B318 B320:B321 B323:B324 B326:B327 B329:B330 B332 B335:B336 B338:B339 B341:B342 B344:B345 B347:B348 B350:B351 B353:B354 B356 B359 B362:B363 B365:B369 B371:B375 B377:B378 B380 B383:B384 B386:B387 B389:B390 B392:B393 B395 B398 B401 B404 B407 B410:B413 B416 B419 B422:B432 B434:B437 B439:B450 B452:B453 B455:B457 B459 B461:B462 B464:B465 B467:B477 B479:B480 B482:B483 B485 B488 B491:B495 B497:B498 B500 B503 B506 B509 B512:B516 B518:B519 B521:B522 B524:B525 B527 B530:B531 B533 B536:B540 B542:B543 B545 B548 B551 B554 B557:B558 B560:B561 B563:B564 B566:B567 B569:B570 B572:B573 B575 B578 B581:B582 B584:B587 B590:B591 B593 B596 B598 B600 B602:B605 B607 B609 B611 B614 B617:B623 B626 B629 B632 B635 B638 B641 B644 B647 B650 B653:B666 B668:B669 B671:B675 B677:B678 B680:B684 B686 B689:B690 B692:B693 B695:B696 B698:B699 B701:B702 B704:B705 B707:B708 B710:B711 B713 B716 B719:B723 B725:B726 B728:B729 B731:B732 B734 B737:B738 B740:B741 B743 B746 B749:B750 B753 B756 B759 B762 B765 B768 B771 B774 B777 B780 B783 B786:B1048576">
    <cfRule type="notContainsBlanks" dxfId="484" priority="1">
      <formula>LEN(TRIM(B1))&gt;0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98E80-A30F-4CAC-98FC-BCEC55BA9709}">
  <sheetPr>
    <tabColor rgb="FFB24542"/>
  </sheetPr>
  <dimension ref="A1:AQ575"/>
  <sheetViews>
    <sheetView workbookViewId="0">
      <selection activeCell="F11" sqref="F11"/>
    </sheetView>
  </sheetViews>
  <sheetFormatPr defaultRowHeight="15" x14ac:dyDescent="0.25"/>
  <cols>
    <col min="1" max="1" width="15" style="15" bestFit="1" customWidth="1"/>
    <col min="2" max="2" width="20.140625" style="16" bestFit="1" customWidth="1"/>
  </cols>
  <sheetData>
    <row r="1" spans="1:43" ht="15.75" x14ac:dyDescent="0.25">
      <c r="A1" s="1" t="s">
        <v>0</v>
      </c>
      <c r="B1" s="2" t="s">
        <v>1</v>
      </c>
      <c r="C1" s="11" t="s">
        <v>741</v>
      </c>
      <c r="D1" s="11" t="s">
        <v>1377</v>
      </c>
      <c r="E1" s="11" t="s">
        <v>741</v>
      </c>
      <c r="F1" s="11" t="s">
        <v>1377</v>
      </c>
      <c r="G1" s="11" t="s">
        <v>741</v>
      </c>
      <c r="H1" s="11" t="s">
        <v>1377</v>
      </c>
      <c r="I1" s="11" t="s">
        <v>741</v>
      </c>
      <c r="J1" s="11" t="s">
        <v>1377</v>
      </c>
      <c r="K1" s="11" t="s">
        <v>741</v>
      </c>
      <c r="L1" s="11" t="s">
        <v>1377</v>
      </c>
      <c r="M1" s="11" t="s">
        <v>741</v>
      </c>
      <c r="N1" s="11" t="s">
        <v>1377</v>
      </c>
      <c r="O1" s="11" t="s">
        <v>741</v>
      </c>
      <c r="P1" s="11" t="s">
        <v>1377</v>
      </c>
      <c r="Q1" s="11" t="s">
        <v>741</v>
      </c>
      <c r="R1" s="11" t="s">
        <v>1377</v>
      </c>
      <c r="S1" s="11" t="s">
        <v>741</v>
      </c>
      <c r="T1" s="11" t="s">
        <v>1377</v>
      </c>
      <c r="U1" s="11" t="s">
        <v>741</v>
      </c>
      <c r="V1" s="11" t="s">
        <v>1377</v>
      </c>
      <c r="W1" s="11" t="s">
        <v>741</v>
      </c>
      <c r="X1" s="11" t="s">
        <v>1377</v>
      </c>
      <c r="Y1" s="11" t="s">
        <v>741</v>
      </c>
      <c r="Z1" s="11" t="s">
        <v>1377</v>
      </c>
      <c r="AA1" s="11" t="s">
        <v>741</v>
      </c>
      <c r="AB1" s="11" t="s">
        <v>1377</v>
      </c>
      <c r="AC1" s="11" t="s">
        <v>741</v>
      </c>
      <c r="AD1" s="11" t="s">
        <v>1377</v>
      </c>
      <c r="AE1" s="11" t="s">
        <v>741</v>
      </c>
      <c r="AF1" s="11" t="s">
        <v>1377</v>
      </c>
      <c r="AG1" s="11" t="s">
        <v>741</v>
      </c>
      <c r="AH1" s="11" t="s">
        <v>1377</v>
      </c>
      <c r="AI1" s="11" t="s">
        <v>741</v>
      </c>
      <c r="AJ1" s="11" t="s">
        <v>1377</v>
      </c>
      <c r="AK1" s="11" t="s">
        <v>741</v>
      </c>
      <c r="AL1" s="11" t="s">
        <v>1377</v>
      </c>
      <c r="AM1" s="11" t="s">
        <v>741</v>
      </c>
      <c r="AN1" s="11" t="s">
        <v>1377</v>
      </c>
      <c r="AO1" s="11" t="s">
        <v>741</v>
      </c>
      <c r="AP1" s="11" t="s">
        <v>1377</v>
      </c>
      <c r="AQ1" s="11" t="s">
        <v>741</v>
      </c>
    </row>
    <row r="2" spans="1:43" x14ac:dyDescent="0.25">
      <c r="A2" s="4">
        <v>1</v>
      </c>
      <c r="B2" s="5" t="s">
        <v>13</v>
      </c>
    </row>
    <row r="3" spans="1:43" x14ac:dyDescent="0.25">
      <c r="A3" s="4">
        <v>2</v>
      </c>
      <c r="B3" s="5" t="s">
        <v>18</v>
      </c>
    </row>
    <row r="4" spans="1:43" x14ac:dyDescent="0.25">
      <c r="A4" s="4">
        <v>3</v>
      </c>
      <c r="B4" s="5" t="s">
        <v>19</v>
      </c>
    </row>
    <row r="5" spans="1:43" x14ac:dyDescent="0.25">
      <c r="A5" s="4">
        <v>4</v>
      </c>
      <c r="B5" s="5" t="s">
        <v>20</v>
      </c>
    </row>
    <row r="6" spans="1:43" x14ac:dyDescent="0.25">
      <c r="A6" s="4">
        <v>5</v>
      </c>
      <c r="B6" s="5" t="s">
        <v>24</v>
      </c>
    </row>
    <row r="7" spans="1:43" x14ac:dyDescent="0.25">
      <c r="A7" s="4">
        <v>6</v>
      </c>
      <c r="B7" s="8" t="s">
        <v>25</v>
      </c>
    </row>
    <row r="8" spans="1:43" x14ac:dyDescent="0.25">
      <c r="A8" s="4">
        <v>7</v>
      </c>
      <c r="B8" s="5" t="s">
        <v>27</v>
      </c>
    </row>
    <row r="9" spans="1:43" x14ac:dyDescent="0.25">
      <c r="A9" s="4">
        <v>8</v>
      </c>
      <c r="B9" s="5" t="s">
        <v>31</v>
      </c>
    </row>
    <row r="10" spans="1:43" x14ac:dyDescent="0.25">
      <c r="A10" s="4">
        <v>9</v>
      </c>
      <c r="B10" s="5" t="s">
        <v>32</v>
      </c>
    </row>
    <row r="11" spans="1:43" x14ac:dyDescent="0.25">
      <c r="A11" s="4">
        <v>10</v>
      </c>
      <c r="B11" s="5" t="s">
        <v>33</v>
      </c>
    </row>
    <row r="12" spans="1:43" x14ac:dyDescent="0.25">
      <c r="A12" s="4">
        <v>11</v>
      </c>
      <c r="B12" s="5" t="s">
        <v>35</v>
      </c>
    </row>
    <row r="13" spans="1:43" x14ac:dyDescent="0.25">
      <c r="A13" s="4">
        <v>12</v>
      </c>
      <c r="B13" s="5" t="s">
        <v>36</v>
      </c>
    </row>
    <row r="14" spans="1:43" x14ac:dyDescent="0.25">
      <c r="A14" s="4">
        <v>13</v>
      </c>
      <c r="B14" s="5" t="s">
        <v>37</v>
      </c>
    </row>
    <row r="15" spans="1:43" x14ac:dyDescent="0.25">
      <c r="A15" s="4">
        <v>14</v>
      </c>
      <c r="B15" s="5" t="s">
        <v>38</v>
      </c>
    </row>
    <row r="16" spans="1:43" x14ac:dyDescent="0.25">
      <c r="A16" s="4">
        <v>15</v>
      </c>
      <c r="B16" s="5" t="s">
        <v>39</v>
      </c>
    </row>
    <row r="17" spans="1:2" x14ac:dyDescent="0.25">
      <c r="A17" s="4">
        <v>16</v>
      </c>
      <c r="B17" s="5" t="s">
        <v>40</v>
      </c>
    </row>
    <row r="18" spans="1:2" x14ac:dyDescent="0.25">
      <c r="A18" s="4">
        <v>17</v>
      </c>
      <c r="B18" s="5" t="s">
        <v>42</v>
      </c>
    </row>
    <row r="19" spans="1:2" x14ac:dyDescent="0.25">
      <c r="A19" s="4">
        <v>18</v>
      </c>
      <c r="B19" s="5" t="s">
        <v>43</v>
      </c>
    </row>
    <row r="20" spans="1:2" x14ac:dyDescent="0.25">
      <c r="A20" s="4">
        <v>19</v>
      </c>
      <c r="B20" s="5" t="s">
        <v>44</v>
      </c>
    </row>
    <row r="21" spans="1:2" x14ac:dyDescent="0.25">
      <c r="A21" s="4">
        <v>20</v>
      </c>
      <c r="B21" s="5" t="s">
        <v>45</v>
      </c>
    </row>
    <row r="22" spans="1:2" x14ac:dyDescent="0.25">
      <c r="A22" s="4">
        <v>21</v>
      </c>
      <c r="B22" s="5" t="s">
        <v>48</v>
      </c>
    </row>
    <row r="23" spans="1:2" x14ac:dyDescent="0.25">
      <c r="A23" s="4">
        <v>22</v>
      </c>
      <c r="B23" s="5" t="s">
        <v>49</v>
      </c>
    </row>
    <row r="24" spans="1:2" x14ac:dyDescent="0.25">
      <c r="A24" s="4">
        <v>23</v>
      </c>
      <c r="B24" s="5" t="s">
        <v>206</v>
      </c>
    </row>
    <row r="25" spans="1:2" x14ac:dyDescent="0.25">
      <c r="A25" s="4">
        <v>24</v>
      </c>
      <c r="B25" s="5" t="s">
        <v>50</v>
      </c>
    </row>
    <row r="26" spans="1:2" x14ac:dyDescent="0.25">
      <c r="A26" s="4">
        <v>25</v>
      </c>
      <c r="B26" s="5" t="s">
        <v>52</v>
      </c>
    </row>
    <row r="27" spans="1:2" x14ac:dyDescent="0.25">
      <c r="A27" s="4">
        <v>26</v>
      </c>
      <c r="B27" s="5" t="s">
        <v>53</v>
      </c>
    </row>
    <row r="28" spans="1:2" x14ac:dyDescent="0.25">
      <c r="A28" s="4">
        <v>27</v>
      </c>
      <c r="B28" s="5" t="s">
        <v>55</v>
      </c>
    </row>
    <row r="29" spans="1:2" x14ac:dyDescent="0.25">
      <c r="A29" s="4">
        <v>28</v>
      </c>
      <c r="B29" s="5" t="s">
        <v>56</v>
      </c>
    </row>
    <row r="30" spans="1:2" x14ac:dyDescent="0.25">
      <c r="A30" s="4">
        <v>29</v>
      </c>
      <c r="B30" s="5" t="s">
        <v>57</v>
      </c>
    </row>
    <row r="31" spans="1:2" x14ac:dyDescent="0.25">
      <c r="A31" s="4">
        <v>30</v>
      </c>
      <c r="B31" s="5" t="s">
        <v>58</v>
      </c>
    </row>
    <row r="32" spans="1:2" x14ac:dyDescent="0.25">
      <c r="A32" s="4">
        <v>31</v>
      </c>
      <c r="B32" s="5" t="s">
        <v>59</v>
      </c>
    </row>
    <row r="33" spans="1:2" x14ac:dyDescent="0.25">
      <c r="A33" s="4">
        <v>32</v>
      </c>
      <c r="B33" s="5" t="s">
        <v>60</v>
      </c>
    </row>
    <row r="34" spans="1:2" x14ac:dyDescent="0.25">
      <c r="A34" s="4">
        <v>33</v>
      </c>
      <c r="B34" s="5" t="s">
        <v>61</v>
      </c>
    </row>
    <row r="35" spans="1:2" x14ac:dyDescent="0.25">
      <c r="A35" s="4">
        <v>34</v>
      </c>
      <c r="B35" s="5" t="s">
        <v>207</v>
      </c>
    </row>
    <row r="36" spans="1:2" x14ac:dyDescent="0.25">
      <c r="A36" s="4">
        <v>35</v>
      </c>
      <c r="B36" s="5" t="s">
        <v>62</v>
      </c>
    </row>
    <row r="37" spans="1:2" x14ac:dyDescent="0.25">
      <c r="A37" s="4">
        <v>36</v>
      </c>
      <c r="B37" s="5" t="s">
        <v>63</v>
      </c>
    </row>
    <row r="38" spans="1:2" x14ac:dyDescent="0.25">
      <c r="A38" s="4">
        <v>37</v>
      </c>
      <c r="B38" s="5" t="s">
        <v>64</v>
      </c>
    </row>
    <row r="39" spans="1:2" x14ac:dyDescent="0.25">
      <c r="A39" s="4">
        <v>38</v>
      </c>
      <c r="B39" s="5" t="s">
        <v>65</v>
      </c>
    </row>
    <row r="40" spans="1:2" x14ac:dyDescent="0.25">
      <c r="A40" s="4">
        <v>39</v>
      </c>
      <c r="B40" s="5" t="s">
        <v>208</v>
      </c>
    </row>
    <row r="41" spans="1:2" x14ac:dyDescent="0.25">
      <c r="A41" s="4">
        <v>40</v>
      </c>
      <c r="B41" s="5" t="s">
        <v>66</v>
      </c>
    </row>
    <row r="42" spans="1:2" x14ac:dyDescent="0.25">
      <c r="A42" s="4">
        <v>41</v>
      </c>
      <c r="B42" s="5" t="s">
        <v>67</v>
      </c>
    </row>
    <row r="43" spans="1:2" x14ac:dyDescent="0.25">
      <c r="A43" s="4">
        <v>42</v>
      </c>
      <c r="B43" s="5" t="s">
        <v>68</v>
      </c>
    </row>
    <row r="44" spans="1:2" x14ac:dyDescent="0.25">
      <c r="A44" s="4">
        <v>43</v>
      </c>
      <c r="B44" s="5" t="s">
        <v>69</v>
      </c>
    </row>
    <row r="45" spans="1:2" x14ac:dyDescent="0.25">
      <c r="A45" s="4">
        <v>44</v>
      </c>
      <c r="B45" s="5" t="s">
        <v>203</v>
      </c>
    </row>
    <row r="46" spans="1:2" x14ac:dyDescent="0.25">
      <c r="A46" s="4">
        <v>45</v>
      </c>
      <c r="B46" s="5" t="s">
        <v>70</v>
      </c>
    </row>
    <row r="47" spans="1:2" x14ac:dyDescent="0.25">
      <c r="A47" s="4">
        <v>46</v>
      </c>
      <c r="B47" s="5" t="s">
        <v>71</v>
      </c>
    </row>
    <row r="48" spans="1:2" x14ac:dyDescent="0.25">
      <c r="A48" s="4">
        <v>47</v>
      </c>
      <c r="B48" s="5" t="s">
        <v>72</v>
      </c>
    </row>
    <row r="49" spans="1:2" x14ac:dyDescent="0.25">
      <c r="A49" s="4">
        <v>48</v>
      </c>
      <c r="B49" s="5" t="s">
        <v>216</v>
      </c>
    </row>
    <row r="50" spans="1:2" x14ac:dyDescent="0.25">
      <c r="A50" s="4">
        <v>49</v>
      </c>
      <c r="B50" s="5" t="s">
        <v>73</v>
      </c>
    </row>
    <row r="51" spans="1:2" x14ac:dyDescent="0.25">
      <c r="A51" s="4">
        <v>50</v>
      </c>
      <c r="B51" s="5" t="s">
        <v>74</v>
      </c>
    </row>
    <row r="52" spans="1:2" x14ac:dyDescent="0.25">
      <c r="A52" s="4">
        <v>51</v>
      </c>
      <c r="B52" s="5" t="s">
        <v>75</v>
      </c>
    </row>
    <row r="53" spans="1:2" x14ac:dyDescent="0.25">
      <c r="A53" s="4">
        <v>52</v>
      </c>
      <c r="B53" s="5" t="s">
        <v>76</v>
      </c>
    </row>
    <row r="54" spans="1:2" x14ac:dyDescent="0.25">
      <c r="A54" s="4">
        <v>53</v>
      </c>
      <c r="B54" s="5" t="s">
        <v>77</v>
      </c>
    </row>
    <row r="55" spans="1:2" x14ac:dyDescent="0.25">
      <c r="A55" s="4">
        <v>54</v>
      </c>
      <c r="B55" s="5" t="s">
        <v>78</v>
      </c>
    </row>
    <row r="56" spans="1:2" x14ac:dyDescent="0.25">
      <c r="A56" s="4">
        <v>55</v>
      </c>
      <c r="B56" s="5" t="s">
        <v>79</v>
      </c>
    </row>
    <row r="57" spans="1:2" x14ac:dyDescent="0.25">
      <c r="A57" s="4">
        <v>56</v>
      </c>
      <c r="B57" s="5" t="s">
        <v>80</v>
      </c>
    </row>
    <row r="58" spans="1:2" x14ac:dyDescent="0.25">
      <c r="A58" s="4">
        <v>57</v>
      </c>
      <c r="B58" s="5" t="s">
        <v>81</v>
      </c>
    </row>
    <row r="59" spans="1:2" x14ac:dyDescent="0.25">
      <c r="A59" s="4">
        <v>58</v>
      </c>
      <c r="B59" s="5" t="s">
        <v>82</v>
      </c>
    </row>
    <row r="60" spans="1:2" x14ac:dyDescent="0.25">
      <c r="A60" s="4">
        <v>59</v>
      </c>
      <c r="B60" s="5" t="s">
        <v>83</v>
      </c>
    </row>
    <row r="61" spans="1:2" x14ac:dyDescent="0.25">
      <c r="A61" s="4">
        <v>60</v>
      </c>
      <c r="B61" s="5" t="s">
        <v>85</v>
      </c>
    </row>
    <row r="62" spans="1:2" x14ac:dyDescent="0.25">
      <c r="A62" s="4">
        <v>61</v>
      </c>
      <c r="B62" s="5" t="s">
        <v>958</v>
      </c>
    </row>
    <row r="63" spans="1:2" x14ac:dyDescent="0.25">
      <c r="A63" s="4">
        <v>62</v>
      </c>
      <c r="B63" s="5" t="s">
        <v>86</v>
      </c>
    </row>
    <row r="64" spans="1:2" x14ac:dyDescent="0.25">
      <c r="A64" s="4">
        <v>63</v>
      </c>
      <c r="B64" s="5" t="s">
        <v>87</v>
      </c>
    </row>
    <row r="65" spans="1:2" x14ac:dyDescent="0.25">
      <c r="A65" s="4">
        <v>64</v>
      </c>
      <c r="B65" s="5" t="s">
        <v>88</v>
      </c>
    </row>
    <row r="66" spans="1:2" x14ac:dyDescent="0.25">
      <c r="A66" s="4">
        <v>65</v>
      </c>
      <c r="B66" s="5" t="s">
        <v>89</v>
      </c>
    </row>
    <row r="67" spans="1:2" x14ac:dyDescent="0.25">
      <c r="A67" s="4">
        <v>66</v>
      </c>
      <c r="B67" s="5" t="s">
        <v>90</v>
      </c>
    </row>
    <row r="68" spans="1:2" x14ac:dyDescent="0.25">
      <c r="A68" s="4">
        <v>67</v>
      </c>
      <c r="B68" s="5" t="s">
        <v>220</v>
      </c>
    </row>
    <row r="69" spans="1:2" x14ac:dyDescent="0.25">
      <c r="A69" s="4">
        <v>68</v>
      </c>
      <c r="B69" s="5" t="s">
        <v>91</v>
      </c>
    </row>
    <row r="70" spans="1:2" x14ac:dyDescent="0.25">
      <c r="A70" s="4">
        <v>69</v>
      </c>
      <c r="B70" s="5" t="s">
        <v>93</v>
      </c>
    </row>
    <row r="71" spans="1:2" x14ac:dyDescent="0.25">
      <c r="A71" s="4">
        <v>70</v>
      </c>
      <c r="B71" s="5" t="s">
        <v>94</v>
      </c>
    </row>
    <row r="72" spans="1:2" x14ac:dyDescent="0.25">
      <c r="A72" s="4">
        <v>71</v>
      </c>
      <c r="B72" s="5" t="s">
        <v>95</v>
      </c>
    </row>
    <row r="73" spans="1:2" x14ac:dyDescent="0.25">
      <c r="A73" s="4">
        <v>72</v>
      </c>
      <c r="B73" s="5" t="s">
        <v>96</v>
      </c>
    </row>
    <row r="74" spans="1:2" x14ac:dyDescent="0.25">
      <c r="A74" s="4">
        <v>73</v>
      </c>
      <c r="B74" s="5" t="s">
        <v>97</v>
      </c>
    </row>
    <row r="75" spans="1:2" x14ac:dyDescent="0.25">
      <c r="A75" s="4">
        <v>74</v>
      </c>
      <c r="B75" s="5" t="s">
        <v>98</v>
      </c>
    </row>
    <row r="76" spans="1:2" x14ac:dyDescent="0.25">
      <c r="A76" s="4">
        <v>75</v>
      </c>
      <c r="B76" s="5" t="s">
        <v>99</v>
      </c>
    </row>
    <row r="77" spans="1:2" x14ac:dyDescent="0.25">
      <c r="A77" s="4">
        <v>76</v>
      </c>
      <c r="B77" s="5" t="s">
        <v>100</v>
      </c>
    </row>
    <row r="78" spans="1:2" x14ac:dyDescent="0.25">
      <c r="A78" s="4">
        <v>77</v>
      </c>
      <c r="B78" s="5" t="s">
        <v>101</v>
      </c>
    </row>
    <row r="79" spans="1:2" x14ac:dyDescent="0.25">
      <c r="A79" s="4">
        <v>78</v>
      </c>
      <c r="B79" s="5" t="s">
        <v>102</v>
      </c>
    </row>
    <row r="80" spans="1:2" x14ac:dyDescent="0.25">
      <c r="A80" s="4">
        <v>79</v>
      </c>
      <c r="B80" s="5" t="s">
        <v>103</v>
      </c>
    </row>
    <row r="81" spans="1:2" x14ac:dyDescent="0.25">
      <c r="A81" s="4">
        <v>80</v>
      </c>
      <c r="B81" s="5" t="s">
        <v>105</v>
      </c>
    </row>
    <row r="82" spans="1:2" x14ac:dyDescent="0.25">
      <c r="A82" s="4">
        <v>81</v>
      </c>
      <c r="B82" s="5" t="s">
        <v>106</v>
      </c>
    </row>
    <row r="83" spans="1:2" x14ac:dyDescent="0.25">
      <c r="A83" s="4">
        <v>82</v>
      </c>
      <c r="B83" s="5" t="s">
        <v>107</v>
      </c>
    </row>
    <row r="84" spans="1:2" x14ac:dyDescent="0.25">
      <c r="A84" s="4">
        <v>83</v>
      </c>
      <c r="B84" s="5" t="s">
        <v>108</v>
      </c>
    </row>
    <row r="85" spans="1:2" x14ac:dyDescent="0.25">
      <c r="A85" s="4">
        <v>84</v>
      </c>
      <c r="B85" s="5" t="s">
        <v>109</v>
      </c>
    </row>
    <row r="86" spans="1:2" x14ac:dyDescent="0.25">
      <c r="A86" s="4">
        <v>85</v>
      </c>
      <c r="B86" s="5" t="s">
        <v>110</v>
      </c>
    </row>
    <row r="87" spans="1:2" x14ac:dyDescent="0.25">
      <c r="A87" s="4">
        <v>86</v>
      </c>
      <c r="B87" s="5" t="s">
        <v>234</v>
      </c>
    </row>
    <row r="88" spans="1:2" x14ac:dyDescent="0.25">
      <c r="A88" s="4">
        <v>87</v>
      </c>
      <c r="B88" s="5" t="s">
        <v>111</v>
      </c>
    </row>
    <row r="89" spans="1:2" x14ac:dyDescent="0.25">
      <c r="A89" s="4">
        <v>88</v>
      </c>
      <c r="B89" s="5" t="s">
        <v>113</v>
      </c>
    </row>
    <row r="90" spans="1:2" x14ac:dyDescent="0.25">
      <c r="A90" s="4">
        <v>89</v>
      </c>
      <c r="B90" s="5" t="s">
        <v>497</v>
      </c>
    </row>
    <row r="91" spans="1:2" x14ac:dyDescent="0.25">
      <c r="A91" s="4">
        <v>90</v>
      </c>
      <c r="B91" s="5" t="s">
        <v>114</v>
      </c>
    </row>
    <row r="92" spans="1:2" x14ac:dyDescent="0.25">
      <c r="A92" s="4">
        <v>91</v>
      </c>
      <c r="B92" s="5" t="s">
        <v>942</v>
      </c>
    </row>
    <row r="93" spans="1:2" x14ac:dyDescent="0.25">
      <c r="A93" s="4">
        <v>92</v>
      </c>
      <c r="B93" s="5" t="s">
        <v>115</v>
      </c>
    </row>
    <row r="94" spans="1:2" x14ac:dyDescent="0.25">
      <c r="A94" s="4">
        <v>93</v>
      </c>
      <c r="B94" s="5" t="s">
        <v>116</v>
      </c>
    </row>
    <row r="95" spans="1:2" x14ac:dyDescent="0.25">
      <c r="A95" s="4">
        <v>94</v>
      </c>
      <c r="B95" s="5" t="s">
        <v>117</v>
      </c>
    </row>
    <row r="96" spans="1:2" x14ac:dyDescent="0.25">
      <c r="A96" s="4">
        <v>95</v>
      </c>
      <c r="B96" s="5" t="s">
        <v>118</v>
      </c>
    </row>
    <row r="97" spans="1:2" x14ac:dyDescent="0.25">
      <c r="A97" s="4">
        <v>96</v>
      </c>
      <c r="B97" s="5" t="s">
        <v>120</v>
      </c>
    </row>
    <row r="98" spans="1:2" x14ac:dyDescent="0.25">
      <c r="A98" s="4">
        <v>97</v>
      </c>
      <c r="B98" s="5" t="s">
        <v>121</v>
      </c>
    </row>
    <row r="99" spans="1:2" x14ac:dyDescent="0.25">
      <c r="A99" s="4">
        <v>98</v>
      </c>
      <c r="B99" s="5" t="s">
        <v>122</v>
      </c>
    </row>
    <row r="100" spans="1:2" x14ac:dyDescent="0.25">
      <c r="A100" s="4">
        <v>99</v>
      </c>
      <c r="B100" s="5" t="s">
        <v>123</v>
      </c>
    </row>
    <row r="101" spans="1:2" x14ac:dyDescent="0.25">
      <c r="A101" s="4">
        <v>100</v>
      </c>
      <c r="B101" s="5" t="s">
        <v>124</v>
      </c>
    </row>
    <row r="102" spans="1:2" x14ac:dyDescent="0.25">
      <c r="A102" s="4">
        <v>101</v>
      </c>
      <c r="B102" s="5" t="s">
        <v>126</v>
      </c>
    </row>
    <row r="103" spans="1:2" x14ac:dyDescent="0.25">
      <c r="A103" s="4">
        <v>102</v>
      </c>
      <c r="B103" s="5" t="s">
        <v>127</v>
      </c>
    </row>
    <row r="104" spans="1:2" x14ac:dyDescent="0.25">
      <c r="A104" s="4">
        <v>103</v>
      </c>
      <c r="B104" s="5" t="s">
        <v>128</v>
      </c>
    </row>
    <row r="105" spans="1:2" x14ac:dyDescent="0.25">
      <c r="A105" s="4">
        <v>104</v>
      </c>
      <c r="B105" s="5" t="s">
        <v>243</v>
      </c>
    </row>
    <row r="106" spans="1:2" x14ac:dyDescent="0.25">
      <c r="A106" s="4">
        <v>105</v>
      </c>
      <c r="B106" s="5" t="s">
        <v>129</v>
      </c>
    </row>
    <row r="107" spans="1:2" x14ac:dyDescent="0.25">
      <c r="A107" s="4">
        <v>106</v>
      </c>
      <c r="B107" s="5" t="s">
        <v>130</v>
      </c>
    </row>
    <row r="108" spans="1:2" x14ac:dyDescent="0.25">
      <c r="A108" s="4">
        <v>107</v>
      </c>
      <c r="B108" s="5" t="s">
        <v>131</v>
      </c>
    </row>
    <row r="109" spans="1:2" x14ac:dyDescent="0.25">
      <c r="A109" s="4">
        <v>108</v>
      </c>
      <c r="B109" s="5" t="s">
        <v>132</v>
      </c>
    </row>
    <row r="110" spans="1:2" x14ac:dyDescent="0.25">
      <c r="A110" s="4">
        <v>109</v>
      </c>
      <c r="B110" s="5" t="s">
        <v>133</v>
      </c>
    </row>
    <row r="111" spans="1:2" x14ac:dyDescent="0.25">
      <c r="A111" s="4">
        <v>110</v>
      </c>
      <c r="B111" s="5" t="s">
        <v>134</v>
      </c>
    </row>
    <row r="112" spans="1:2" x14ac:dyDescent="0.25">
      <c r="A112" s="4">
        <v>111</v>
      </c>
      <c r="B112" s="5" t="s">
        <v>135</v>
      </c>
    </row>
    <row r="113" spans="1:2" x14ac:dyDescent="0.25">
      <c r="A113" s="4">
        <v>112</v>
      </c>
      <c r="B113" s="5" t="s">
        <v>136</v>
      </c>
    </row>
    <row r="114" spans="1:2" x14ac:dyDescent="0.25">
      <c r="A114" s="4">
        <v>113</v>
      </c>
      <c r="B114" s="5" t="s">
        <v>137</v>
      </c>
    </row>
    <row r="115" spans="1:2" x14ac:dyDescent="0.25">
      <c r="A115" s="4">
        <v>114</v>
      </c>
      <c r="B115" s="5" t="s">
        <v>138</v>
      </c>
    </row>
    <row r="116" spans="1:2" x14ac:dyDescent="0.25">
      <c r="A116" s="4">
        <v>115</v>
      </c>
      <c r="B116" s="5" t="s">
        <v>271</v>
      </c>
    </row>
    <row r="117" spans="1:2" x14ac:dyDescent="0.25">
      <c r="A117" s="4">
        <v>116</v>
      </c>
      <c r="B117" s="5" t="s">
        <v>139</v>
      </c>
    </row>
    <row r="118" spans="1:2" x14ac:dyDescent="0.25">
      <c r="A118" s="4">
        <v>117</v>
      </c>
      <c r="B118" s="5" t="s">
        <v>140</v>
      </c>
    </row>
    <row r="119" spans="1:2" x14ac:dyDescent="0.25">
      <c r="A119" s="4">
        <v>118</v>
      </c>
      <c r="B119" s="5" t="s">
        <v>272</v>
      </c>
    </row>
    <row r="120" spans="1:2" x14ac:dyDescent="0.25">
      <c r="A120" s="4">
        <v>119</v>
      </c>
      <c r="B120" s="5" t="s">
        <v>141</v>
      </c>
    </row>
    <row r="121" spans="1:2" x14ac:dyDescent="0.25">
      <c r="A121" s="4">
        <v>120</v>
      </c>
      <c r="B121" s="5" t="s">
        <v>498</v>
      </c>
    </row>
    <row r="122" spans="1:2" x14ac:dyDescent="0.25">
      <c r="A122" s="4">
        <v>121</v>
      </c>
      <c r="B122" s="5" t="s">
        <v>142</v>
      </c>
    </row>
    <row r="123" spans="1:2" x14ac:dyDescent="0.25">
      <c r="A123" s="4">
        <v>122</v>
      </c>
      <c r="B123" s="5" t="s">
        <v>143</v>
      </c>
    </row>
    <row r="124" spans="1:2" x14ac:dyDescent="0.25">
      <c r="A124" s="4">
        <v>123</v>
      </c>
      <c r="B124" s="5" t="s">
        <v>144</v>
      </c>
    </row>
    <row r="125" spans="1:2" x14ac:dyDescent="0.25">
      <c r="A125" s="4">
        <v>124</v>
      </c>
      <c r="B125" s="5" t="s">
        <v>145</v>
      </c>
    </row>
    <row r="126" spans="1:2" x14ac:dyDescent="0.25">
      <c r="A126" s="4">
        <v>125</v>
      </c>
      <c r="B126" s="5" t="s">
        <v>499</v>
      </c>
    </row>
    <row r="127" spans="1:2" x14ac:dyDescent="0.25">
      <c r="A127" s="4">
        <v>126</v>
      </c>
      <c r="B127" s="5" t="s">
        <v>475</v>
      </c>
    </row>
    <row r="128" spans="1:2" x14ac:dyDescent="0.25">
      <c r="A128" s="4">
        <v>127</v>
      </c>
      <c r="B128" s="5" t="s">
        <v>146</v>
      </c>
    </row>
    <row r="129" spans="1:2" x14ac:dyDescent="0.25">
      <c r="A129" s="4">
        <v>128</v>
      </c>
      <c r="B129" s="5" t="s">
        <v>277</v>
      </c>
    </row>
    <row r="130" spans="1:2" x14ac:dyDescent="0.25">
      <c r="A130" s="4">
        <v>129</v>
      </c>
      <c r="B130" s="5" t="s">
        <v>147</v>
      </c>
    </row>
    <row r="131" spans="1:2" x14ac:dyDescent="0.25">
      <c r="A131" s="4">
        <v>130</v>
      </c>
      <c r="B131" s="5" t="s">
        <v>500</v>
      </c>
    </row>
    <row r="132" spans="1:2" x14ac:dyDescent="0.25">
      <c r="A132" s="4">
        <v>131</v>
      </c>
      <c r="B132" s="5" t="s">
        <v>148</v>
      </c>
    </row>
    <row r="133" spans="1:2" x14ac:dyDescent="0.25">
      <c r="A133" s="4">
        <v>132</v>
      </c>
      <c r="B133" s="5" t="s">
        <v>149</v>
      </c>
    </row>
    <row r="134" spans="1:2" x14ac:dyDescent="0.25">
      <c r="A134" s="4">
        <v>133</v>
      </c>
      <c r="B134" s="5" t="s">
        <v>150</v>
      </c>
    </row>
    <row r="135" spans="1:2" x14ac:dyDescent="0.25">
      <c r="A135" s="4">
        <v>134</v>
      </c>
      <c r="B135" s="5" t="s">
        <v>265</v>
      </c>
    </row>
    <row r="136" spans="1:2" x14ac:dyDescent="0.25">
      <c r="A136" s="4">
        <v>135</v>
      </c>
      <c r="B136" s="5" t="s">
        <v>151</v>
      </c>
    </row>
    <row r="137" spans="1:2" x14ac:dyDescent="0.25">
      <c r="A137" s="4">
        <v>136</v>
      </c>
      <c r="B137" s="5" t="s">
        <v>152</v>
      </c>
    </row>
    <row r="138" spans="1:2" x14ac:dyDescent="0.25">
      <c r="A138" s="4">
        <v>137</v>
      </c>
      <c r="B138" s="5" t="s">
        <v>153</v>
      </c>
    </row>
    <row r="139" spans="1:2" x14ac:dyDescent="0.25">
      <c r="A139" s="4">
        <v>138</v>
      </c>
      <c r="B139" s="5" t="s">
        <v>154</v>
      </c>
    </row>
    <row r="140" spans="1:2" x14ac:dyDescent="0.25">
      <c r="A140" s="4">
        <v>139</v>
      </c>
      <c r="B140" s="5" t="s">
        <v>474</v>
      </c>
    </row>
    <row r="141" spans="1:2" x14ac:dyDescent="0.25">
      <c r="A141" s="4">
        <v>140</v>
      </c>
      <c r="B141" s="5" t="s">
        <v>155</v>
      </c>
    </row>
    <row r="142" spans="1:2" x14ac:dyDescent="0.25">
      <c r="A142" s="4">
        <v>141</v>
      </c>
      <c r="B142" s="5" t="s">
        <v>156</v>
      </c>
    </row>
    <row r="143" spans="1:2" x14ac:dyDescent="0.25">
      <c r="A143" s="4">
        <v>142</v>
      </c>
      <c r="B143" s="5" t="s">
        <v>247</v>
      </c>
    </row>
    <row r="144" spans="1:2" x14ac:dyDescent="0.25">
      <c r="A144" s="4">
        <v>143</v>
      </c>
      <c r="B144" s="5" t="s">
        <v>1164</v>
      </c>
    </row>
    <row r="145" spans="1:2" x14ac:dyDescent="0.25">
      <c r="A145" s="4">
        <v>144</v>
      </c>
      <c r="B145" s="5" t="s">
        <v>273</v>
      </c>
    </row>
    <row r="146" spans="1:2" x14ac:dyDescent="0.25">
      <c r="A146" s="4">
        <v>145</v>
      </c>
      <c r="B146" s="5" t="s">
        <v>157</v>
      </c>
    </row>
    <row r="147" spans="1:2" x14ac:dyDescent="0.25">
      <c r="A147" s="4">
        <v>146</v>
      </c>
      <c r="B147" s="5" t="s">
        <v>274</v>
      </c>
    </row>
    <row r="148" spans="1:2" x14ac:dyDescent="0.25">
      <c r="A148" s="4">
        <v>147</v>
      </c>
      <c r="B148" s="5" t="s">
        <v>158</v>
      </c>
    </row>
    <row r="149" spans="1:2" x14ac:dyDescent="0.25">
      <c r="A149" s="4">
        <v>148</v>
      </c>
      <c r="B149" s="5" t="s">
        <v>501</v>
      </c>
    </row>
    <row r="150" spans="1:2" x14ac:dyDescent="0.25">
      <c r="A150" s="4">
        <v>149</v>
      </c>
      <c r="B150" s="5" t="s">
        <v>275</v>
      </c>
    </row>
    <row r="151" spans="1:2" x14ac:dyDescent="0.25">
      <c r="A151" s="4">
        <v>150</v>
      </c>
      <c r="B151" s="5" t="s">
        <v>159</v>
      </c>
    </row>
    <row r="152" spans="1:2" x14ac:dyDescent="0.25">
      <c r="A152" s="4">
        <v>151</v>
      </c>
      <c r="B152" s="5" t="s">
        <v>502</v>
      </c>
    </row>
    <row r="153" spans="1:2" x14ac:dyDescent="0.25">
      <c r="A153" s="4">
        <v>152</v>
      </c>
      <c r="B153" s="5" t="s">
        <v>160</v>
      </c>
    </row>
    <row r="154" spans="1:2" x14ac:dyDescent="0.25">
      <c r="A154" s="4">
        <v>153</v>
      </c>
      <c r="B154" s="5" t="s">
        <v>161</v>
      </c>
    </row>
    <row r="155" spans="1:2" x14ac:dyDescent="0.25">
      <c r="A155" s="4">
        <v>154</v>
      </c>
      <c r="B155" s="5" t="s">
        <v>162</v>
      </c>
    </row>
    <row r="156" spans="1:2" x14ac:dyDescent="0.25">
      <c r="A156" s="4">
        <v>155</v>
      </c>
      <c r="B156" s="5" t="s">
        <v>163</v>
      </c>
    </row>
    <row r="157" spans="1:2" x14ac:dyDescent="0.25">
      <c r="A157" s="4">
        <v>156</v>
      </c>
      <c r="B157" s="5" t="s">
        <v>164</v>
      </c>
    </row>
    <row r="158" spans="1:2" x14ac:dyDescent="0.25">
      <c r="A158" s="4">
        <v>157</v>
      </c>
      <c r="B158" s="5" t="s">
        <v>165</v>
      </c>
    </row>
    <row r="159" spans="1:2" x14ac:dyDescent="0.25">
      <c r="A159" s="4">
        <v>158</v>
      </c>
      <c r="B159" s="5" t="s">
        <v>166</v>
      </c>
    </row>
    <row r="160" spans="1:2" x14ac:dyDescent="0.25">
      <c r="A160" s="4">
        <v>159</v>
      </c>
      <c r="B160" s="5" t="s">
        <v>167</v>
      </c>
    </row>
    <row r="161" spans="1:2" x14ac:dyDescent="0.25">
      <c r="A161" s="4">
        <v>160</v>
      </c>
      <c r="B161" s="5" t="s">
        <v>168</v>
      </c>
    </row>
    <row r="162" spans="1:2" x14ac:dyDescent="0.25">
      <c r="A162" s="4">
        <v>161</v>
      </c>
      <c r="B162" s="5" t="s">
        <v>169</v>
      </c>
    </row>
    <row r="163" spans="1:2" x14ac:dyDescent="0.25">
      <c r="A163" s="4">
        <v>162</v>
      </c>
      <c r="B163" s="5" t="s">
        <v>230</v>
      </c>
    </row>
    <row r="164" spans="1:2" x14ac:dyDescent="0.25">
      <c r="A164" s="4">
        <v>163</v>
      </c>
      <c r="B164" s="5" t="s">
        <v>231</v>
      </c>
    </row>
    <row r="165" spans="1:2" x14ac:dyDescent="0.25">
      <c r="A165" s="4">
        <v>164</v>
      </c>
      <c r="B165" s="5" t="s">
        <v>505</v>
      </c>
    </row>
    <row r="166" spans="1:2" x14ac:dyDescent="0.25">
      <c r="A166" s="4">
        <v>165</v>
      </c>
      <c r="B166" s="5" t="s">
        <v>506</v>
      </c>
    </row>
    <row r="167" spans="1:2" x14ac:dyDescent="0.25">
      <c r="A167" s="4">
        <v>166</v>
      </c>
      <c r="B167" s="5" t="s">
        <v>170</v>
      </c>
    </row>
    <row r="168" spans="1:2" x14ac:dyDescent="0.25">
      <c r="A168" s="4">
        <v>167</v>
      </c>
      <c r="B168" s="5" t="s">
        <v>268</v>
      </c>
    </row>
    <row r="169" spans="1:2" x14ac:dyDescent="0.25">
      <c r="A169" s="4">
        <v>168</v>
      </c>
      <c r="B169" s="5" t="s">
        <v>509</v>
      </c>
    </row>
    <row r="170" spans="1:2" x14ac:dyDescent="0.25">
      <c r="A170" s="4">
        <v>169</v>
      </c>
      <c r="B170" s="5" t="s">
        <v>171</v>
      </c>
    </row>
    <row r="171" spans="1:2" x14ac:dyDescent="0.25">
      <c r="A171" s="4">
        <v>170</v>
      </c>
      <c r="B171" s="5" t="s">
        <v>172</v>
      </c>
    </row>
    <row r="172" spans="1:2" x14ac:dyDescent="0.25">
      <c r="A172" s="4">
        <v>171</v>
      </c>
      <c r="B172" s="5" t="s">
        <v>173</v>
      </c>
    </row>
    <row r="173" spans="1:2" x14ac:dyDescent="0.25">
      <c r="A173" s="4">
        <v>172</v>
      </c>
      <c r="B173" s="5" t="s">
        <v>174</v>
      </c>
    </row>
    <row r="174" spans="1:2" x14ac:dyDescent="0.25">
      <c r="A174" s="4">
        <v>173</v>
      </c>
      <c r="B174" s="5" t="s">
        <v>481</v>
      </c>
    </row>
    <row r="175" spans="1:2" x14ac:dyDescent="0.25">
      <c r="A175" s="4">
        <v>174</v>
      </c>
      <c r="B175" s="5" t="s">
        <v>176</v>
      </c>
    </row>
    <row r="176" spans="1:2" x14ac:dyDescent="0.25">
      <c r="A176" s="4">
        <v>175</v>
      </c>
      <c r="B176" s="5" t="s">
        <v>46</v>
      </c>
    </row>
    <row r="177" spans="1:2" x14ac:dyDescent="0.25">
      <c r="A177" s="4">
        <v>176</v>
      </c>
      <c r="B177" s="5" t="s">
        <v>47</v>
      </c>
    </row>
    <row r="178" spans="1:2" x14ac:dyDescent="0.25">
      <c r="A178" s="4">
        <v>177</v>
      </c>
      <c r="B178" s="5" t="s">
        <v>177</v>
      </c>
    </row>
    <row r="179" spans="1:2" x14ac:dyDescent="0.25">
      <c r="A179" s="4">
        <v>178</v>
      </c>
      <c r="B179" s="5" t="s">
        <v>178</v>
      </c>
    </row>
    <row r="180" spans="1:2" x14ac:dyDescent="0.25">
      <c r="A180" s="4">
        <v>179</v>
      </c>
      <c r="B180" s="5" t="s">
        <v>179</v>
      </c>
    </row>
    <row r="181" spans="1:2" x14ac:dyDescent="0.25">
      <c r="A181" s="4">
        <v>180</v>
      </c>
      <c r="B181" s="5" t="s">
        <v>175</v>
      </c>
    </row>
    <row r="182" spans="1:2" x14ac:dyDescent="0.25">
      <c r="A182" s="4">
        <v>181</v>
      </c>
      <c r="B182" s="5" t="s">
        <v>262</v>
      </c>
    </row>
    <row r="183" spans="1:2" x14ac:dyDescent="0.25">
      <c r="A183" s="4">
        <v>182</v>
      </c>
      <c r="B183" s="5" t="s">
        <v>180</v>
      </c>
    </row>
    <row r="184" spans="1:2" x14ac:dyDescent="0.25">
      <c r="A184" s="4">
        <v>183</v>
      </c>
      <c r="B184" s="5" t="s">
        <v>182</v>
      </c>
    </row>
    <row r="185" spans="1:2" x14ac:dyDescent="0.25">
      <c r="A185" s="4">
        <v>184</v>
      </c>
      <c r="B185" s="5" t="s">
        <v>183</v>
      </c>
    </row>
    <row r="186" spans="1:2" x14ac:dyDescent="0.25">
      <c r="A186" s="4">
        <v>185</v>
      </c>
      <c r="B186" s="5" t="s">
        <v>184</v>
      </c>
    </row>
    <row r="187" spans="1:2" x14ac:dyDescent="0.25">
      <c r="A187" s="4">
        <v>186</v>
      </c>
      <c r="B187" s="5" t="s">
        <v>185</v>
      </c>
    </row>
    <row r="188" spans="1:2" x14ac:dyDescent="0.25">
      <c r="A188" s="4">
        <v>187</v>
      </c>
      <c r="B188" s="5" t="s">
        <v>186</v>
      </c>
    </row>
    <row r="189" spans="1:2" x14ac:dyDescent="0.25">
      <c r="A189" s="4">
        <v>188</v>
      </c>
      <c r="B189" s="5" t="s">
        <v>187</v>
      </c>
    </row>
    <row r="190" spans="1:2" x14ac:dyDescent="0.25">
      <c r="A190" s="4">
        <v>189</v>
      </c>
      <c r="B190" s="5" t="s">
        <v>188</v>
      </c>
    </row>
    <row r="191" spans="1:2" x14ac:dyDescent="0.25">
      <c r="A191" s="4">
        <v>190</v>
      </c>
      <c r="B191" s="5" t="s">
        <v>189</v>
      </c>
    </row>
    <row r="192" spans="1:2" x14ac:dyDescent="0.25">
      <c r="A192" s="4">
        <v>191</v>
      </c>
      <c r="B192" s="5" t="s">
        <v>190</v>
      </c>
    </row>
    <row r="193" spans="1:2" x14ac:dyDescent="0.25">
      <c r="A193" s="4">
        <v>192</v>
      </c>
      <c r="B193" s="5" t="s">
        <v>191</v>
      </c>
    </row>
    <row r="194" spans="1:2" x14ac:dyDescent="0.25">
      <c r="A194" s="4">
        <v>193</v>
      </c>
      <c r="B194" s="5" t="s">
        <v>192</v>
      </c>
    </row>
    <row r="195" spans="1:2" x14ac:dyDescent="0.25">
      <c r="A195" s="4">
        <v>194</v>
      </c>
      <c r="B195" s="5" t="s">
        <v>193</v>
      </c>
    </row>
    <row r="196" spans="1:2" x14ac:dyDescent="0.25">
      <c r="A196" s="4">
        <v>195</v>
      </c>
      <c r="B196" s="5" t="s">
        <v>194</v>
      </c>
    </row>
    <row r="197" spans="1:2" x14ac:dyDescent="0.25">
      <c r="A197" s="4">
        <v>196</v>
      </c>
      <c r="B197" s="5" t="s">
        <v>195</v>
      </c>
    </row>
    <row r="198" spans="1:2" x14ac:dyDescent="0.25">
      <c r="A198" s="4">
        <v>197</v>
      </c>
      <c r="B198" s="5" t="s">
        <v>196</v>
      </c>
    </row>
    <row r="199" spans="1:2" x14ac:dyDescent="0.25">
      <c r="A199" s="4">
        <v>198</v>
      </c>
      <c r="B199" s="5" t="s">
        <v>197</v>
      </c>
    </row>
    <row r="200" spans="1:2" x14ac:dyDescent="0.25">
      <c r="A200" s="4">
        <v>199</v>
      </c>
      <c r="B200" s="5" t="s">
        <v>198</v>
      </c>
    </row>
    <row r="201" spans="1:2" x14ac:dyDescent="0.25">
      <c r="A201" s="4">
        <v>200</v>
      </c>
      <c r="B201" s="5" t="s">
        <v>199</v>
      </c>
    </row>
    <row r="202" spans="1:2" x14ac:dyDescent="0.25">
      <c r="A202" s="4">
        <v>201</v>
      </c>
      <c r="B202" s="5" t="s">
        <v>200</v>
      </c>
    </row>
    <row r="203" spans="1:2" x14ac:dyDescent="0.25">
      <c r="A203" s="4">
        <v>202</v>
      </c>
      <c r="B203" s="5" t="s">
        <v>201</v>
      </c>
    </row>
    <row r="204" spans="1:2" x14ac:dyDescent="0.25">
      <c r="A204" s="4">
        <v>203</v>
      </c>
      <c r="B204" s="5" t="s">
        <v>202</v>
      </c>
    </row>
    <row r="205" spans="1:2" x14ac:dyDescent="0.25">
      <c r="A205" s="4">
        <v>204</v>
      </c>
      <c r="B205" s="5" t="s">
        <v>204</v>
      </c>
    </row>
    <row r="206" spans="1:2" x14ac:dyDescent="0.25">
      <c r="A206" s="4">
        <v>205</v>
      </c>
      <c r="B206" s="5" t="s">
        <v>205</v>
      </c>
    </row>
    <row r="207" spans="1:2" x14ac:dyDescent="0.25">
      <c r="A207" s="4">
        <v>206</v>
      </c>
      <c r="B207" s="5" t="s">
        <v>209</v>
      </c>
    </row>
    <row r="208" spans="1:2" x14ac:dyDescent="0.25">
      <c r="A208" s="4">
        <v>207</v>
      </c>
      <c r="B208" s="5" t="s">
        <v>210</v>
      </c>
    </row>
    <row r="209" spans="1:2" x14ac:dyDescent="0.25">
      <c r="A209" s="4">
        <v>208</v>
      </c>
      <c r="B209" s="5" t="s">
        <v>503</v>
      </c>
    </row>
    <row r="210" spans="1:2" x14ac:dyDescent="0.25">
      <c r="A210" s="4">
        <v>209</v>
      </c>
      <c r="B210" s="5" t="s">
        <v>211</v>
      </c>
    </row>
    <row r="211" spans="1:2" x14ac:dyDescent="0.25">
      <c r="A211" s="4">
        <v>210</v>
      </c>
      <c r="B211" s="5" t="s">
        <v>212</v>
      </c>
    </row>
    <row r="212" spans="1:2" x14ac:dyDescent="0.25">
      <c r="A212" s="4">
        <v>211</v>
      </c>
      <c r="B212" s="5" t="s">
        <v>213</v>
      </c>
    </row>
    <row r="213" spans="1:2" x14ac:dyDescent="0.25">
      <c r="A213" s="4">
        <v>212</v>
      </c>
      <c r="B213" s="5" t="s">
        <v>214</v>
      </c>
    </row>
    <row r="214" spans="1:2" x14ac:dyDescent="0.25">
      <c r="A214" s="4">
        <v>213</v>
      </c>
      <c r="B214" s="5" t="s">
        <v>215</v>
      </c>
    </row>
    <row r="215" spans="1:2" x14ac:dyDescent="0.25">
      <c r="A215" s="4">
        <v>214</v>
      </c>
      <c r="B215" s="5" t="s">
        <v>333</v>
      </c>
    </row>
    <row r="216" spans="1:2" x14ac:dyDescent="0.25">
      <c r="A216" s="4">
        <v>215</v>
      </c>
      <c r="B216" s="5" t="s">
        <v>217</v>
      </c>
    </row>
    <row r="217" spans="1:2" x14ac:dyDescent="0.25">
      <c r="A217" s="4">
        <v>216</v>
      </c>
      <c r="B217" s="5" t="s">
        <v>218</v>
      </c>
    </row>
    <row r="218" spans="1:2" x14ac:dyDescent="0.25">
      <c r="A218" s="4">
        <v>217</v>
      </c>
      <c r="B218" s="5" t="s">
        <v>473</v>
      </c>
    </row>
    <row r="219" spans="1:2" x14ac:dyDescent="0.25">
      <c r="A219" s="4">
        <v>218</v>
      </c>
      <c r="B219" s="5" t="s">
        <v>219</v>
      </c>
    </row>
    <row r="220" spans="1:2" x14ac:dyDescent="0.25">
      <c r="A220" s="4">
        <v>219</v>
      </c>
      <c r="B220" s="5" t="s">
        <v>221</v>
      </c>
    </row>
    <row r="221" spans="1:2" x14ac:dyDescent="0.25">
      <c r="A221" s="4">
        <v>220</v>
      </c>
      <c r="B221" s="5" t="s">
        <v>222</v>
      </c>
    </row>
    <row r="222" spans="1:2" x14ac:dyDescent="0.25">
      <c r="A222" s="4">
        <v>221</v>
      </c>
      <c r="B222" s="5" t="s">
        <v>223</v>
      </c>
    </row>
    <row r="223" spans="1:2" x14ac:dyDescent="0.25">
      <c r="A223" s="4">
        <v>222</v>
      </c>
      <c r="B223" s="5" t="s">
        <v>224</v>
      </c>
    </row>
    <row r="224" spans="1:2" x14ac:dyDescent="0.25">
      <c r="A224" s="4">
        <v>223</v>
      </c>
      <c r="B224" s="5" t="s">
        <v>459</v>
      </c>
    </row>
    <row r="225" spans="1:2" x14ac:dyDescent="0.25">
      <c r="A225" s="4">
        <v>224</v>
      </c>
      <c r="B225" s="5" t="s">
        <v>225</v>
      </c>
    </row>
    <row r="226" spans="1:2" x14ac:dyDescent="0.25">
      <c r="A226" s="4">
        <v>225</v>
      </c>
      <c r="B226" s="5" t="s">
        <v>226</v>
      </c>
    </row>
    <row r="227" spans="1:2" x14ac:dyDescent="0.25">
      <c r="A227" s="4">
        <v>226</v>
      </c>
      <c r="B227" s="5" t="s">
        <v>227</v>
      </c>
    </row>
    <row r="228" spans="1:2" x14ac:dyDescent="0.25">
      <c r="A228" s="4">
        <v>227</v>
      </c>
      <c r="B228" s="5" t="s">
        <v>504</v>
      </c>
    </row>
    <row r="229" spans="1:2" x14ac:dyDescent="0.25">
      <c r="A229" s="4">
        <v>228</v>
      </c>
      <c r="B229" s="5" t="s">
        <v>228</v>
      </c>
    </row>
    <row r="230" spans="1:2" x14ac:dyDescent="0.25">
      <c r="A230" s="4">
        <v>229</v>
      </c>
      <c r="B230" s="5" t="s">
        <v>229</v>
      </c>
    </row>
    <row r="231" spans="1:2" x14ac:dyDescent="0.25">
      <c r="A231" s="4">
        <v>230</v>
      </c>
      <c r="B231" s="5" t="s">
        <v>233</v>
      </c>
    </row>
    <row r="232" spans="1:2" x14ac:dyDescent="0.25">
      <c r="A232" s="4">
        <v>231</v>
      </c>
      <c r="B232" s="5" t="s">
        <v>465</v>
      </c>
    </row>
    <row r="233" spans="1:2" x14ac:dyDescent="0.25">
      <c r="A233" s="4">
        <v>232</v>
      </c>
      <c r="B233" s="5" t="s">
        <v>235</v>
      </c>
    </row>
    <row r="234" spans="1:2" x14ac:dyDescent="0.25">
      <c r="A234" s="4">
        <v>233</v>
      </c>
      <c r="B234" s="5" t="s">
        <v>464</v>
      </c>
    </row>
    <row r="235" spans="1:2" x14ac:dyDescent="0.25">
      <c r="A235" s="4">
        <v>234</v>
      </c>
      <c r="B235" s="5" t="s">
        <v>236</v>
      </c>
    </row>
    <row r="236" spans="1:2" x14ac:dyDescent="0.25">
      <c r="A236" s="4">
        <v>235</v>
      </c>
      <c r="B236" s="5" t="s">
        <v>395</v>
      </c>
    </row>
    <row r="237" spans="1:2" x14ac:dyDescent="0.25">
      <c r="A237" s="4">
        <v>236</v>
      </c>
      <c r="B237" s="5" t="s">
        <v>237</v>
      </c>
    </row>
    <row r="238" spans="1:2" x14ac:dyDescent="0.25">
      <c r="A238" s="4">
        <v>237</v>
      </c>
      <c r="B238" s="5" t="s">
        <v>238</v>
      </c>
    </row>
    <row r="239" spans="1:2" x14ac:dyDescent="0.25">
      <c r="A239" s="4">
        <v>238</v>
      </c>
      <c r="B239" s="5" t="s">
        <v>1165</v>
      </c>
    </row>
    <row r="240" spans="1:2" x14ac:dyDescent="0.25">
      <c r="A240" s="4">
        <v>239</v>
      </c>
      <c r="B240" s="5" t="s">
        <v>239</v>
      </c>
    </row>
    <row r="241" spans="1:2" x14ac:dyDescent="0.25">
      <c r="A241" s="4">
        <v>240</v>
      </c>
      <c r="B241" s="5" t="s">
        <v>240</v>
      </c>
    </row>
    <row r="242" spans="1:2" x14ac:dyDescent="0.25">
      <c r="A242" s="4">
        <v>241</v>
      </c>
      <c r="B242" s="5" t="s">
        <v>241</v>
      </c>
    </row>
    <row r="243" spans="1:2" x14ac:dyDescent="0.25">
      <c r="A243" s="4">
        <v>242</v>
      </c>
      <c r="B243" s="5" t="s">
        <v>874</v>
      </c>
    </row>
    <row r="244" spans="1:2" x14ac:dyDescent="0.25">
      <c r="A244" s="4">
        <v>243</v>
      </c>
      <c r="B244" s="5" t="s">
        <v>507</v>
      </c>
    </row>
    <row r="245" spans="1:2" x14ac:dyDescent="0.25">
      <c r="A245" s="4">
        <v>244</v>
      </c>
      <c r="B245" s="5" t="s">
        <v>242</v>
      </c>
    </row>
    <row r="246" spans="1:2" x14ac:dyDescent="0.25">
      <c r="A246" s="4">
        <v>245</v>
      </c>
      <c r="B246" s="5" t="s">
        <v>244</v>
      </c>
    </row>
    <row r="247" spans="1:2" x14ac:dyDescent="0.25">
      <c r="A247" s="4">
        <v>246</v>
      </c>
      <c r="B247" s="5" t="s">
        <v>245</v>
      </c>
    </row>
    <row r="248" spans="1:2" x14ac:dyDescent="0.25">
      <c r="A248" s="4">
        <v>247</v>
      </c>
      <c r="B248" s="5" t="s">
        <v>246</v>
      </c>
    </row>
    <row r="249" spans="1:2" x14ac:dyDescent="0.25">
      <c r="A249" s="4">
        <v>248</v>
      </c>
      <c r="B249" s="5" t="s">
        <v>1181</v>
      </c>
    </row>
    <row r="250" spans="1:2" x14ac:dyDescent="0.25">
      <c r="A250" s="4">
        <v>249</v>
      </c>
      <c r="B250" s="5" t="s">
        <v>248</v>
      </c>
    </row>
    <row r="251" spans="1:2" x14ac:dyDescent="0.25">
      <c r="A251" s="4">
        <v>250</v>
      </c>
      <c r="B251" s="5" t="s">
        <v>249</v>
      </c>
    </row>
    <row r="252" spans="1:2" x14ac:dyDescent="0.25">
      <c r="A252" s="4">
        <v>251</v>
      </c>
      <c r="B252" s="5" t="s">
        <v>250</v>
      </c>
    </row>
    <row r="253" spans="1:2" x14ac:dyDescent="0.25">
      <c r="A253" s="4">
        <v>252</v>
      </c>
      <c r="B253" s="5" t="s">
        <v>496</v>
      </c>
    </row>
    <row r="254" spans="1:2" x14ac:dyDescent="0.25">
      <c r="A254" s="4">
        <v>253</v>
      </c>
      <c r="B254" s="5" t="s">
        <v>251</v>
      </c>
    </row>
    <row r="255" spans="1:2" x14ac:dyDescent="0.25">
      <c r="A255" s="4">
        <v>254</v>
      </c>
      <c r="B255" s="5" t="s">
        <v>252</v>
      </c>
    </row>
    <row r="256" spans="1:2" x14ac:dyDescent="0.25">
      <c r="A256" s="4">
        <v>255</v>
      </c>
      <c r="B256" s="5" t="s">
        <v>1167</v>
      </c>
    </row>
    <row r="257" spans="1:2" x14ac:dyDescent="0.25">
      <c r="A257" s="4">
        <v>256</v>
      </c>
      <c r="B257" s="5" t="s">
        <v>253</v>
      </c>
    </row>
    <row r="258" spans="1:2" x14ac:dyDescent="0.25">
      <c r="A258" s="4">
        <v>257</v>
      </c>
      <c r="B258" s="5" t="s">
        <v>254</v>
      </c>
    </row>
    <row r="259" spans="1:2" x14ac:dyDescent="0.25">
      <c r="A259" s="4">
        <v>258</v>
      </c>
      <c r="B259" s="5" t="s">
        <v>255</v>
      </c>
    </row>
    <row r="260" spans="1:2" x14ac:dyDescent="0.25">
      <c r="A260" s="4">
        <v>259</v>
      </c>
      <c r="B260" s="5" t="s">
        <v>256</v>
      </c>
    </row>
    <row r="261" spans="1:2" x14ac:dyDescent="0.25">
      <c r="A261" s="4">
        <v>260</v>
      </c>
      <c r="B261" s="5" t="s">
        <v>508</v>
      </c>
    </row>
    <row r="262" spans="1:2" x14ac:dyDescent="0.25">
      <c r="A262" s="4">
        <v>261</v>
      </c>
      <c r="B262" s="5" t="s">
        <v>257</v>
      </c>
    </row>
    <row r="263" spans="1:2" x14ac:dyDescent="0.25">
      <c r="A263" s="4">
        <v>262</v>
      </c>
      <c r="B263" s="5" t="s">
        <v>1182</v>
      </c>
    </row>
    <row r="264" spans="1:2" x14ac:dyDescent="0.25">
      <c r="A264" s="4">
        <v>263</v>
      </c>
      <c r="B264" s="5" t="s">
        <v>258</v>
      </c>
    </row>
    <row r="265" spans="1:2" x14ac:dyDescent="0.25">
      <c r="A265" s="4">
        <v>264</v>
      </c>
      <c r="B265" s="5" t="s">
        <v>259</v>
      </c>
    </row>
    <row r="266" spans="1:2" x14ac:dyDescent="0.25">
      <c r="A266" s="4">
        <v>265</v>
      </c>
      <c r="B266" s="5" t="s">
        <v>260</v>
      </c>
    </row>
    <row r="267" spans="1:2" x14ac:dyDescent="0.25">
      <c r="A267" s="4">
        <v>266</v>
      </c>
      <c r="B267" s="5" t="s">
        <v>493</v>
      </c>
    </row>
    <row r="268" spans="1:2" x14ac:dyDescent="0.25">
      <c r="A268" s="4">
        <v>267</v>
      </c>
      <c r="B268" s="5" t="s">
        <v>261</v>
      </c>
    </row>
    <row r="269" spans="1:2" x14ac:dyDescent="0.25">
      <c r="A269" s="4">
        <v>268</v>
      </c>
      <c r="B269" s="5" t="s">
        <v>263</v>
      </c>
    </row>
    <row r="270" spans="1:2" x14ac:dyDescent="0.25">
      <c r="A270" s="4">
        <v>269</v>
      </c>
      <c r="B270" s="5" t="s">
        <v>264</v>
      </c>
    </row>
    <row r="271" spans="1:2" x14ac:dyDescent="0.25">
      <c r="A271" s="4">
        <v>270</v>
      </c>
      <c r="B271" s="5" t="s">
        <v>266</v>
      </c>
    </row>
    <row r="272" spans="1:2" x14ac:dyDescent="0.25">
      <c r="A272" s="4">
        <v>271</v>
      </c>
      <c r="B272" s="5" t="s">
        <v>267</v>
      </c>
    </row>
    <row r="273" spans="1:2" x14ac:dyDescent="0.25">
      <c r="A273" s="4">
        <v>272</v>
      </c>
      <c r="B273" s="5" t="s">
        <v>269</v>
      </c>
    </row>
    <row r="274" spans="1:2" x14ac:dyDescent="0.25">
      <c r="A274" s="4">
        <v>273</v>
      </c>
      <c r="B274" s="5" t="s">
        <v>1169</v>
      </c>
    </row>
    <row r="275" spans="1:2" x14ac:dyDescent="0.25">
      <c r="A275" s="4">
        <v>274</v>
      </c>
      <c r="B275" s="5" t="s">
        <v>270</v>
      </c>
    </row>
    <row r="276" spans="1:2" x14ac:dyDescent="0.25">
      <c r="A276" s="4">
        <v>275</v>
      </c>
      <c r="B276" s="5" t="s">
        <v>276</v>
      </c>
    </row>
    <row r="277" spans="1:2" x14ac:dyDescent="0.25">
      <c r="A277" s="4">
        <v>276</v>
      </c>
      <c r="B277" s="5" t="s">
        <v>278</v>
      </c>
    </row>
    <row r="278" spans="1:2" x14ac:dyDescent="0.25">
      <c r="A278" s="4">
        <v>277</v>
      </c>
      <c r="B278" s="5" t="s">
        <v>279</v>
      </c>
    </row>
    <row r="279" spans="1:2" x14ac:dyDescent="0.25">
      <c r="A279" s="4">
        <v>278</v>
      </c>
      <c r="B279" s="5" t="s">
        <v>280</v>
      </c>
    </row>
    <row r="280" spans="1:2" x14ac:dyDescent="0.25">
      <c r="A280" s="4">
        <v>279</v>
      </c>
      <c r="B280" s="5" t="s">
        <v>281</v>
      </c>
    </row>
    <row r="281" spans="1:2" x14ac:dyDescent="0.25">
      <c r="A281" s="4">
        <v>280</v>
      </c>
      <c r="B281" s="5" t="s">
        <v>282</v>
      </c>
    </row>
    <row r="282" spans="1:2" x14ac:dyDescent="0.25">
      <c r="A282" s="4">
        <v>281</v>
      </c>
      <c r="B282" s="5" t="s">
        <v>283</v>
      </c>
    </row>
    <row r="283" spans="1:2" x14ac:dyDescent="0.25">
      <c r="A283" s="4">
        <v>282</v>
      </c>
      <c r="B283" s="5" t="s">
        <v>284</v>
      </c>
    </row>
    <row r="284" spans="1:2" x14ac:dyDescent="0.25">
      <c r="A284" s="4">
        <v>283</v>
      </c>
      <c r="B284" s="5" t="s">
        <v>285</v>
      </c>
    </row>
    <row r="285" spans="1:2" x14ac:dyDescent="0.25">
      <c r="A285" s="4">
        <v>284</v>
      </c>
      <c r="B285" s="5" t="s">
        <v>286</v>
      </c>
    </row>
    <row r="286" spans="1:2" x14ac:dyDescent="0.25">
      <c r="A286" s="4">
        <v>285</v>
      </c>
      <c r="B286" s="5" t="s">
        <v>287</v>
      </c>
    </row>
    <row r="287" spans="1:2" x14ac:dyDescent="0.25">
      <c r="A287" s="4">
        <v>286</v>
      </c>
      <c r="B287" s="5" t="s">
        <v>288</v>
      </c>
    </row>
    <row r="288" spans="1:2" x14ac:dyDescent="0.25">
      <c r="A288" s="4">
        <v>287</v>
      </c>
      <c r="B288" s="5" t="s">
        <v>289</v>
      </c>
    </row>
    <row r="289" spans="1:2" x14ac:dyDescent="0.25">
      <c r="A289" s="4">
        <v>288</v>
      </c>
      <c r="B289" s="5" t="s">
        <v>290</v>
      </c>
    </row>
    <row r="290" spans="1:2" x14ac:dyDescent="0.25">
      <c r="A290" s="4">
        <v>289</v>
      </c>
      <c r="B290" s="5" t="s">
        <v>291</v>
      </c>
    </row>
    <row r="291" spans="1:2" x14ac:dyDescent="0.25">
      <c r="A291" s="4">
        <v>290</v>
      </c>
      <c r="B291" s="5" t="s">
        <v>292</v>
      </c>
    </row>
    <row r="292" spans="1:2" x14ac:dyDescent="0.25">
      <c r="A292" s="4">
        <v>291</v>
      </c>
      <c r="B292" s="5" t="s">
        <v>293</v>
      </c>
    </row>
    <row r="293" spans="1:2" x14ac:dyDescent="0.25">
      <c r="A293" s="4">
        <v>292</v>
      </c>
      <c r="B293" s="5" t="s">
        <v>294</v>
      </c>
    </row>
    <row r="294" spans="1:2" x14ac:dyDescent="0.25">
      <c r="A294" s="4">
        <v>293</v>
      </c>
      <c r="B294" s="5" t="s">
        <v>295</v>
      </c>
    </row>
    <row r="295" spans="1:2" x14ac:dyDescent="0.25">
      <c r="A295" s="4">
        <v>294</v>
      </c>
      <c r="B295" s="5" t="s">
        <v>296</v>
      </c>
    </row>
    <row r="296" spans="1:2" x14ac:dyDescent="0.25">
      <c r="A296" s="4">
        <v>295</v>
      </c>
      <c r="B296" s="5" t="s">
        <v>297</v>
      </c>
    </row>
    <row r="297" spans="1:2" x14ac:dyDescent="0.25">
      <c r="A297" s="4">
        <v>296</v>
      </c>
      <c r="B297" s="5" t="s">
        <v>298</v>
      </c>
    </row>
    <row r="298" spans="1:2" x14ac:dyDescent="0.25">
      <c r="A298" s="4">
        <v>297</v>
      </c>
      <c r="B298" s="5" t="s">
        <v>299</v>
      </c>
    </row>
    <row r="299" spans="1:2" x14ac:dyDescent="0.25">
      <c r="A299" s="4">
        <v>298</v>
      </c>
      <c r="B299" s="5" t="s">
        <v>1184</v>
      </c>
    </row>
    <row r="300" spans="1:2" x14ac:dyDescent="0.25">
      <c r="A300" s="4">
        <v>299</v>
      </c>
      <c r="B300" s="5" t="s">
        <v>300</v>
      </c>
    </row>
    <row r="301" spans="1:2" x14ac:dyDescent="0.25">
      <c r="A301" s="4">
        <v>300</v>
      </c>
      <c r="B301" s="5" t="s">
        <v>301</v>
      </c>
    </row>
    <row r="302" spans="1:2" x14ac:dyDescent="0.25">
      <c r="A302" s="4">
        <v>301</v>
      </c>
      <c r="B302" s="5" t="s">
        <v>302</v>
      </c>
    </row>
    <row r="303" spans="1:2" x14ac:dyDescent="0.25">
      <c r="A303" s="4">
        <v>302</v>
      </c>
      <c r="B303" s="5" t="s">
        <v>303</v>
      </c>
    </row>
    <row r="304" spans="1:2" x14ac:dyDescent="0.25">
      <c r="A304" s="4">
        <v>303</v>
      </c>
      <c r="B304" s="5" t="s">
        <v>304</v>
      </c>
    </row>
    <row r="305" spans="1:2" x14ac:dyDescent="0.25">
      <c r="A305" s="4">
        <v>304</v>
      </c>
      <c r="B305" s="5" t="s">
        <v>305</v>
      </c>
    </row>
    <row r="306" spans="1:2" x14ac:dyDescent="0.25">
      <c r="A306" s="4">
        <v>305</v>
      </c>
      <c r="B306" s="5" t="s">
        <v>306</v>
      </c>
    </row>
    <row r="307" spans="1:2" x14ac:dyDescent="0.25">
      <c r="A307" s="4">
        <v>306</v>
      </c>
      <c r="B307" s="5" t="s">
        <v>307</v>
      </c>
    </row>
    <row r="308" spans="1:2" x14ac:dyDescent="0.25">
      <c r="A308" s="4">
        <v>307</v>
      </c>
      <c r="B308" s="5" t="s">
        <v>308</v>
      </c>
    </row>
    <row r="309" spans="1:2" x14ac:dyDescent="0.25">
      <c r="A309" s="4">
        <v>308</v>
      </c>
      <c r="B309" s="5" t="s">
        <v>309</v>
      </c>
    </row>
    <row r="310" spans="1:2" x14ac:dyDescent="0.25">
      <c r="A310" s="4">
        <v>309</v>
      </c>
      <c r="B310" s="5" t="s">
        <v>310</v>
      </c>
    </row>
    <row r="311" spans="1:2" x14ac:dyDescent="0.25">
      <c r="A311" s="4">
        <v>310</v>
      </c>
      <c r="B311" s="5" t="s">
        <v>311</v>
      </c>
    </row>
    <row r="312" spans="1:2" x14ac:dyDescent="0.25">
      <c r="A312" s="4">
        <v>311</v>
      </c>
      <c r="B312" s="5" t="s">
        <v>312</v>
      </c>
    </row>
    <row r="313" spans="1:2" x14ac:dyDescent="0.25">
      <c r="A313" s="4">
        <v>312</v>
      </c>
      <c r="B313" s="5" t="s">
        <v>313</v>
      </c>
    </row>
    <row r="314" spans="1:2" x14ac:dyDescent="0.25">
      <c r="A314" s="4">
        <v>313</v>
      </c>
      <c r="B314" s="5" t="s">
        <v>314</v>
      </c>
    </row>
    <row r="315" spans="1:2" x14ac:dyDescent="0.25">
      <c r="A315" s="4">
        <v>314</v>
      </c>
      <c r="B315" s="5" t="s">
        <v>315</v>
      </c>
    </row>
    <row r="316" spans="1:2" x14ac:dyDescent="0.25">
      <c r="A316" s="4">
        <v>315</v>
      </c>
      <c r="B316" s="5" t="s">
        <v>316</v>
      </c>
    </row>
    <row r="317" spans="1:2" x14ac:dyDescent="0.25">
      <c r="A317" s="4">
        <v>316</v>
      </c>
      <c r="B317" s="5" t="s">
        <v>317</v>
      </c>
    </row>
    <row r="318" spans="1:2" x14ac:dyDescent="0.25">
      <c r="A318" s="4">
        <v>317</v>
      </c>
      <c r="B318" s="5" t="s">
        <v>510</v>
      </c>
    </row>
    <row r="319" spans="1:2" x14ac:dyDescent="0.25">
      <c r="A319" s="4">
        <v>318</v>
      </c>
      <c r="B319" s="5" t="s">
        <v>318</v>
      </c>
    </row>
    <row r="320" spans="1:2" x14ac:dyDescent="0.25">
      <c r="A320" s="4">
        <v>319</v>
      </c>
      <c r="B320" s="5" t="s">
        <v>319</v>
      </c>
    </row>
    <row r="321" spans="1:2" x14ac:dyDescent="0.25">
      <c r="A321" s="4">
        <v>320</v>
      </c>
      <c r="B321" s="5" t="s">
        <v>320</v>
      </c>
    </row>
    <row r="322" spans="1:2" x14ac:dyDescent="0.25">
      <c r="A322" s="4">
        <v>321</v>
      </c>
      <c r="B322" s="5" t="s">
        <v>321</v>
      </c>
    </row>
    <row r="323" spans="1:2" x14ac:dyDescent="0.25">
      <c r="A323" s="4">
        <v>322</v>
      </c>
      <c r="B323" s="5" t="s">
        <v>322</v>
      </c>
    </row>
    <row r="324" spans="1:2" x14ac:dyDescent="0.25">
      <c r="A324" s="4">
        <v>323</v>
      </c>
      <c r="B324" s="5" t="s">
        <v>323</v>
      </c>
    </row>
    <row r="325" spans="1:2" x14ac:dyDescent="0.25">
      <c r="A325" s="4">
        <v>324</v>
      </c>
      <c r="B325" s="5" t="s">
        <v>324</v>
      </c>
    </row>
    <row r="326" spans="1:2" x14ac:dyDescent="0.25">
      <c r="A326" s="4">
        <v>325</v>
      </c>
      <c r="B326" s="5" t="s">
        <v>325</v>
      </c>
    </row>
    <row r="327" spans="1:2" x14ac:dyDescent="0.25">
      <c r="A327" s="4">
        <v>326</v>
      </c>
      <c r="B327" s="5" t="s">
        <v>326</v>
      </c>
    </row>
    <row r="328" spans="1:2" x14ac:dyDescent="0.25">
      <c r="A328" s="4">
        <v>327</v>
      </c>
      <c r="B328" s="5" t="s">
        <v>327</v>
      </c>
    </row>
    <row r="329" spans="1:2" x14ac:dyDescent="0.25">
      <c r="A329" s="4">
        <v>328</v>
      </c>
      <c r="B329" s="5" t="s">
        <v>328</v>
      </c>
    </row>
    <row r="330" spans="1:2" x14ac:dyDescent="0.25">
      <c r="A330" s="4">
        <v>329</v>
      </c>
      <c r="B330" s="5" t="s">
        <v>329</v>
      </c>
    </row>
    <row r="331" spans="1:2" x14ac:dyDescent="0.25">
      <c r="A331" s="4">
        <v>330</v>
      </c>
      <c r="B331" s="5" t="s">
        <v>330</v>
      </c>
    </row>
    <row r="332" spans="1:2" x14ac:dyDescent="0.25">
      <c r="A332" s="4">
        <v>331</v>
      </c>
      <c r="B332" s="5" t="s">
        <v>331</v>
      </c>
    </row>
    <row r="333" spans="1:2" x14ac:dyDescent="0.25">
      <c r="A333" s="4">
        <v>332</v>
      </c>
      <c r="B333" s="5" t="s">
        <v>332</v>
      </c>
    </row>
    <row r="334" spans="1:2" x14ac:dyDescent="0.25">
      <c r="A334" s="4">
        <v>333</v>
      </c>
      <c r="B334" s="5" t="s">
        <v>334</v>
      </c>
    </row>
    <row r="335" spans="1:2" x14ac:dyDescent="0.25">
      <c r="A335" s="4">
        <v>334</v>
      </c>
      <c r="B335" s="5" t="s">
        <v>511</v>
      </c>
    </row>
    <row r="336" spans="1:2" x14ac:dyDescent="0.25">
      <c r="A336" s="4">
        <v>335</v>
      </c>
      <c r="B336" s="5" t="s">
        <v>335</v>
      </c>
    </row>
    <row r="337" spans="1:2" x14ac:dyDescent="0.25">
      <c r="A337" s="4">
        <v>336</v>
      </c>
      <c r="B337" s="5" t="s">
        <v>336</v>
      </c>
    </row>
    <row r="338" spans="1:2" x14ac:dyDescent="0.25">
      <c r="A338" s="4">
        <v>337</v>
      </c>
      <c r="B338" s="5" t="s">
        <v>337</v>
      </c>
    </row>
    <row r="339" spans="1:2" x14ac:dyDescent="0.25">
      <c r="A339" s="4">
        <v>338</v>
      </c>
      <c r="B339" s="5" t="s">
        <v>338</v>
      </c>
    </row>
    <row r="340" spans="1:2" x14ac:dyDescent="0.25">
      <c r="A340" s="4">
        <v>339</v>
      </c>
      <c r="B340" s="5" t="s">
        <v>339</v>
      </c>
    </row>
    <row r="341" spans="1:2" x14ac:dyDescent="0.25">
      <c r="A341" s="4">
        <v>340</v>
      </c>
      <c r="B341" s="5" t="s">
        <v>340</v>
      </c>
    </row>
    <row r="342" spans="1:2" x14ac:dyDescent="0.25">
      <c r="A342" s="4">
        <v>341</v>
      </c>
      <c r="B342" s="5" t="s">
        <v>341</v>
      </c>
    </row>
    <row r="343" spans="1:2" x14ac:dyDescent="0.25">
      <c r="A343" s="4">
        <v>342</v>
      </c>
      <c r="B343" s="5" t="s">
        <v>342</v>
      </c>
    </row>
    <row r="344" spans="1:2" x14ac:dyDescent="0.25">
      <c r="A344" s="4">
        <v>343</v>
      </c>
      <c r="B344" s="5" t="s">
        <v>343</v>
      </c>
    </row>
    <row r="345" spans="1:2" x14ac:dyDescent="0.25">
      <c r="A345" s="4">
        <v>344</v>
      </c>
      <c r="B345" s="5" t="s">
        <v>344</v>
      </c>
    </row>
    <row r="346" spans="1:2" x14ac:dyDescent="0.25">
      <c r="A346" s="4">
        <v>345</v>
      </c>
      <c r="B346" s="5" t="s">
        <v>345</v>
      </c>
    </row>
    <row r="347" spans="1:2" x14ac:dyDescent="0.25">
      <c r="A347" s="4">
        <v>346</v>
      </c>
      <c r="B347" s="5" t="s">
        <v>346</v>
      </c>
    </row>
    <row r="348" spans="1:2" x14ac:dyDescent="0.25">
      <c r="A348" s="4">
        <v>347</v>
      </c>
      <c r="B348" s="5" t="s">
        <v>347</v>
      </c>
    </row>
    <row r="349" spans="1:2" x14ac:dyDescent="0.25">
      <c r="A349" s="4">
        <v>348</v>
      </c>
      <c r="B349" s="5" t="s">
        <v>348</v>
      </c>
    </row>
    <row r="350" spans="1:2" x14ac:dyDescent="0.25">
      <c r="A350" s="4">
        <v>349</v>
      </c>
      <c r="B350" s="5" t="s">
        <v>349</v>
      </c>
    </row>
    <row r="351" spans="1:2" x14ac:dyDescent="0.25">
      <c r="A351" s="4">
        <v>350</v>
      </c>
      <c r="B351" s="5" t="s">
        <v>441</v>
      </c>
    </row>
    <row r="352" spans="1:2" x14ac:dyDescent="0.25">
      <c r="A352" s="4">
        <v>351</v>
      </c>
      <c r="B352" s="5" t="s">
        <v>350</v>
      </c>
    </row>
    <row r="353" spans="1:2" x14ac:dyDescent="0.25">
      <c r="A353" s="4">
        <v>352</v>
      </c>
      <c r="B353" s="5" t="s">
        <v>442</v>
      </c>
    </row>
    <row r="354" spans="1:2" x14ac:dyDescent="0.25">
      <c r="A354" s="4">
        <v>353</v>
      </c>
      <c r="B354" s="5" t="s">
        <v>351</v>
      </c>
    </row>
    <row r="355" spans="1:2" x14ac:dyDescent="0.25">
      <c r="A355" s="4">
        <v>354</v>
      </c>
      <c r="B355" s="5" t="s">
        <v>352</v>
      </c>
    </row>
    <row r="356" spans="1:2" x14ac:dyDescent="0.25">
      <c r="A356" s="4">
        <v>355</v>
      </c>
      <c r="B356" s="5" t="s">
        <v>353</v>
      </c>
    </row>
    <row r="357" spans="1:2" x14ac:dyDescent="0.25">
      <c r="A357" s="4">
        <v>356</v>
      </c>
      <c r="B357" s="5" t="s">
        <v>354</v>
      </c>
    </row>
    <row r="358" spans="1:2" x14ac:dyDescent="0.25">
      <c r="A358" s="4">
        <v>357</v>
      </c>
      <c r="B358" s="5" t="s">
        <v>355</v>
      </c>
    </row>
    <row r="359" spans="1:2" x14ac:dyDescent="0.25">
      <c r="A359" s="4">
        <v>358</v>
      </c>
      <c r="B359" s="5" t="s">
        <v>356</v>
      </c>
    </row>
    <row r="360" spans="1:2" x14ac:dyDescent="0.25">
      <c r="A360" s="4">
        <v>359</v>
      </c>
      <c r="B360" s="5" t="s">
        <v>357</v>
      </c>
    </row>
    <row r="361" spans="1:2" x14ac:dyDescent="0.25">
      <c r="A361" s="4">
        <v>360</v>
      </c>
      <c r="B361" s="5" t="s">
        <v>358</v>
      </c>
    </row>
    <row r="362" spans="1:2" x14ac:dyDescent="0.25">
      <c r="A362" s="4">
        <v>361</v>
      </c>
      <c r="B362" s="5" t="s">
        <v>359</v>
      </c>
    </row>
    <row r="363" spans="1:2" x14ac:dyDescent="0.25">
      <c r="A363" s="4">
        <v>362</v>
      </c>
      <c r="B363" s="5" t="s">
        <v>360</v>
      </c>
    </row>
    <row r="364" spans="1:2" x14ac:dyDescent="0.25">
      <c r="A364" s="4">
        <v>363</v>
      </c>
      <c r="B364" s="5" t="s">
        <v>361</v>
      </c>
    </row>
    <row r="365" spans="1:2" x14ac:dyDescent="0.25">
      <c r="A365" s="4">
        <v>364</v>
      </c>
      <c r="B365" s="5" t="s">
        <v>362</v>
      </c>
    </row>
    <row r="366" spans="1:2" x14ac:dyDescent="0.25">
      <c r="A366" s="4">
        <v>365</v>
      </c>
      <c r="B366" s="5" t="s">
        <v>363</v>
      </c>
    </row>
    <row r="367" spans="1:2" x14ac:dyDescent="0.25">
      <c r="A367" s="4">
        <v>366</v>
      </c>
      <c r="B367" s="5" t="s">
        <v>364</v>
      </c>
    </row>
    <row r="368" spans="1:2" x14ac:dyDescent="0.25">
      <c r="A368" s="4">
        <v>367</v>
      </c>
      <c r="B368" s="5" t="s">
        <v>365</v>
      </c>
    </row>
    <row r="369" spans="1:2" x14ac:dyDescent="0.25">
      <c r="A369" s="4">
        <v>368</v>
      </c>
      <c r="B369" s="5" t="s">
        <v>366</v>
      </c>
    </row>
    <row r="370" spans="1:2" x14ac:dyDescent="0.25">
      <c r="A370" s="4">
        <v>369</v>
      </c>
      <c r="B370" s="5" t="s">
        <v>367</v>
      </c>
    </row>
    <row r="371" spans="1:2" x14ac:dyDescent="0.25">
      <c r="A371" s="4">
        <v>370</v>
      </c>
      <c r="B371" s="5" t="s">
        <v>368</v>
      </c>
    </row>
    <row r="372" spans="1:2" x14ac:dyDescent="0.25">
      <c r="A372" s="4">
        <v>371</v>
      </c>
      <c r="B372" s="5" t="s">
        <v>369</v>
      </c>
    </row>
    <row r="373" spans="1:2" x14ac:dyDescent="0.25">
      <c r="A373" s="4">
        <v>372</v>
      </c>
      <c r="B373" s="5" t="s">
        <v>370</v>
      </c>
    </row>
    <row r="374" spans="1:2" x14ac:dyDescent="0.25">
      <c r="A374" s="4">
        <v>373</v>
      </c>
      <c r="B374" s="5" t="s">
        <v>371</v>
      </c>
    </row>
    <row r="375" spans="1:2" x14ac:dyDescent="0.25">
      <c r="A375" s="4">
        <v>374</v>
      </c>
      <c r="B375" s="5" t="s">
        <v>372</v>
      </c>
    </row>
    <row r="376" spans="1:2" x14ac:dyDescent="0.25">
      <c r="A376" s="4">
        <v>375</v>
      </c>
      <c r="B376" s="5" t="s">
        <v>373</v>
      </c>
    </row>
    <row r="377" spans="1:2" x14ac:dyDescent="0.25">
      <c r="A377" s="4">
        <v>376</v>
      </c>
      <c r="B377" s="5" t="s">
        <v>374</v>
      </c>
    </row>
    <row r="378" spans="1:2" x14ac:dyDescent="0.25">
      <c r="A378" s="4">
        <v>377</v>
      </c>
      <c r="B378" s="5" t="s">
        <v>375</v>
      </c>
    </row>
    <row r="379" spans="1:2" x14ac:dyDescent="0.25">
      <c r="A379" s="4">
        <v>378</v>
      </c>
      <c r="B379" s="5" t="s">
        <v>376</v>
      </c>
    </row>
    <row r="380" spans="1:2" x14ac:dyDescent="0.25">
      <c r="A380" s="4">
        <v>379</v>
      </c>
      <c r="B380" s="5" t="s">
        <v>377</v>
      </c>
    </row>
    <row r="381" spans="1:2" x14ac:dyDescent="0.25">
      <c r="A381" s="4">
        <v>380</v>
      </c>
      <c r="B381" s="5" t="s">
        <v>378</v>
      </c>
    </row>
    <row r="382" spans="1:2" x14ac:dyDescent="0.25">
      <c r="A382" s="4">
        <v>381</v>
      </c>
      <c r="B382" s="5" t="s">
        <v>379</v>
      </c>
    </row>
    <row r="383" spans="1:2" x14ac:dyDescent="0.25">
      <c r="A383" s="4">
        <v>382</v>
      </c>
      <c r="B383" s="5" t="s">
        <v>380</v>
      </c>
    </row>
    <row r="384" spans="1:2" x14ac:dyDescent="0.25">
      <c r="A384" s="4">
        <v>383</v>
      </c>
      <c r="B384" s="5" t="s">
        <v>381</v>
      </c>
    </row>
    <row r="385" spans="1:2" x14ac:dyDescent="0.25">
      <c r="A385" s="4">
        <v>384</v>
      </c>
      <c r="B385" s="5" t="s">
        <v>382</v>
      </c>
    </row>
    <row r="386" spans="1:2" x14ac:dyDescent="0.25">
      <c r="A386" s="4">
        <v>385</v>
      </c>
      <c r="B386" s="5" t="s">
        <v>383</v>
      </c>
    </row>
    <row r="387" spans="1:2" x14ac:dyDescent="0.25">
      <c r="A387" s="4">
        <v>386</v>
      </c>
      <c r="B387" s="5" t="s">
        <v>384</v>
      </c>
    </row>
    <row r="388" spans="1:2" x14ac:dyDescent="0.25">
      <c r="A388" s="4">
        <v>387</v>
      </c>
      <c r="B388" s="5" t="s">
        <v>385</v>
      </c>
    </row>
    <row r="389" spans="1:2" x14ac:dyDescent="0.25">
      <c r="A389" s="4">
        <v>388</v>
      </c>
      <c r="B389" s="5" t="s">
        <v>386</v>
      </c>
    </row>
    <row r="390" spans="1:2" x14ac:dyDescent="0.25">
      <c r="A390" s="4">
        <v>389</v>
      </c>
      <c r="B390" s="5" t="s">
        <v>387</v>
      </c>
    </row>
    <row r="391" spans="1:2" x14ac:dyDescent="0.25">
      <c r="A391" s="4">
        <v>390</v>
      </c>
      <c r="B391" s="5" t="s">
        <v>388</v>
      </c>
    </row>
    <row r="392" spans="1:2" x14ac:dyDescent="0.25">
      <c r="A392" s="4">
        <v>391</v>
      </c>
      <c r="B392" s="5" t="s">
        <v>389</v>
      </c>
    </row>
    <row r="393" spans="1:2" x14ac:dyDescent="0.25">
      <c r="A393" s="4">
        <v>392</v>
      </c>
      <c r="B393" s="5" t="s">
        <v>390</v>
      </c>
    </row>
    <row r="394" spans="1:2" x14ac:dyDescent="0.25">
      <c r="A394" s="4">
        <v>393</v>
      </c>
      <c r="B394" s="5" t="s">
        <v>391</v>
      </c>
    </row>
    <row r="395" spans="1:2" x14ac:dyDescent="0.25">
      <c r="A395" s="4">
        <v>394</v>
      </c>
      <c r="B395" s="5" t="s">
        <v>512</v>
      </c>
    </row>
    <row r="396" spans="1:2" x14ac:dyDescent="0.25">
      <c r="A396" s="4">
        <v>395</v>
      </c>
      <c r="B396" s="5" t="s">
        <v>392</v>
      </c>
    </row>
    <row r="397" spans="1:2" x14ac:dyDescent="0.25">
      <c r="A397" s="4">
        <v>396</v>
      </c>
      <c r="B397" s="5" t="s">
        <v>468</v>
      </c>
    </row>
    <row r="398" spans="1:2" x14ac:dyDescent="0.25">
      <c r="A398" s="4">
        <v>397</v>
      </c>
      <c r="B398" s="5" t="s">
        <v>393</v>
      </c>
    </row>
    <row r="399" spans="1:2" x14ac:dyDescent="0.25">
      <c r="A399" s="4">
        <v>398</v>
      </c>
      <c r="B399" s="5" t="s">
        <v>394</v>
      </c>
    </row>
    <row r="400" spans="1:2" x14ac:dyDescent="0.25">
      <c r="A400" s="4">
        <v>399</v>
      </c>
      <c r="B400" s="5" t="s">
        <v>396</v>
      </c>
    </row>
    <row r="401" spans="1:2" x14ac:dyDescent="0.25">
      <c r="A401" s="4">
        <v>400</v>
      </c>
      <c r="B401" s="5" t="s">
        <v>397</v>
      </c>
    </row>
    <row r="402" spans="1:2" x14ac:dyDescent="0.25">
      <c r="A402" s="4">
        <v>401</v>
      </c>
      <c r="B402" s="5" t="s">
        <v>513</v>
      </c>
    </row>
    <row r="403" spans="1:2" x14ac:dyDescent="0.25">
      <c r="A403" s="4">
        <v>402</v>
      </c>
      <c r="B403" s="5" t="s">
        <v>398</v>
      </c>
    </row>
    <row r="404" spans="1:2" x14ac:dyDescent="0.25">
      <c r="A404" s="4">
        <v>403</v>
      </c>
      <c r="B404" s="5" t="s">
        <v>399</v>
      </c>
    </row>
    <row r="405" spans="1:2" x14ac:dyDescent="0.25">
      <c r="A405" s="4">
        <v>404</v>
      </c>
      <c r="B405" s="5" t="s">
        <v>400</v>
      </c>
    </row>
    <row r="406" spans="1:2" x14ac:dyDescent="0.25">
      <c r="A406" s="4">
        <v>405</v>
      </c>
      <c r="B406" s="5" t="s">
        <v>401</v>
      </c>
    </row>
    <row r="407" spans="1:2" x14ac:dyDescent="0.25">
      <c r="A407" s="4">
        <v>406</v>
      </c>
      <c r="B407" s="5" t="s">
        <v>402</v>
      </c>
    </row>
    <row r="408" spans="1:2" x14ac:dyDescent="0.25">
      <c r="A408" s="4">
        <v>407</v>
      </c>
      <c r="B408" s="5" t="s">
        <v>403</v>
      </c>
    </row>
    <row r="409" spans="1:2" x14ac:dyDescent="0.25">
      <c r="A409" s="4">
        <v>408</v>
      </c>
      <c r="B409" s="5" t="s">
        <v>404</v>
      </c>
    </row>
    <row r="410" spans="1:2" x14ac:dyDescent="0.25">
      <c r="A410" s="4">
        <v>409</v>
      </c>
      <c r="B410" s="5" t="s">
        <v>405</v>
      </c>
    </row>
    <row r="411" spans="1:2" x14ac:dyDescent="0.25">
      <c r="A411" s="4">
        <v>410</v>
      </c>
      <c r="B411" s="5" t="s">
        <v>406</v>
      </c>
    </row>
    <row r="412" spans="1:2" x14ac:dyDescent="0.25">
      <c r="A412" s="4">
        <v>411</v>
      </c>
      <c r="B412" s="5" t="s">
        <v>407</v>
      </c>
    </row>
    <row r="413" spans="1:2" x14ac:dyDescent="0.25">
      <c r="A413" s="4">
        <v>412</v>
      </c>
      <c r="B413" s="5" t="s">
        <v>408</v>
      </c>
    </row>
    <row r="414" spans="1:2" x14ac:dyDescent="0.25">
      <c r="A414" s="4">
        <v>413</v>
      </c>
      <c r="B414" s="5" t="s">
        <v>409</v>
      </c>
    </row>
    <row r="415" spans="1:2" x14ac:dyDescent="0.25">
      <c r="A415" s="4">
        <v>414</v>
      </c>
      <c r="B415" s="5" t="s">
        <v>410</v>
      </c>
    </row>
    <row r="416" spans="1:2" x14ac:dyDescent="0.25">
      <c r="A416" s="4">
        <v>415</v>
      </c>
      <c r="B416" s="5" t="s">
        <v>411</v>
      </c>
    </row>
    <row r="417" spans="1:2" x14ac:dyDescent="0.25">
      <c r="A417" s="4">
        <v>416</v>
      </c>
      <c r="B417" s="5" t="s">
        <v>412</v>
      </c>
    </row>
    <row r="418" spans="1:2" x14ac:dyDescent="0.25">
      <c r="A418" s="4">
        <v>417</v>
      </c>
      <c r="B418" s="5" t="s">
        <v>413</v>
      </c>
    </row>
    <row r="419" spans="1:2" x14ac:dyDescent="0.25">
      <c r="A419" s="4">
        <v>418</v>
      </c>
      <c r="B419" s="5" t="s">
        <v>414</v>
      </c>
    </row>
    <row r="420" spans="1:2" x14ac:dyDescent="0.25">
      <c r="A420" s="4">
        <v>419</v>
      </c>
      <c r="B420" s="5" t="s">
        <v>415</v>
      </c>
    </row>
    <row r="421" spans="1:2" x14ac:dyDescent="0.25">
      <c r="A421" s="4">
        <v>420</v>
      </c>
      <c r="B421" s="5" t="s">
        <v>416</v>
      </c>
    </row>
    <row r="422" spans="1:2" x14ac:dyDescent="0.25">
      <c r="A422" s="4">
        <v>421</v>
      </c>
      <c r="B422" s="5" t="s">
        <v>417</v>
      </c>
    </row>
    <row r="423" spans="1:2" x14ac:dyDescent="0.25">
      <c r="A423" s="4">
        <v>422</v>
      </c>
      <c r="B423" s="5" t="s">
        <v>418</v>
      </c>
    </row>
    <row r="424" spans="1:2" x14ac:dyDescent="0.25">
      <c r="A424" s="4">
        <v>423</v>
      </c>
      <c r="B424" s="5" t="s">
        <v>419</v>
      </c>
    </row>
    <row r="425" spans="1:2" x14ac:dyDescent="0.25">
      <c r="A425" s="4">
        <v>424</v>
      </c>
      <c r="B425" s="5" t="s">
        <v>420</v>
      </c>
    </row>
    <row r="426" spans="1:2" x14ac:dyDescent="0.25">
      <c r="A426" s="4">
        <v>425</v>
      </c>
      <c r="B426" s="5" t="s">
        <v>421</v>
      </c>
    </row>
    <row r="427" spans="1:2" x14ac:dyDescent="0.25">
      <c r="A427" s="4">
        <v>426</v>
      </c>
      <c r="B427" s="5" t="s">
        <v>422</v>
      </c>
    </row>
    <row r="428" spans="1:2" x14ac:dyDescent="0.25">
      <c r="A428" s="4">
        <v>427</v>
      </c>
      <c r="B428" s="5" t="s">
        <v>423</v>
      </c>
    </row>
    <row r="429" spans="1:2" x14ac:dyDescent="0.25">
      <c r="A429" s="4">
        <v>428</v>
      </c>
      <c r="B429" s="5" t="s">
        <v>424</v>
      </c>
    </row>
    <row r="430" spans="1:2" x14ac:dyDescent="0.25">
      <c r="A430" s="4">
        <v>429</v>
      </c>
      <c r="B430" s="5" t="s">
        <v>425</v>
      </c>
    </row>
    <row r="431" spans="1:2" x14ac:dyDescent="0.25">
      <c r="A431" s="4">
        <v>430</v>
      </c>
      <c r="B431" s="5" t="s">
        <v>426</v>
      </c>
    </row>
    <row r="432" spans="1:2" x14ac:dyDescent="0.25">
      <c r="A432" s="4">
        <v>431</v>
      </c>
      <c r="B432" s="5" t="s">
        <v>427</v>
      </c>
    </row>
    <row r="433" spans="1:2" x14ac:dyDescent="0.25">
      <c r="A433" s="4">
        <v>432</v>
      </c>
      <c r="B433" s="5" t="s">
        <v>428</v>
      </c>
    </row>
    <row r="434" spans="1:2" x14ac:dyDescent="0.25">
      <c r="A434" s="4">
        <v>433</v>
      </c>
      <c r="B434" s="5" t="s">
        <v>429</v>
      </c>
    </row>
    <row r="435" spans="1:2" x14ac:dyDescent="0.25">
      <c r="A435" s="4">
        <v>434</v>
      </c>
      <c r="B435" s="5" t="s">
        <v>430</v>
      </c>
    </row>
    <row r="436" spans="1:2" x14ac:dyDescent="0.25">
      <c r="A436" s="4">
        <v>435</v>
      </c>
      <c r="B436" s="5" t="s">
        <v>431</v>
      </c>
    </row>
    <row r="437" spans="1:2" x14ac:dyDescent="0.25">
      <c r="A437" s="4">
        <v>436</v>
      </c>
      <c r="B437" s="5" t="s">
        <v>432</v>
      </c>
    </row>
    <row r="438" spans="1:2" x14ac:dyDescent="0.25">
      <c r="A438" s="4">
        <v>437</v>
      </c>
      <c r="B438" s="5" t="s">
        <v>433</v>
      </c>
    </row>
    <row r="439" spans="1:2" x14ac:dyDescent="0.25">
      <c r="A439" s="4">
        <v>438</v>
      </c>
      <c r="B439" s="5" t="s">
        <v>434</v>
      </c>
    </row>
    <row r="440" spans="1:2" x14ac:dyDescent="0.25">
      <c r="A440" s="4">
        <v>439</v>
      </c>
      <c r="B440" s="5" t="s">
        <v>435</v>
      </c>
    </row>
    <row r="441" spans="1:2" x14ac:dyDescent="0.25">
      <c r="A441" s="4">
        <v>440</v>
      </c>
      <c r="B441" s="5" t="s">
        <v>436</v>
      </c>
    </row>
    <row r="442" spans="1:2" x14ac:dyDescent="0.25">
      <c r="A442" s="4">
        <v>441</v>
      </c>
      <c r="B442" s="5" t="s">
        <v>437</v>
      </c>
    </row>
    <row r="443" spans="1:2" x14ac:dyDescent="0.25">
      <c r="A443" s="4">
        <v>442</v>
      </c>
      <c r="B443" s="5" t="s">
        <v>438</v>
      </c>
    </row>
    <row r="444" spans="1:2" x14ac:dyDescent="0.25">
      <c r="A444" s="4">
        <v>443</v>
      </c>
      <c r="B444" s="5" t="s">
        <v>439</v>
      </c>
    </row>
    <row r="445" spans="1:2" x14ac:dyDescent="0.25">
      <c r="A445" s="4">
        <v>444</v>
      </c>
      <c r="B445" s="5" t="s">
        <v>440</v>
      </c>
    </row>
    <row r="446" spans="1:2" x14ac:dyDescent="0.25">
      <c r="A446" s="4">
        <v>445</v>
      </c>
      <c r="B446" s="5" t="s">
        <v>443</v>
      </c>
    </row>
    <row r="447" spans="1:2" x14ac:dyDescent="0.25">
      <c r="A447" s="4">
        <v>446</v>
      </c>
      <c r="B447" s="5" t="s">
        <v>444</v>
      </c>
    </row>
    <row r="448" spans="1:2" x14ac:dyDescent="0.25">
      <c r="A448" s="4">
        <v>447</v>
      </c>
      <c r="B448" s="5" t="s">
        <v>445</v>
      </c>
    </row>
    <row r="449" spans="1:2" x14ac:dyDescent="0.25">
      <c r="A449" s="4">
        <v>448</v>
      </c>
      <c r="B449" s="5" t="s">
        <v>446</v>
      </c>
    </row>
    <row r="450" spans="1:2" x14ac:dyDescent="0.25">
      <c r="A450" s="4">
        <v>449</v>
      </c>
      <c r="B450" s="5" t="s">
        <v>447</v>
      </c>
    </row>
    <row r="451" spans="1:2" x14ac:dyDescent="0.25">
      <c r="A451" s="4">
        <v>450</v>
      </c>
      <c r="B451" s="5" t="s">
        <v>448</v>
      </c>
    </row>
    <row r="452" spans="1:2" x14ac:dyDescent="0.25">
      <c r="A452" s="4">
        <v>451</v>
      </c>
      <c r="B452" s="5" t="s">
        <v>449</v>
      </c>
    </row>
    <row r="453" spans="1:2" x14ac:dyDescent="0.25">
      <c r="A453" s="4">
        <v>452</v>
      </c>
      <c r="B453" s="5" t="s">
        <v>450</v>
      </c>
    </row>
    <row r="454" spans="1:2" x14ac:dyDescent="0.25">
      <c r="A454" s="4">
        <v>453</v>
      </c>
      <c r="B454" s="5" t="s">
        <v>451</v>
      </c>
    </row>
    <row r="455" spans="1:2" x14ac:dyDescent="0.25">
      <c r="A455" s="4">
        <v>454</v>
      </c>
      <c r="B455" s="5" t="s">
        <v>452</v>
      </c>
    </row>
    <row r="456" spans="1:2" x14ac:dyDescent="0.25">
      <c r="A456" s="4">
        <v>455</v>
      </c>
      <c r="B456" s="5" t="s">
        <v>453</v>
      </c>
    </row>
    <row r="457" spans="1:2" x14ac:dyDescent="0.25">
      <c r="A457" s="4">
        <v>456</v>
      </c>
      <c r="B457" s="5" t="s">
        <v>454</v>
      </c>
    </row>
    <row r="458" spans="1:2" x14ac:dyDescent="0.25">
      <c r="A458" s="4">
        <v>457</v>
      </c>
      <c r="B458" s="5" t="s">
        <v>455</v>
      </c>
    </row>
    <row r="459" spans="1:2" x14ac:dyDescent="0.25">
      <c r="A459" s="4">
        <v>458</v>
      </c>
      <c r="B459" s="5" t="s">
        <v>456</v>
      </c>
    </row>
    <row r="460" spans="1:2" x14ac:dyDescent="0.25">
      <c r="A460" s="4">
        <v>459</v>
      </c>
      <c r="B460" s="5" t="s">
        <v>457</v>
      </c>
    </row>
    <row r="461" spans="1:2" x14ac:dyDescent="0.25">
      <c r="A461" s="4">
        <v>460</v>
      </c>
      <c r="B461" s="5" t="s">
        <v>458</v>
      </c>
    </row>
    <row r="462" spans="1:2" x14ac:dyDescent="0.25">
      <c r="A462" s="4">
        <v>461</v>
      </c>
      <c r="B462" s="5" t="s">
        <v>460</v>
      </c>
    </row>
    <row r="463" spans="1:2" x14ac:dyDescent="0.25">
      <c r="A463" s="4">
        <v>462</v>
      </c>
      <c r="B463" s="5" t="s">
        <v>461</v>
      </c>
    </row>
    <row r="464" spans="1:2" x14ac:dyDescent="0.25">
      <c r="A464" s="4">
        <v>463</v>
      </c>
      <c r="B464" s="5" t="s">
        <v>462</v>
      </c>
    </row>
    <row r="465" spans="1:2" x14ac:dyDescent="0.25">
      <c r="A465" s="4">
        <v>464</v>
      </c>
      <c r="B465" s="5" t="s">
        <v>463</v>
      </c>
    </row>
    <row r="466" spans="1:2" x14ac:dyDescent="0.25">
      <c r="A466" s="4">
        <v>465</v>
      </c>
      <c r="B466" s="5" t="s">
        <v>466</v>
      </c>
    </row>
    <row r="467" spans="1:2" x14ac:dyDescent="0.25">
      <c r="A467" s="4">
        <v>466</v>
      </c>
      <c r="B467" s="5" t="s">
        <v>467</v>
      </c>
    </row>
    <row r="468" spans="1:2" x14ac:dyDescent="0.25">
      <c r="A468" s="4">
        <v>467</v>
      </c>
      <c r="B468" s="5" t="s">
        <v>469</v>
      </c>
    </row>
    <row r="469" spans="1:2" x14ac:dyDescent="0.25">
      <c r="A469" s="4">
        <v>468</v>
      </c>
      <c r="B469" s="5" t="s">
        <v>470</v>
      </c>
    </row>
    <row r="470" spans="1:2" x14ac:dyDescent="0.25">
      <c r="A470" s="4">
        <v>469</v>
      </c>
      <c r="B470" s="5" t="s">
        <v>471</v>
      </c>
    </row>
    <row r="471" spans="1:2" x14ac:dyDescent="0.25">
      <c r="A471" s="4">
        <v>470</v>
      </c>
      <c r="B471" s="5" t="s">
        <v>472</v>
      </c>
    </row>
    <row r="472" spans="1:2" x14ac:dyDescent="0.25">
      <c r="A472" s="4">
        <v>471</v>
      </c>
      <c r="B472" s="5" t="s">
        <v>476</v>
      </c>
    </row>
    <row r="473" spans="1:2" x14ac:dyDescent="0.25">
      <c r="A473" s="4">
        <v>472</v>
      </c>
      <c r="B473" s="5" t="s">
        <v>477</v>
      </c>
    </row>
    <row r="474" spans="1:2" x14ac:dyDescent="0.25">
      <c r="A474" s="4">
        <v>473</v>
      </c>
      <c r="B474" s="5" t="s">
        <v>478</v>
      </c>
    </row>
    <row r="475" spans="1:2" x14ac:dyDescent="0.25">
      <c r="A475" s="4">
        <v>474</v>
      </c>
      <c r="B475" s="5" t="s">
        <v>479</v>
      </c>
    </row>
    <row r="476" spans="1:2" x14ac:dyDescent="0.25">
      <c r="A476" s="4">
        <v>475</v>
      </c>
      <c r="B476" s="5" t="s">
        <v>480</v>
      </c>
    </row>
    <row r="477" spans="1:2" x14ac:dyDescent="0.25">
      <c r="A477" s="4">
        <v>476</v>
      </c>
      <c r="B477" s="5" t="s">
        <v>482</v>
      </c>
    </row>
    <row r="478" spans="1:2" x14ac:dyDescent="0.25">
      <c r="A478" s="4">
        <v>477</v>
      </c>
      <c r="B478" s="5" t="s">
        <v>483</v>
      </c>
    </row>
    <row r="479" spans="1:2" x14ac:dyDescent="0.25">
      <c r="A479" s="4">
        <v>478</v>
      </c>
      <c r="B479" s="5" t="s">
        <v>484</v>
      </c>
    </row>
    <row r="480" spans="1:2" x14ac:dyDescent="0.25">
      <c r="A480" s="4">
        <v>479</v>
      </c>
      <c r="B480" s="5" t="s">
        <v>485</v>
      </c>
    </row>
    <row r="481" spans="1:2" x14ac:dyDescent="0.25">
      <c r="A481" s="4">
        <v>480</v>
      </c>
      <c r="B481" s="5" t="s">
        <v>486</v>
      </c>
    </row>
    <row r="482" spans="1:2" x14ac:dyDescent="0.25">
      <c r="A482" s="4">
        <v>481</v>
      </c>
      <c r="B482" s="5" t="s">
        <v>487</v>
      </c>
    </row>
    <row r="483" spans="1:2" x14ac:dyDescent="0.25">
      <c r="A483" s="4">
        <v>482</v>
      </c>
      <c r="B483" s="5" t="s">
        <v>488</v>
      </c>
    </row>
    <row r="484" spans="1:2" x14ac:dyDescent="0.25">
      <c r="A484" s="4">
        <v>483</v>
      </c>
      <c r="B484" s="5" t="s">
        <v>489</v>
      </c>
    </row>
    <row r="485" spans="1:2" x14ac:dyDescent="0.25">
      <c r="A485" s="4">
        <v>484</v>
      </c>
      <c r="B485" s="5" t="s">
        <v>490</v>
      </c>
    </row>
    <row r="486" spans="1:2" x14ac:dyDescent="0.25">
      <c r="A486" s="4">
        <v>485</v>
      </c>
      <c r="B486" s="5" t="s">
        <v>491</v>
      </c>
    </row>
    <row r="487" spans="1:2" x14ac:dyDescent="0.25">
      <c r="A487" s="4">
        <v>486</v>
      </c>
      <c r="B487" s="5" t="s">
        <v>492</v>
      </c>
    </row>
    <row r="488" spans="1:2" x14ac:dyDescent="0.25">
      <c r="A488" s="4">
        <v>487</v>
      </c>
      <c r="B488" s="5" t="s">
        <v>494</v>
      </c>
    </row>
    <row r="489" spans="1:2" x14ac:dyDescent="0.25">
      <c r="A489" s="4">
        <v>488</v>
      </c>
      <c r="B489" s="5" t="s">
        <v>495</v>
      </c>
    </row>
    <row r="490" spans="1:2" x14ac:dyDescent="0.25">
      <c r="A490" s="4">
        <v>489</v>
      </c>
      <c r="B490" s="5" t="s">
        <v>514</v>
      </c>
    </row>
    <row r="491" spans="1:2" x14ac:dyDescent="0.25">
      <c r="A491" s="4">
        <v>490</v>
      </c>
      <c r="B491" s="5" t="s">
        <v>515</v>
      </c>
    </row>
    <row r="492" spans="1:2" x14ac:dyDescent="0.25">
      <c r="A492" s="4">
        <v>491</v>
      </c>
      <c r="B492" s="5" t="s">
        <v>516</v>
      </c>
    </row>
    <row r="493" spans="1:2" x14ac:dyDescent="0.25">
      <c r="A493" s="4">
        <v>492</v>
      </c>
      <c r="B493" s="5" t="s">
        <v>517</v>
      </c>
    </row>
    <row r="494" spans="1:2" x14ac:dyDescent="0.25">
      <c r="A494" s="4">
        <v>493</v>
      </c>
      <c r="B494" s="5" t="s">
        <v>518</v>
      </c>
    </row>
    <row r="495" spans="1:2" x14ac:dyDescent="0.25">
      <c r="A495" s="4">
        <v>494</v>
      </c>
      <c r="B495" s="5" t="s">
        <v>519</v>
      </c>
    </row>
    <row r="496" spans="1:2" x14ac:dyDescent="0.25">
      <c r="A496" s="4">
        <v>495</v>
      </c>
      <c r="B496" s="5" t="s">
        <v>520</v>
      </c>
    </row>
    <row r="497" spans="1:2" x14ac:dyDescent="0.25">
      <c r="A497" s="4">
        <v>496</v>
      </c>
      <c r="B497" s="5" t="s">
        <v>521</v>
      </c>
    </row>
    <row r="498" spans="1:2" x14ac:dyDescent="0.25">
      <c r="A498" s="4">
        <v>497</v>
      </c>
      <c r="B498" s="5" t="s">
        <v>522</v>
      </c>
    </row>
    <row r="499" spans="1:2" x14ac:dyDescent="0.25">
      <c r="A499" s="4">
        <v>498</v>
      </c>
      <c r="B499" s="5" t="s">
        <v>523</v>
      </c>
    </row>
    <row r="500" spans="1:2" x14ac:dyDescent="0.25">
      <c r="A500" s="4">
        <v>499</v>
      </c>
      <c r="B500" s="5" t="s">
        <v>524</v>
      </c>
    </row>
    <row r="501" spans="1:2" x14ac:dyDescent="0.25">
      <c r="A501" s="4">
        <v>500</v>
      </c>
      <c r="B501" s="5" t="s">
        <v>525</v>
      </c>
    </row>
    <row r="502" spans="1:2" x14ac:dyDescent="0.25">
      <c r="A502" s="4">
        <v>501</v>
      </c>
      <c r="B502" s="5" t="s">
        <v>526</v>
      </c>
    </row>
    <row r="503" spans="1:2" x14ac:dyDescent="0.25">
      <c r="A503" s="4">
        <v>502</v>
      </c>
      <c r="B503" s="5" t="s">
        <v>527</v>
      </c>
    </row>
    <row r="504" spans="1:2" x14ac:dyDescent="0.25">
      <c r="A504" s="4">
        <v>503</v>
      </c>
      <c r="B504" s="5" t="s">
        <v>528</v>
      </c>
    </row>
    <row r="505" spans="1:2" x14ac:dyDescent="0.25">
      <c r="A505" s="4" t="s">
        <v>1362</v>
      </c>
      <c r="B505" s="5" t="s">
        <v>667</v>
      </c>
    </row>
    <row r="506" spans="1:2" x14ac:dyDescent="0.25">
      <c r="A506" s="4" t="s">
        <v>1361</v>
      </c>
      <c r="B506" s="5" t="s">
        <v>670</v>
      </c>
    </row>
    <row r="507" spans="1:2" x14ac:dyDescent="0.25">
      <c r="A507" s="4" t="s">
        <v>1359</v>
      </c>
      <c r="B507" s="5" t="s">
        <v>1180</v>
      </c>
    </row>
    <row r="508" spans="1:2" x14ac:dyDescent="0.25">
      <c r="A508" s="4" t="s">
        <v>1360</v>
      </c>
      <c r="B508" s="5" t="s">
        <v>1178</v>
      </c>
    </row>
    <row r="510" spans="1:2" x14ac:dyDescent="0.25">
      <c r="B510" s="5"/>
    </row>
    <row r="511" spans="1:2" x14ac:dyDescent="0.25">
      <c r="A511" s="4"/>
    </row>
    <row r="512" spans="1:2" x14ac:dyDescent="0.25">
      <c r="A512" s="4"/>
      <c r="B512" s="5"/>
    </row>
    <row r="513" spans="1:2" x14ac:dyDescent="0.25">
      <c r="A513" s="4"/>
      <c r="B513" s="5"/>
    </row>
    <row r="514" spans="1:2" x14ac:dyDescent="0.25">
      <c r="A514" s="4"/>
      <c r="B514" s="5"/>
    </row>
    <row r="521" spans="1:2" x14ac:dyDescent="0.25">
      <c r="A521" s="4"/>
      <c r="B521" s="5"/>
    </row>
    <row r="522" spans="1:2" x14ac:dyDescent="0.25">
      <c r="A522" s="4"/>
      <c r="B522" s="5"/>
    </row>
    <row r="523" spans="1:2" x14ac:dyDescent="0.25">
      <c r="A523" s="4"/>
      <c r="B523" s="5"/>
    </row>
    <row r="524" spans="1:2" x14ac:dyDescent="0.25">
      <c r="A524" s="4"/>
      <c r="B524" s="5"/>
    </row>
    <row r="525" spans="1:2" x14ac:dyDescent="0.25">
      <c r="A525" s="4"/>
      <c r="B525" s="5"/>
    </row>
    <row r="526" spans="1:2" x14ac:dyDescent="0.25">
      <c r="A526" s="4"/>
      <c r="B526" s="5"/>
    </row>
    <row r="527" spans="1:2" x14ac:dyDescent="0.25">
      <c r="A527" s="4"/>
      <c r="B527" s="5"/>
    </row>
    <row r="528" spans="1:2" x14ac:dyDescent="0.25">
      <c r="A528" s="4"/>
      <c r="B528" s="5"/>
    </row>
    <row r="529" spans="1:2" x14ac:dyDescent="0.25">
      <c r="A529" s="4"/>
      <c r="B529" s="5"/>
    </row>
    <row r="530" spans="1:2" x14ac:dyDescent="0.25">
      <c r="A530" s="4"/>
      <c r="B530" s="5"/>
    </row>
    <row r="531" spans="1:2" x14ac:dyDescent="0.25">
      <c r="A531" s="4"/>
      <c r="B531" s="5"/>
    </row>
    <row r="532" spans="1:2" x14ac:dyDescent="0.25">
      <c r="A532" s="4"/>
      <c r="B532" s="5"/>
    </row>
    <row r="533" spans="1:2" x14ac:dyDescent="0.25">
      <c r="A533" s="4"/>
      <c r="B533" s="5"/>
    </row>
    <row r="534" spans="1:2" x14ac:dyDescent="0.25">
      <c r="A534" s="4"/>
      <c r="B534" s="5"/>
    </row>
    <row r="535" spans="1:2" x14ac:dyDescent="0.25">
      <c r="A535" s="4"/>
      <c r="B535" s="5"/>
    </row>
    <row r="536" spans="1:2" x14ac:dyDescent="0.25">
      <c r="A536" s="4"/>
      <c r="B536" s="5"/>
    </row>
    <row r="537" spans="1:2" x14ac:dyDescent="0.25">
      <c r="A537" s="4"/>
      <c r="B537" s="5"/>
    </row>
    <row r="538" spans="1:2" x14ac:dyDescent="0.25">
      <c r="A538" s="4"/>
      <c r="B538" s="5"/>
    </row>
    <row r="539" spans="1:2" x14ac:dyDescent="0.25">
      <c r="A539" s="4"/>
      <c r="B539" s="5"/>
    </row>
    <row r="540" spans="1:2" x14ac:dyDescent="0.25">
      <c r="A540" s="4"/>
      <c r="B540" s="5"/>
    </row>
    <row r="541" spans="1:2" x14ac:dyDescent="0.25">
      <c r="A541" s="4"/>
      <c r="B541" s="5"/>
    </row>
    <row r="542" spans="1:2" x14ac:dyDescent="0.25">
      <c r="A542" s="4"/>
      <c r="B542" s="5"/>
    </row>
    <row r="543" spans="1:2" x14ac:dyDescent="0.25">
      <c r="A543" s="4"/>
      <c r="B543" s="5"/>
    </row>
    <row r="544" spans="1:2" x14ac:dyDescent="0.25">
      <c r="A544" s="4"/>
      <c r="B544" s="5"/>
    </row>
    <row r="545" spans="1:2" x14ac:dyDescent="0.25">
      <c r="A545" s="4"/>
      <c r="B545" s="5"/>
    </row>
    <row r="546" spans="1:2" x14ac:dyDescent="0.25">
      <c r="A546" s="4"/>
      <c r="B546" s="5"/>
    </row>
    <row r="547" spans="1:2" x14ac:dyDescent="0.25">
      <c r="A547" s="4"/>
      <c r="B547" s="5"/>
    </row>
    <row r="548" spans="1:2" x14ac:dyDescent="0.25">
      <c r="A548" s="4"/>
      <c r="B548" s="5"/>
    </row>
    <row r="549" spans="1:2" x14ac:dyDescent="0.25">
      <c r="A549" s="4"/>
      <c r="B549" s="5"/>
    </row>
    <row r="550" spans="1:2" x14ac:dyDescent="0.25">
      <c r="A550" s="4"/>
      <c r="B550" s="5"/>
    </row>
    <row r="551" spans="1:2" x14ac:dyDescent="0.25">
      <c r="A551" s="4"/>
      <c r="B551" s="5"/>
    </row>
    <row r="552" spans="1:2" x14ac:dyDescent="0.25">
      <c r="A552" s="4"/>
      <c r="B552" s="5"/>
    </row>
    <row r="553" spans="1:2" x14ac:dyDescent="0.25">
      <c r="A553" s="4"/>
      <c r="B553" s="5"/>
    </row>
    <row r="554" spans="1:2" x14ac:dyDescent="0.25">
      <c r="A554" s="4"/>
      <c r="B554" s="5"/>
    </row>
    <row r="555" spans="1:2" x14ac:dyDescent="0.25">
      <c r="A555" s="4"/>
      <c r="B555" s="5"/>
    </row>
    <row r="556" spans="1:2" x14ac:dyDescent="0.25">
      <c r="A556" s="4"/>
      <c r="B556" s="5"/>
    </row>
    <row r="557" spans="1:2" x14ac:dyDescent="0.25">
      <c r="A557" s="4"/>
      <c r="B557" s="5"/>
    </row>
    <row r="558" spans="1:2" x14ac:dyDescent="0.25">
      <c r="A558" s="4"/>
      <c r="B558" s="5"/>
    </row>
    <row r="559" spans="1:2" x14ac:dyDescent="0.25">
      <c r="A559" s="4"/>
      <c r="B559" s="5"/>
    </row>
    <row r="560" spans="1:2" x14ac:dyDescent="0.25">
      <c r="A560" s="4"/>
      <c r="B560" s="5"/>
    </row>
    <row r="561" spans="1:2" x14ac:dyDescent="0.25">
      <c r="A561" s="4"/>
      <c r="B561" s="5"/>
    </row>
    <row r="562" spans="1:2" x14ac:dyDescent="0.25">
      <c r="A562" s="4"/>
      <c r="B562" s="5"/>
    </row>
    <row r="563" spans="1:2" x14ac:dyDescent="0.25">
      <c r="A563" s="4"/>
      <c r="B563" s="5"/>
    </row>
    <row r="564" spans="1:2" x14ac:dyDescent="0.25">
      <c r="A564" s="4"/>
      <c r="B564" s="5"/>
    </row>
    <row r="565" spans="1:2" x14ac:dyDescent="0.25">
      <c r="A565" s="4"/>
      <c r="B565" s="5"/>
    </row>
    <row r="566" spans="1:2" x14ac:dyDescent="0.25">
      <c r="A566" s="4"/>
      <c r="B566" s="5"/>
    </row>
    <row r="567" spans="1:2" x14ac:dyDescent="0.25">
      <c r="A567" s="4"/>
      <c r="B567" s="5"/>
    </row>
    <row r="568" spans="1:2" x14ac:dyDescent="0.25">
      <c r="A568" s="4"/>
      <c r="B568" s="5"/>
    </row>
    <row r="569" spans="1:2" x14ac:dyDescent="0.25">
      <c r="A569" s="4"/>
      <c r="B569" s="5"/>
    </row>
    <row r="570" spans="1:2" x14ac:dyDescent="0.25">
      <c r="A570" s="4"/>
      <c r="B570" s="5"/>
    </row>
    <row r="571" spans="1:2" x14ac:dyDescent="0.25">
      <c r="A571" s="4"/>
      <c r="B571" s="5"/>
    </row>
    <row r="572" spans="1:2" x14ac:dyDescent="0.25">
      <c r="A572" s="4"/>
      <c r="B572" s="5"/>
    </row>
    <row r="573" spans="1:2" x14ac:dyDescent="0.25">
      <c r="A573" s="4"/>
      <c r="B573" s="5"/>
    </row>
    <row r="574" spans="1:2" x14ac:dyDescent="0.25">
      <c r="A574" s="4"/>
      <c r="B574" s="5"/>
    </row>
    <row r="575" spans="1:2" x14ac:dyDescent="0.25">
      <c r="A575" s="4"/>
      <c r="B575" s="5"/>
    </row>
  </sheetData>
  <conditionalFormatting sqref="A1:A508 A511:A514 A521:A1048576">
    <cfRule type="notContainsBlanks" dxfId="483" priority="21">
      <formula>LEN(TRIM(A1))&gt;0</formula>
    </cfRule>
  </conditionalFormatting>
  <conditionalFormatting sqref="A2:A504 A513:A514 A522:A1048576">
    <cfRule type="expression" priority="23">
      <formula>IF(A1&lt;10, "00"&amp;A1, IF(A1&lt;100, "0"&amp;A1, A1))</formula>
    </cfRule>
  </conditionalFormatting>
  <conditionalFormatting sqref="A505:A506">
    <cfRule type="expression" priority="26">
      <formula>IF(#REF!&lt;10, "00"&amp;#REF!, IF(#REF!&lt;100, "0"&amp;#REF!, #REF!))</formula>
    </cfRule>
  </conditionalFormatting>
  <conditionalFormatting sqref="A507">
    <cfRule type="expression" priority="22">
      <formula>IF(A506&lt;10, "00"&amp;A506, IF(A506&lt;100, "0"&amp;A506, A506))</formula>
    </cfRule>
  </conditionalFormatting>
  <conditionalFormatting sqref="A508">
    <cfRule type="expression" priority="30">
      <formula>IF(A521&lt;10, "00"&amp;A521, IF(A521&lt;100, "0"&amp;A521, A521))</formula>
    </cfRule>
  </conditionalFormatting>
  <conditionalFormatting sqref="A511">
    <cfRule type="expression" priority="1973">
      <formula>IF(A508&lt;10, "00"&amp;A508, IF(A508&lt;100, "0"&amp;A508, A508))</formula>
    </cfRule>
  </conditionalFormatting>
  <conditionalFormatting sqref="A512">
    <cfRule type="expression" priority="1967">
      <formula>IF(#REF!&lt;10, "00"&amp;#REF!, IF(#REF!&lt;100, "0"&amp;#REF!, #REF!))</formula>
    </cfRule>
  </conditionalFormatting>
  <conditionalFormatting sqref="A514">
    <cfRule type="expression" priority="29">
      <formula>IF(A505&lt;10, "00"&amp;A505, IF(A505&lt;100, "0"&amp;A505, A505))</formula>
    </cfRule>
  </conditionalFormatting>
  <conditionalFormatting sqref="A521">
    <cfRule type="expression" priority="1970">
      <formula>IF(A514&lt;10, "00"&amp;A514, IF(A514&lt;100, "0"&amp;A514, A514))</formula>
    </cfRule>
  </conditionalFormatting>
  <conditionalFormatting sqref="A538">
    <cfRule type="expression" priority="31">
      <formula>IF(A546&lt;10, "00"&amp;A546, IF(A546&lt;100, "0"&amp;A546, A546))</formula>
    </cfRule>
  </conditionalFormatting>
  <conditionalFormatting sqref="A539">
    <cfRule type="expression" priority="27">
      <formula>IF(A537&lt;10, "00"&amp;A537, IF(A537&lt;100, "0"&amp;A537, A537))</formula>
    </cfRule>
  </conditionalFormatting>
  <conditionalFormatting sqref="A547">
    <cfRule type="expression" priority="32">
      <formula>IF(A538&lt;10, "00"&amp;A538, IF(A538&lt;100, "0"&amp;A538, A538))</formula>
    </cfRule>
  </conditionalFormatting>
  <conditionalFormatting sqref="B1:B508 B510 B512:B514 B521:B1048576">
    <cfRule type="notContainsBlanks" dxfId="482" priority="19">
      <formula>LEN(TRIM(B1))&gt;0</formula>
    </cfRule>
  </conditionalFormatting>
  <conditionalFormatting sqref="C1:AQ1">
    <cfRule type="containsText" dxfId="481" priority="1" operator="containsText" text="Flying">
      <formula>NOT(ISERROR(SEARCH("Flying",C1)))</formula>
    </cfRule>
    <cfRule type="containsText" dxfId="480" priority="2" operator="containsText" text="Fairy">
      <formula>NOT(ISERROR(SEARCH("Fairy",C1)))</formula>
    </cfRule>
    <cfRule type="containsText" dxfId="479" priority="3" operator="containsText" text="Steel">
      <formula>NOT(ISERROR(SEARCH("Steel",C1)))</formula>
    </cfRule>
    <cfRule type="containsText" dxfId="478" priority="4" operator="containsText" text="Dark">
      <formula>NOT(ISERROR(SEARCH("Dark",C1)))</formula>
    </cfRule>
    <cfRule type="containsText" dxfId="477" priority="5" operator="containsText" text="Dragon">
      <formula>NOT(ISERROR(SEARCH("Dragon",C1)))</formula>
    </cfRule>
    <cfRule type="containsText" dxfId="476" priority="6" operator="containsText" text="Ghost">
      <formula>NOT(ISERROR(SEARCH("Ghost",C1)))</formula>
    </cfRule>
    <cfRule type="containsText" dxfId="475" priority="7" operator="containsText" text="Rock">
      <formula>NOT(ISERROR(SEARCH("Rock",C1)))</formula>
    </cfRule>
    <cfRule type="containsText" dxfId="474" priority="8" operator="containsText" text="Bug">
      <formula>NOT(ISERROR(SEARCH("Bug",C1)))</formula>
    </cfRule>
    <cfRule type="containsText" dxfId="473" priority="9" operator="containsText" text="Psychic">
      <formula>NOT(ISERROR(SEARCH("Psychic",C1)))</formula>
    </cfRule>
    <cfRule type="containsText" dxfId="472" priority="10" operator="containsText" text="Ground">
      <formula>NOT(ISERROR(SEARCH("Ground",C1)))</formula>
    </cfRule>
    <cfRule type="containsText" dxfId="471" priority="11" operator="containsText" text="Poison">
      <formula>NOT(ISERROR(SEARCH("Poison",C1)))</formula>
    </cfRule>
    <cfRule type="containsText" dxfId="470" priority="12" operator="containsText" text="Fighting">
      <formula>NOT(ISERROR(SEARCH("Fighting",C1)))</formula>
    </cfRule>
    <cfRule type="containsText" dxfId="469" priority="13" operator="containsText" text="Ice">
      <formula>NOT(ISERROR(SEARCH("Ice",C1)))</formula>
    </cfRule>
    <cfRule type="containsText" dxfId="468" priority="14" operator="containsText" text="Electric">
      <formula>NOT(ISERROR(SEARCH("Electric",C1)))</formula>
    </cfRule>
    <cfRule type="containsText" dxfId="467" priority="15" operator="containsText" text="Water">
      <formula>NOT(ISERROR(SEARCH("Water",C1)))</formula>
    </cfRule>
    <cfRule type="containsText" dxfId="466" priority="16" operator="containsText" text="Fire">
      <formula>NOT(ISERROR(SEARCH("Fire",C1)))</formula>
    </cfRule>
    <cfRule type="containsText" dxfId="465" priority="17" operator="containsText" text="Normal">
      <formula>NOT(ISERROR(SEARCH("Normal",C1)))</formula>
    </cfRule>
    <cfRule type="containsText" dxfId="464" priority="18" operator="containsText" text="Grass">
      <formula>NOT(ISERROR(SEARCH("Grass",C1)))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B83CC-E73A-4BBE-B524-65AD853BDF59}">
  <sheetPr>
    <tabColor rgb="FFAC8B41"/>
  </sheetPr>
  <dimension ref="A1:X157"/>
  <sheetViews>
    <sheetView zoomScale="130" zoomScaleNormal="130" workbookViewId="0">
      <selection activeCell="L16" sqref="L16"/>
    </sheetView>
  </sheetViews>
  <sheetFormatPr defaultRowHeight="15.75" x14ac:dyDescent="0.25"/>
  <cols>
    <col min="1" max="1" width="10.85546875" bestFit="1" customWidth="1"/>
    <col min="2" max="2" width="13.7109375" style="40" bestFit="1" customWidth="1"/>
    <col min="3" max="3" width="16.28515625" style="40" bestFit="1" customWidth="1"/>
    <col min="4" max="4" width="7.28515625" style="40" bestFit="1" customWidth="1"/>
    <col min="5" max="5" width="21.5703125" style="40" bestFit="1" customWidth="1"/>
    <col min="6" max="6" width="21.28515625" style="40" bestFit="1" customWidth="1"/>
    <col min="7" max="7" width="11" style="40" bestFit="1" customWidth="1"/>
    <col min="8" max="8" width="7.140625" style="40" bestFit="1" customWidth="1"/>
    <col min="9" max="9" width="5.7109375" style="40" bestFit="1" customWidth="1"/>
    <col min="10" max="10" width="20.5703125" style="40" bestFit="1" customWidth="1"/>
    <col min="11" max="11" width="18.5703125" style="40" bestFit="1" customWidth="1"/>
    <col min="12" max="12" width="20.140625" style="40" bestFit="1" customWidth="1"/>
    <col min="13" max="13" width="20.42578125" style="40" bestFit="1" customWidth="1"/>
    <col min="14" max="14" width="9.140625" style="40"/>
    <col min="15" max="15" width="56.7109375" style="40" bestFit="1" customWidth="1"/>
    <col min="16" max="16384" width="9.140625" style="40"/>
  </cols>
  <sheetData>
    <row r="1" spans="1:15" x14ac:dyDescent="0.2">
      <c r="A1" s="192" t="s">
        <v>719</v>
      </c>
      <c r="B1" s="193" t="s">
        <v>1057</v>
      </c>
      <c r="C1" s="3" t="s">
        <v>735</v>
      </c>
      <c r="D1" s="247" t="s">
        <v>741</v>
      </c>
      <c r="E1" s="194" t="s">
        <v>736</v>
      </c>
      <c r="F1" s="195" t="s">
        <v>737</v>
      </c>
      <c r="G1" s="196" t="s">
        <v>1055</v>
      </c>
      <c r="H1" s="197" t="s">
        <v>1056</v>
      </c>
      <c r="I1" s="198" t="s">
        <v>1058</v>
      </c>
      <c r="J1" s="192" t="s">
        <v>738</v>
      </c>
      <c r="K1" s="193" t="s">
        <v>739</v>
      </c>
      <c r="L1" s="3" t="s">
        <v>743</v>
      </c>
      <c r="M1" s="247" t="s">
        <v>740</v>
      </c>
      <c r="O1" s="12" t="s">
        <v>1088</v>
      </c>
    </row>
    <row r="2" spans="1:15" x14ac:dyDescent="0.25">
      <c r="B2" s="62" t="s">
        <v>1</v>
      </c>
      <c r="C2" s="60" t="s">
        <v>807</v>
      </c>
      <c r="D2" s="60" t="s">
        <v>808</v>
      </c>
      <c r="E2" s="60" t="s">
        <v>736</v>
      </c>
      <c r="F2" s="60" t="s">
        <v>737</v>
      </c>
      <c r="G2" s="60" t="s">
        <v>809</v>
      </c>
      <c r="H2" s="60">
        <v>0</v>
      </c>
      <c r="I2" s="60">
        <v>0</v>
      </c>
      <c r="J2" s="60" t="s">
        <v>810</v>
      </c>
      <c r="K2" s="60" t="s">
        <v>810</v>
      </c>
      <c r="L2" s="60" t="s">
        <v>810</v>
      </c>
      <c r="M2" s="60" t="s">
        <v>810</v>
      </c>
      <c r="O2" s="12"/>
    </row>
    <row r="3" spans="1:15" x14ac:dyDescent="0.25">
      <c r="B3" s="60" t="s">
        <v>1059</v>
      </c>
      <c r="C3" s="60" t="s">
        <v>811</v>
      </c>
      <c r="D3" s="60" t="s">
        <v>808</v>
      </c>
      <c r="E3" s="60" t="s">
        <v>736</v>
      </c>
      <c r="F3" s="60" t="s">
        <v>737</v>
      </c>
      <c r="G3" s="60" t="s">
        <v>809</v>
      </c>
      <c r="H3" s="60">
        <v>0</v>
      </c>
      <c r="I3" s="60">
        <v>0</v>
      </c>
      <c r="J3" s="60" t="s">
        <v>810</v>
      </c>
      <c r="K3" s="60" t="s">
        <v>810</v>
      </c>
      <c r="L3" s="60" t="s">
        <v>810</v>
      </c>
      <c r="M3" s="60" t="s">
        <v>810</v>
      </c>
      <c r="O3" s="12"/>
    </row>
    <row r="4" spans="1:15" x14ac:dyDescent="0.25">
      <c r="B4" s="60"/>
      <c r="C4" s="60" t="s">
        <v>811</v>
      </c>
      <c r="D4" s="60" t="s">
        <v>808</v>
      </c>
      <c r="E4" s="60" t="s">
        <v>736</v>
      </c>
      <c r="F4" s="60" t="s">
        <v>737</v>
      </c>
      <c r="G4" s="60" t="s">
        <v>809</v>
      </c>
      <c r="H4" s="60">
        <v>0</v>
      </c>
      <c r="I4" s="60">
        <v>0</v>
      </c>
      <c r="J4" s="60" t="s">
        <v>810</v>
      </c>
      <c r="K4" s="60" t="s">
        <v>810</v>
      </c>
      <c r="L4" s="60" t="s">
        <v>810</v>
      </c>
      <c r="M4" s="60" t="s">
        <v>810</v>
      </c>
    </row>
    <row r="5" spans="1:15" x14ac:dyDescent="0.25">
      <c r="B5" s="60"/>
      <c r="C5" s="60" t="s">
        <v>812</v>
      </c>
      <c r="D5" s="60" t="s">
        <v>808</v>
      </c>
      <c r="E5" s="60" t="s">
        <v>736</v>
      </c>
      <c r="F5" s="60" t="s">
        <v>737</v>
      </c>
      <c r="G5" s="60" t="s">
        <v>809</v>
      </c>
      <c r="H5" s="60">
        <v>0</v>
      </c>
      <c r="I5" s="60">
        <v>0</v>
      </c>
      <c r="J5" s="60" t="s">
        <v>810</v>
      </c>
      <c r="K5" s="60" t="s">
        <v>810</v>
      </c>
      <c r="L5" s="60" t="s">
        <v>810</v>
      </c>
      <c r="M5" s="60" t="s">
        <v>810</v>
      </c>
    </row>
    <row r="6" spans="1:15" x14ac:dyDescent="0.25">
      <c r="B6" s="60"/>
      <c r="C6" s="60" t="s">
        <v>813</v>
      </c>
      <c r="D6" s="60" t="s">
        <v>808</v>
      </c>
      <c r="E6" s="60" t="s">
        <v>736</v>
      </c>
      <c r="F6" s="60" t="s">
        <v>737</v>
      </c>
      <c r="G6" s="60" t="s">
        <v>809</v>
      </c>
      <c r="H6" s="60">
        <v>0</v>
      </c>
      <c r="I6" s="60">
        <v>0</v>
      </c>
      <c r="J6" s="60" t="s">
        <v>810</v>
      </c>
      <c r="K6" s="60" t="s">
        <v>810</v>
      </c>
      <c r="L6" s="60" t="s">
        <v>810</v>
      </c>
      <c r="M6" s="60" t="s">
        <v>810</v>
      </c>
    </row>
    <row r="7" spans="1:15" x14ac:dyDescent="0.25">
      <c r="B7" s="61"/>
      <c r="C7" s="61" t="s">
        <v>814</v>
      </c>
      <c r="D7" s="61" t="s">
        <v>808</v>
      </c>
      <c r="E7" s="61" t="s">
        <v>736</v>
      </c>
      <c r="F7" s="61" t="s">
        <v>737</v>
      </c>
      <c r="G7" s="61" t="s">
        <v>809</v>
      </c>
      <c r="H7" s="61">
        <v>0</v>
      </c>
      <c r="I7" s="61">
        <v>0</v>
      </c>
      <c r="J7" s="61" t="s">
        <v>810</v>
      </c>
      <c r="K7" s="61" t="s">
        <v>810</v>
      </c>
      <c r="L7" s="61" t="s">
        <v>810</v>
      </c>
      <c r="M7" s="61" t="s">
        <v>810</v>
      </c>
    </row>
    <row r="8" spans="1:15" x14ac:dyDescent="0.25">
      <c r="B8" s="62" t="s">
        <v>1060</v>
      </c>
      <c r="C8" s="278" t="s">
        <v>807</v>
      </c>
      <c r="D8" s="280" t="s">
        <v>808</v>
      </c>
      <c r="E8" s="273" t="s">
        <v>736</v>
      </c>
      <c r="F8" s="278" t="s">
        <v>737</v>
      </c>
      <c r="G8" s="278" t="s">
        <v>809</v>
      </c>
      <c r="H8" s="278">
        <v>0</v>
      </c>
      <c r="I8" s="273">
        <v>0</v>
      </c>
      <c r="J8" s="278" t="s">
        <v>810</v>
      </c>
      <c r="K8" s="278" t="s">
        <v>810</v>
      </c>
      <c r="L8" s="273" t="s">
        <v>810</v>
      </c>
      <c r="M8" s="119" t="s">
        <v>810</v>
      </c>
    </row>
    <row r="9" spans="1:15" x14ac:dyDescent="0.25">
      <c r="B9" s="60" t="s">
        <v>1061</v>
      </c>
      <c r="C9" s="120" t="s">
        <v>811</v>
      </c>
      <c r="D9" s="274" t="s">
        <v>808</v>
      </c>
      <c r="E9" s="274" t="s">
        <v>736</v>
      </c>
      <c r="F9" s="120" t="s">
        <v>737</v>
      </c>
      <c r="G9" s="120" t="s">
        <v>809</v>
      </c>
      <c r="H9" s="120">
        <v>0</v>
      </c>
      <c r="I9" s="120">
        <v>0</v>
      </c>
      <c r="J9" s="120" t="s">
        <v>810</v>
      </c>
      <c r="K9" s="120" t="s">
        <v>810</v>
      </c>
      <c r="L9" s="120" t="s">
        <v>810</v>
      </c>
      <c r="M9" s="274" t="s">
        <v>810</v>
      </c>
    </row>
    <row r="10" spans="1:15" x14ac:dyDescent="0.25">
      <c r="B10" s="234"/>
      <c r="C10" s="121" t="s">
        <v>1087</v>
      </c>
      <c r="D10" s="268" t="s">
        <v>808</v>
      </c>
      <c r="E10" s="268" t="s">
        <v>736</v>
      </c>
      <c r="F10" s="121" t="s">
        <v>737</v>
      </c>
      <c r="G10" s="121" t="s">
        <v>809</v>
      </c>
      <c r="H10" s="121">
        <v>0</v>
      </c>
      <c r="I10" s="121">
        <v>0</v>
      </c>
      <c r="J10" s="121" t="s">
        <v>810</v>
      </c>
      <c r="K10" s="121" t="s">
        <v>810</v>
      </c>
      <c r="L10" s="121" t="s">
        <v>810</v>
      </c>
      <c r="M10" s="268" t="s">
        <v>810</v>
      </c>
    </row>
    <row r="11" spans="1:15" x14ac:dyDescent="0.25">
      <c r="B11" s="234"/>
      <c r="C11" s="279" t="s">
        <v>812</v>
      </c>
      <c r="D11" s="269" t="s">
        <v>808</v>
      </c>
      <c r="E11" s="269" t="s">
        <v>736</v>
      </c>
      <c r="F11" s="279" t="s">
        <v>737</v>
      </c>
      <c r="G11" s="279" t="s">
        <v>809</v>
      </c>
      <c r="H11" s="279">
        <v>0</v>
      </c>
      <c r="I11" s="279">
        <v>0</v>
      </c>
      <c r="J11" s="279" t="s">
        <v>810</v>
      </c>
      <c r="K11" s="279" t="s">
        <v>810</v>
      </c>
      <c r="L11" s="279" t="s">
        <v>810</v>
      </c>
      <c r="M11" s="269" t="s">
        <v>810</v>
      </c>
    </row>
    <row r="12" spans="1:15" x14ac:dyDescent="0.25">
      <c r="B12" s="234"/>
      <c r="C12" s="122" t="s">
        <v>813</v>
      </c>
      <c r="D12" s="270" t="s">
        <v>808</v>
      </c>
      <c r="E12" s="270" t="s">
        <v>736</v>
      </c>
      <c r="F12" s="122" t="s">
        <v>737</v>
      </c>
      <c r="G12" s="122" t="s">
        <v>809</v>
      </c>
      <c r="H12" s="122">
        <v>0</v>
      </c>
      <c r="I12" s="122">
        <v>0</v>
      </c>
      <c r="J12" s="122" t="s">
        <v>810</v>
      </c>
      <c r="K12" s="122" t="s">
        <v>810</v>
      </c>
      <c r="L12" s="122" t="s">
        <v>810</v>
      </c>
      <c r="M12" s="270" t="s">
        <v>810</v>
      </c>
    </row>
    <row r="13" spans="1:15" x14ac:dyDescent="0.25">
      <c r="B13" s="61"/>
      <c r="C13" s="112" t="s">
        <v>814</v>
      </c>
      <c r="D13" s="271" t="s">
        <v>808</v>
      </c>
      <c r="E13" s="271" t="s">
        <v>736</v>
      </c>
      <c r="F13" s="112" t="s">
        <v>737</v>
      </c>
      <c r="G13" s="112" t="s">
        <v>809</v>
      </c>
      <c r="H13" s="112">
        <v>0</v>
      </c>
      <c r="I13" s="112">
        <v>0</v>
      </c>
      <c r="J13" s="112" t="s">
        <v>810</v>
      </c>
      <c r="K13" s="112" t="s">
        <v>810</v>
      </c>
      <c r="L13" s="112" t="s">
        <v>810</v>
      </c>
      <c r="M13" s="271" t="s">
        <v>810</v>
      </c>
    </row>
    <row r="14" spans="1:15" x14ac:dyDescent="0.25">
      <c r="A14" t="s">
        <v>1508</v>
      </c>
      <c r="B14" s="62" t="s">
        <v>1062</v>
      </c>
      <c r="C14" s="123" t="s">
        <v>156</v>
      </c>
      <c r="D14" s="272" t="s">
        <v>808</v>
      </c>
      <c r="E14" s="272" t="s">
        <v>558</v>
      </c>
      <c r="F14" s="123" t="s">
        <v>737</v>
      </c>
      <c r="G14" s="123" t="s">
        <v>809</v>
      </c>
      <c r="H14" s="123">
        <v>0</v>
      </c>
      <c r="I14" s="123">
        <v>0</v>
      </c>
      <c r="J14" s="123" t="s">
        <v>899</v>
      </c>
      <c r="K14" s="123" t="s">
        <v>1511</v>
      </c>
      <c r="L14" s="123"/>
      <c r="M14" s="272"/>
    </row>
    <row r="15" spans="1:15" x14ac:dyDescent="0.25">
      <c r="A15" t="s">
        <v>1510</v>
      </c>
      <c r="B15" s="60" t="s">
        <v>1061</v>
      </c>
      <c r="C15" s="133" t="s">
        <v>240</v>
      </c>
      <c r="D15" s="133" t="s">
        <v>808</v>
      </c>
      <c r="E15" s="133" t="s">
        <v>653</v>
      </c>
      <c r="F15" s="133" t="s">
        <v>737</v>
      </c>
      <c r="G15" s="133" t="s">
        <v>809</v>
      </c>
      <c r="H15" s="133">
        <v>0</v>
      </c>
      <c r="I15" s="133">
        <v>0</v>
      </c>
      <c r="J15" s="133" t="s">
        <v>846</v>
      </c>
      <c r="K15" s="133" t="s">
        <v>1515</v>
      </c>
      <c r="L15" s="275" t="s">
        <v>1232</v>
      </c>
      <c r="M15" s="133" t="s">
        <v>876</v>
      </c>
    </row>
    <row r="16" spans="1:15" x14ac:dyDescent="0.25">
      <c r="B16" s="60"/>
      <c r="C16" s="134" t="s">
        <v>36</v>
      </c>
      <c r="D16" s="134" t="s">
        <v>808</v>
      </c>
      <c r="E16" s="134" t="s">
        <v>538</v>
      </c>
      <c r="F16" s="134" t="s">
        <v>737</v>
      </c>
      <c r="G16" s="134" t="s">
        <v>809</v>
      </c>
      <c r="H16" s="134">
        <v>0</v>
      </c>
      <c r="I16" s="134">
        <v>0</v>
      </c>
      <c r="J16" s="134" t="s">
        <v>1513</v>
      </c>
      <c r="K16" s="134" t="s">
        <v>1514</v>
      </c>
      <c r="L16" s="276" t="s">
        <v>804</v>
      </c>
      <c r="M16" s="134" t="s">
        <v>1512</v>
      </c>
    </row>
    <row r="17" spans="2:13" x14ac:dyDescent="0.25">
      <c r="B17" s="60"/>
      <c r="C17" s="124" t="s">
        <v>812</v>
      </c>
      <c r="D17" s="124" t="s">
        <v>808</v>
      </c>
      <c r="E17" s="124" t="s">
        <v>736</v>
      </c>
      <c r="F17" s="124" t="s">
        <v>737</v>
      </c>
      <c r="G17" s="277" t="s">
        <v>809</v>
      </c>
      <c r="H17" s="124">
        <v>0</v>
      </c>
      <c r="I17" s="124">
        <v>0</v>
      </c>
      <c r="J17" s="277" t="s">
        <v>810</v>
      </c>
      <c r="K17" s="124" t="s">
        <v>810</v>
      </c>
      <c r="L17" s="124" t="s">
        <v>810</v>
      </c>
      <c r="M17" s="124" t="s">
        <v>810</v>
      </c>
    </row>
    <row r="18" spans="2:13" x14ac:dyDescent="0.25">
      <c r="B18" s="60"/>
      <c r="C18" s="125" t="s">
        <v>813</v>
      </c>
      <c r="D18" s="125" t="s">
        <v>808</v>
      </c>
      <c r="E18" s="125" t="s">
        <v>736</v>
      </c>
      <c r="F18" s="125" t="s">
        <v>737</v>
      </c>
      <c r="G18" s="125" t="s">
        <v>809</v>
      </c>
      <c r="H18" s="125">
        <v>0</v>
      </c>
      <c r="I18" s="125">
        <v>0</v>
      </c>
      <c r="J18" s="125" t="s">
        <v>810</v>
      </c>
      <c r="K18" s="125" t="s">
        <v>810</v>
      </c>
      <c r="L18" s="125" t="s">
        <v>810</v>
      </c>
      <c r="M18" s="125" t="s">
        <v>810</v>
      </c>
    </row>
    <row r="19" spans="2:13" x14ac:dyDescent="0.25">
      <c r="B19" s="61"/>
      <c r="C19" s="126" t="s">
        <v>814</v>
      </c>
      <c r="D19" s="126" t="s">
        <v>808</v>
      </c>
      <c r="E19" s="126" t="s">
        <v>736</v>
      </c>
      <c r="F19" s="126" t="s">
        <v>737</v>
      </c>
      <c r="G19" s="126" t="s">
        <v>809</v>
      </c>
      <c r="H19" s="126">
        <v>0</v>
      </c>
      <c r="I19" s="126">
        <v>0</v>
      </c>
      <c r="J19" s="126" t="s">
        <v>810</v>
      </c>
      <c r="K19" s="126" t="s">
        <v>810</v>
      </c>
      <c r="L19" s="126" t="s">
        <v>810</v>
      </c>
      <c r="M19" s="126" t="s">
        <v>810</v>
      </c>
    </row>
    <row r="20" spans="2:13" x14ac:dyDescent="0.25">
      <c r="B20" s="62" t="s">
        <v>1063</v>
      </c>
      <c r="C20" s="127" t="s">
        <v>807</v>
      </c>
      <c r="D20" s="127" t="s">
        <v>808</v>
      </c>
      <c r="E20" s="127" t="s">
        <v>736</v>
      </c>
      <c r="F20" s="127" t="s">
        <v>737</v>
      </c>
      <c r="G20" s="127" t="s">
        <v>809</v>
      </c>
      <c r="H20" s="127">
        <v>0</v>
      </c>
      <c r="I20" s="127">
        <v>0</v>
      </c>
      <c r="J20" s="127" t="s">
        <v>810</v>
      </c>
      <c r="K20" s="127" t="s">
        <v>810</v>
      </c>
      <c r="L20" s="127" t="s">
        <v>810</v>
      </c>
      <c r="M20" s="127" t="s">
        <v>810</v>
      </c>
    </row>
    <row r="21" spans="2:13" x14ac:dyDescent="0.25">
      <c r="B21" s="60" t="s">
        <v>1061</v>
      </c>
      <c r="C21" s="128" t="s">
        <v>811</v>
      </c>
      <c r="D21" s="128" t="s">
        <v>808</v>
      </c>
      <c r="E21" s="128" t="s">
        <v>736</v>
      </c>
      <c r="F21" s="128" t="s">
        <v>737</v>
      </c>
      <c r="G21" s="128" t="s">
        <v>809</v>
      </c>
      <c r="H21" s="128">
        <v>0</v>
      </c>
      <c r="I21" s="128">
        <v>0</v>
      </c>
      <c r="J21" s="128" t="s">
        <v>810</v>
      </c>
      <c r="K21" s="128" t="s">
        <v>810</v>
      </c>
      <c r="L21" s="128" t="s">
        <v>810</v>
      </c>
      <c r="M21" s="128" t="s">
        <v>810</v>
      </c>
    </row>
    <row r="22" spans="2:13" x14ac:dyDescent="0.25">
      <c r="B22" s="60"/>
      <c r="C22" s="129" t="s">
        <v>1087</v>
      </c>
      <c r="D22" s="129" t="s">
        <v>808</v>
      </c>
      <c r="E22" s="129" t="s">
        <v>736</v>
      </c>
      <c r="F22" s="129" t="s">
        <v>737</v>
      </c>
      <c r="G22" s="129" t="s">
        <v>809</v>
      </c>
      <c r="H22" s="129">
        <v>0</v>
      </c>
      <c r="I22" s="129">
        <v>0</v>
      </c>
      <c r="J22" s="129" t="s">
        <v>810</v>
      </c>
      <c r="K22" s="129" t="s">
        <v>810</v>
      </c>
      <c r="L22" s="129" t="s">
        <v>810</v>
      </c>
      <c r="M22" s="129" t="s">
        <v>810</v>
      </c>
    </row>
    <row r="23" spans="2:13" x14ac:dyDescent="0.25">
      <c r="B23" s="60"/>
      <c r="C23" s="130" t="s">
        <v>812</v>
      </c>
      <c r="D23" s="130" t="s">
        <v>808</v>
      </c>
      <c r="E23" s="130" t="s">
        <v>736</v>
      </c>
      <c r="F23" s="130" t="s">
        <v>737</v>
      </c>
      <c r="G23" s="130" t="s">
        <v>809</v>
      </c>
      <c r="H23" s="130">
        <v>0</v>
      </c>
      <c r="I23" s="130">
        <v>0</v>
      </c>
      <c r="J23" s="130" t="s">
        <v>810</v>
      </c>
      <c r="K23" s="130" t="s">
        <v>810</v>
      </c>
      <c r="L23" s="130" t="s">
        <v>810</v>
      </c>
      <c r="M23" s="130" t="s">
        <v>810</v>
      </c>
    </row>
    <row r="24" spans="2:13" x14ac:dyDescent="0.25">
      <c r="B24" s="60"/>
      <c r="C24" s="131" t="s">
        <v>813</v>
      </c>
      <c r="D24" s="131" t="s">
        <v>808</v>
      </c>
      <c r="E24" s="131" t="s">
        <v>736</v>
      </c>
      <c r="F24" s="131" t="s">
        <v>737</v>
      </c>
      <c r="G24" s="131" t="s">
        <v>809</v>
      </c>
      <c r="H24" s="131">
        <v>0</v>
      </c>
      <c r="I24" s="131">
        <v>0</v>
      </c>
      <c r="J24" s="131" t="s">
        <v>810</v>
      </c>
      <c r="K24" s="131" t="s">
        <v>810</v>
      </c>
      <c r="L24" s="131" t="s">
        <v>810</v>
      </c>
      <c r="M24" s="131" t="s">
        <v>810</v>
      </c>
    </row>
    <row r="25" spans="2:13" x14ac:dyDescent="0.25">
      <c r="B25" s="61"/>
      <c r="C25" s="132" t="s">
        <v>814</v>
      </c>
      <c r="D25" s="132" t="s">
        <v>808</v>
      </c>
      <c r="E25" s="132" t="s">
        <v>736</v>
      </c>
      <c r="F25" s="132" t="s">
        <v>737</v>
      </c>
      <c r="G25" s="132" t="s">
        <v>809</v>
      </c>
      <c r="H25" s="132">
        <v>0</v>
      </c>
      <c r="I25" s="132">
        <v>0</v>
      </c>
      <c r="J25" s="132" t="s">
        <v>810</v>
      </c>
      <c r="K25" s="132" t="s">
        <v>810</v>
      </c>
      <c r="L25" s="132" t="s">
        <v>810</v>
      </c>
      <c r="M25" s="132" t="s">
        <v>810</v>
      </c>
    </row>
    <row r="26" spans="2:13" x14ac:dyDescent="0.25">
      <c r="B26" s="62" t="s">
        <v>1064</v>
      </c>
      <c r="C26" s="107" t="s">
        <v>807</v>
      </c>
      <c r="D26" s="107" t="s">
        <v>808</v>
      </c>
      <c r="E26" s="107" t="s">
        <v>736</v>
      </c>
      <c r="F26" s="107" t="s">
        <v>737</v>
      </c>
      <c r="G26" s="107" t="s">
        <v>809</v>
      </c>
      <c r="H26" s="107">
        <v>0</v>
      </c>
      <c r="I26" s="107">
        <v>0</v>
      </c>
      <c r="J26" s="107" t="s">
        <v>810</v>
      </c>
      <c r="K26" s="107" t="s">
        <v>810</v>
      </c>
      <c r="L26" s="107" t="s">
        <v>810</v>
      </c>
      <c r="M26" s="107" t="s">
        <v>810</v>
      </c>
    </row>
    <row r="27" spans="2:13" x14ac:dyDescent="0.25">
      <c r="B27" s="60" t="s">
        <v>1061</v>
      </c>
      <c r="C27" s="108" t="s">
        <v>811</v>
      </c>
      <c r="D27" s="108" t="s">
        <v>808</v>
      </c>
      <c r="E27" s="108" t="s">
        <v>736</v>
      </c>
      <c r="F27" s="108" t="s">
        <v>737</v>
      </c>
      <c r="G27" s="108" t="s">
        <v>809</v>
      </c>
      <c r="H27" s="108">
        <v>0</v>
      </c>
      <c r="I27" s="108">
        <v>0</v>
      </c>
      <c r="J27" s="108" t="s">
        <v>810</v>
      </c>
      <c r="K27" s="108" t="s">
        <v>810</v>
      </c>
      <c r="L27" s="108" t="s">
        <v>810</v>
      </c>
      <c r="M27" s="108" t="s">
        <v>810</v>
      </c>
    </row>
    <row r="28" spans="2:13" x14ac:dyDescent="0.25">
      <c r="B28" s="60"/>
      <c r="C28" s="109" t="s">
        <v>1087</v>
      </c>
      <c r="D28" s="109" t="s">
        <v>808</v>
      </c>
      <c r="E28" s="109" t="s">
        <v>736</v>
      </c>
      <c r="F28" s="109" t="s">
        <v>737</v>
      </c>
      <c r="G28" s="109" t="s">
        <v>809</v>
      </c>
      <c r="H28" s="109">
        <v>0</v>
      </c>
      <c r="I28" s="109">
        <v>0</v>
      </c>
      <c r="J28" s="109" t="s">
        <v>810</v>
      </c>
      <c r="K28" s="109" t="s">
        <v>810</v>
      </c>
      <c r="L28" s="109" t="s">
        <v>810</v>
      </c>
      <c r="M28" s="109" t="s">
        <v>810</v>
      </c>
    </row>
    <row r="29" spans="2:13" x14ac:dyDescent="0.25">
      <c r="B29" s="60"/>
      <c r="C29" s="110" t="s">
        <v>812</v>
      </c>
      <c r="D29" s="110" t="s">
        <v>808</v>
      </c>
      <c r="E29" s="110" t="s">
        <v>736</v>
      </c>
      <c r="F29" s="110" t="s">
        <v>737</v>
      </c>
      <c r="G29" s="110" t="s">
        <v>809</v>
      </c>
      <c r="H29" s="110">
        <v>0</v>
      </c>
      <c r="I29" s="110">
        <v>0</v>
      </c>
      <c r="J29" s="110" t="s">
        <v>810</v>
      </c>
      <c r="K29" s="110" t="s">
        <v>810</v>
      </c>
      <c r="L29" s="110" t="s">
        <v>810</v>
      </c>
      <c r="M29" s="110" t="s">
        <v>810</v>
      </c>
    </row>
    <row r="30" spans="2:13" x14ac:dyDescent="0.25">
      <c r="B30" s="60"/>
      <c r="C30" s="111" t="s">
        <v>813</v>
      </c>
      <c r="D30" s="111" t="s">
        <v>808</v>
      </c>
      <c r="E30" s="111" t="s">
        <v>736</v>
      </c>
      <c r="F30" s="111" t="s">
        <v>737</v>
      </c>
      <c r="G30" s="111" t="s">
        <v>809</v>
      </c>
      <c r="H30" s="111">
        <v>0</v>
      </c>
      <c r="I30" s="111">
        <v>0</v>
      </c>
      <c r="J30" s="111" t="s">
        <v>810</v>
      </c>
      <c r="K30" s="111" t="s">
        <v>810</v>
      </c>
      <c r="L30" s="111" t="s">
        <v>810</v>
      </c>
      <c r="M30" s="111" t="s">
        <v>810</v>
      </c>
    </row>
    <row r="31" spans="2:13" x14ac:dyDescent="0.25">
      <c r="B31" s="61"/>
      <c r="C31" s="112" t="s">
        <v>814</v>
      </c>
      <c r="D31" s="112" t="s">
        <v>808</v>
      </c>
      <c r="E31" s="112" t="s">
        <v>736</v>
      </c>
      <c r="F31" s="112" t="s">
        <v>737</v>
      </c>
      <c r="G31" s="112" t="s">
        <v>809</v>
      </c>
      <c r="H31" s="112">
        <v>0</v>
      </c>
      <c r="I31" s="112">
        <v>0</v>
      </c>
      <c r="J31" s="112" t="s">
        <v>810</v>
      </c>
      <c r="K31" s="112" t="s">
        <v>810</v>
      </c>
      <c r="L31" s="112" t="s">
        <v>810</v>
      </c>
      <c r="M31" s="112" t="s">
        <v>810</v>
      </c>
    </row>
    <row r="32" spans="2:13" x14ac:dyDescent="0.25">
      <c r="B32" s="62" t="s">
        <v>1065</v>
      </c>
      <c r="C32" s="113" t="s">
        <v>807</v>
      </c>
      <c r="D32" s="113" t="s">
        <v>808</v>
      </c>
      <c r="E32" s="113" t="s">
        <v>736</v>
      </c>
      <c r="F32" s="113" t="s">
        <v>737</v>
      </c>
      <c r="G32" s="113" t="s">
        <v>809</v>
      </c>
      <c r="H32" s="113">
        <v>0</v>
      </c>
      <c r="I32" s="113">
        <v>0</v>
      </c>
      <c r="J32" s="113" t="s">
        <v>810</v>
      </c>
      <c r="K32" s="113" t="s">
        <v>810</v>
      </c>
      <c r="L32" s="113" t="s">
        <v>810</v>
      </c>
      <c r="M32" s="113" t="s">
        <v>810</v>
      </c>
    </row>
    <row r="33" spans="1:13" x14ac:dyDescent="0.25">
      <c r="B33" s="60" t="s">
        <v>1061</v>
      </c>
      <c r="C33" s="114" t="s">
        <v>811</v>
      </c>
      <c r="D33" s="114" t="s">
        <v>808</v>
      </c>
      <c r="E33" s="114" t="s">
        <v>736</v>
      </c>
      <c r="F33" s="114" t="s">
        <v>737</v>
      </c>
      <c r="G33" s="114" t="s">
        <v>809</v>
      </c>
      <c r="H33" s="114">
        <v>0</v>
      </c>
      <c r="I33" s="114">
        <v>0</v>
      </c>
      <c r="J33" s="114" t="s">
        <v>810</v>
      </c>
      <c r="K33" s="114" t="s">
        <v>810</v>
      </c>
      <c r="L33" s="114" t="s">
        <v>810</v>
      </c>
      <c r="M33" s="114" t="s">
        <v>810</v>
      </c>
    </row>
    <row r="34" spans="1:13" x14ac:dyDescent="0.25">
      <c r="B34" s="60"/>
      <c r="C34" s="115" t="s">
        <v>1087</v>
      </c>
      <c r="D34" s="115" t="s">
        <v>808</v>
      </c>
      <c r="E34" s="115" t="s">
        <v>736</v>
      </c>
      <c r="F34" s="115" t="s">
        <v>737</v>
      </c>
      <c r="G34" s="115" t="s">
        <v>809</v>
      </c>
      <c r="H34" s="115">
        <v>0</v>
      </c>
      <c r="I34" s="115">
        <v>0</v>
      </c>
      <c r="J34" s="115" t="s">
        <v>810</v>
      </c>
      <c r="K34" s="115" t="s">
        <v>810</v>
      </c>
      <c r="L34" s="115" t="s">
        <v>810</v>
      </c>
      <c r="M34" s="115" t="s">
        <v>810</v>
      </c>
    </row>
    <row r="35" spans="1:13" x14ac:dyDescent="0.25">
      <c r="B35" s="60"/>
      <c r="C35" s="116" t="s">
        <v>812</v>
      </c>
      <c r="D35" s="116" t="s">
        <v>808</v>
      </c>
      <c r="E35" s="116" t="s">
        <v>736</v>
      </c>
      <c r="F35" s="116" t="s">
        <v>737</v>
      </c>
      <c r="G35" s="116" t="s">
        <v>809</v>
      </c>
      <c r="H35" s="116">
        <v>0</v>
      </c>
      <c r="I35" s="116">
        <v>0</v>
      </c>
      <c r="J35" s="116" t="s">
        <v>810</v>
      </c>
      <c r="K35" s="116" t="s">
        <v>810</v>
      </c>
      <c r="L35" s="116" t="s">
        <v>810</v>
      </c>
      <c r="M35" s="116" t="s">
        <v>810</v>
      </c>
    </row>
    <row r="36" spans="1:13" x14ac:dyDescent="0.25">
      <c r="B36" s="60"/>
      <c r="C36" s="117" t="s">
        <v>813</v>
      </c>
      <c r="D36" s="117" t="s">
        <v>808</v>
      </c>
      <c r="E36" s="117" t="s">
        <v>736</v>
      </c>
      <c r="F36" s="117" t="s">
        <v>737</v>
      </c>
      <c r="G36" s="117" t="s">
        <v>809</v>
      </c>
      <c r="H36" s="117">
        <v>0</v>
      </c>
      <c r="I36" s="117">
        <v>0</v>
      </c>
      <c r="J36" s="117" t="s">
        <v>810</v>
      </c>
      <c r="K36" s="117" t="s">
        <v>810</v>
      </c>
      <c r="L36" s="117" t="s">
        <v>810</v>
      </c>
      <c r="M36" s="117" t="s">
        <v>810</v>
      </c>
    </row>
    <row r="37" spans="1:13" x14ac:dyDescent="0.25">
      <c r="B37" s="61"/>
      <c r="C37" s="118" t="s">
        <v>814</v>
      </c>
      <c r="D37" s="118" t="s">
        <v>808</v>
      </c>
      <c r="E37" s="118" t="s">
        <v>736</v>
      </c>
      <c r="F37" s="118" t="s">
        <v>737</v>
      </c>
      <c r="G37" s="118" t="s">
        <v>809</v>
      </c>
      <c r="H37" s="118">
        <v>0</v>
      </c>
      <c r="I37" s="118">
        <v>0</v>
      </c>
      <c r="J37" s="118" t="s">
        <v>810</v>
      </c>
      <c r="K37" s="118" t="s">
        <v>810</v>
      </c>
      <c r="L37" s="118" t="s">
        <v>810</v>
      </c>
      <c r="M37" s="118" t="s">
        <v>810</v>
      </c>
    </row>
    <row r="38" spans="1:13" x14ac:dyDescent="0.25">
      <c r="B38" s="62" t="s">
        <v>1066</v>
      </c>
      <c r="C38" s="96" t="s">
        <v>500</v>
      </c>
      <c r="D38" s="96" t="s">
        <v>808</v>
      </c>
      <c r="E38" s="96" t="s">
        <v>575</v>
      </c>
      <c r="F38" s="96" t="s">
        <v>815</v>
      </c>
      <c r="G38" s="96" t="s">
        <v>816</v>
      </c>
      <c r="H38" s="96">
        <v>0</v>
      </c>
      <c r="I38" s="96">
        <v>0</v>
      </c>
      <c r="J38" s="96" t="s">
        <v>817</v>
      </c>
      <c r="K38" s="96" t="s">
        <v>769</v>
      </c>
      <c r="L38" s="96" t="s">
        <v>818</v>
      </c>
      <c r="M38" s="96" t="s">
        <v>819</v>
      </c>
    </row>
    <row r="39" spans="1:13" x14ac:dyDescent="0.25">
      <c r="B39" s="60" t="s">
        <v>1061</v>
      </c>
      <c r="C39" s="97" t="s">
        <v>420</v>
      </c>
      <c r="D39" s="97" t="s">
        <v>808</v>
      </c>
      <c r="E39" s="97" t="s">
        <v>591</v>
      </c>
      <c r="F39" s="97" t="s">
        <v>820</v>
      </c>
      <c r="G39" s="97" t="s">
        <v>821</v>
      </c>
      <c r="H39" s="97">
        <v>0</v>
      </c>
      <c r="I39" s="97">
        <v>0</v>
      </c>
      <c r="J39" s="97" t="s">
        <v>822</v>
      </c>
      <c r="K39" s="97" t="s">
        <v>823</v>
      </c>
      <c r="L39" s="97" t="s">
        <v>824</v>
      </c>
      <c r="M39" s="97" t="s">
        <v>825</v>
      </c>
    </row>
    <row r="40" spans="1:13" x14ac:dyDescent="0.25">
      <c r="B40" s="60"/>
      <c r="C40" s="91" t="s">
        <v>430</v>
      </c>
      <c r="D40" s="91" t="s">
        <v>808</v>
      </c>
      <c r="E40" s="91" t="s">
        <v>826</v>
      </c>
      <c r="F40" s="91" t="s">
        <v>827</v>
      </c>
      <c r="G40" s="91" t="s">
        <v>828</v>
      </c>
      <c r="H40" s="91">
        <v>0</v>
      </c>
      <c r="I40" s="91">
        <v>0</v>
      </c>
      <c r="J40" s="91" t="s">
        <v>829</v>
      </c>
      <c r="K40" s="91" t="s">
        <v>769</v>
      </c>
      <c r="L40" s="91" t="s">
        <v>830</v>
      </c>
      <c r="M40" s="91" t="s">
        <v>831</v>
      </c>
    </row>
    <row r="41" spans="1:13" x14ac:dyDescent="0.25">
      <c r="B41" s="60"/>
      <c r="C41" s="98" t="s">
        <v>411</v>
      </c>
      <c r="D41" s="98" t="s">
        <v>808</v>
      </c>
      <c r="E41" s="98" t="s">
        <v>567</v>
      </c>
      <c r="F41" s="98" t="s">
        <v>832</v>
      </c>
      <c r="G41" s="98" t="s">
        <v>833</v>
      </c>
      <c r="H41" s="98">
        <v>0</v>
      </c>
      <c r="I41" s="98">
        <v>0</v>
      </c>
      <c r="J41" s="98" t="s">
        <v>834</v>
      </c>
      <c r="K41" s="98" t="s">
        <v>835</v>
      </c>
      <c r="L41" s="98" t="s">
        <v>836</v>
      </c>
      <c r="M41" s="98" t="s">
        <v>837</v>
      </c>
    </row>
    <row r="42" spans="1:13" x14ac:dyDescent="0.25">
      <c r="B42" s="60"/>
      <c r="C42" s="99" t="s">
        <v>497</v>
      </c>
      <c r="D42" s="99" t="s">
        <v>808</v>
      </c>
      <c r="E42" s="99" t="s">
        <v>581</v>
      </c>
      <c r="F42" s="99" t="s">
        <v>838</v>
      </c>
      <c r="G42" s="99" t="s">
        <v>839</v>
      </c>
      <c r="H42" s="99">
        <v>0</v>
      </c>
      <c r="I42" s="99">
        <v>0</v>
      </c>
      <c r="J42" s="99" t="s">
        <v>762</v>
      </c>
      <c r="K42" s="99" t="s">
        <v>840</v>
      </c>
      <c r="L42" s="99" t="s">
        <v>841</v>
      </c>
      <c r="M42" s="99" t="s">
        <v>842</v>
      </c>
    </row>
    <row r="43" spans="1:13" x14ac:dyDescent="0.25">
      <c r="B43" s="61"/>
      <c r="C43" s="100" t="s">
        <v>243</v>
      </c>
      <c r="D43" s="100" t="s">
        <v>808</v>
      </c>
      <c r="E43" s="100" t="s">
        <v>843</v>
      </c>
      <c r="F43" s="100" t="s">
        <v>844</v>
      </c>
      <c r="G43" s="100" t="s">
        <v>845</v>
      </c>
      <c r="H43" s="100">
        <v>0</v>
      </c>
      <c r="I43" s="100">
        <v>0</v>
      </c>
      <c r="J43" s="100" t="s">
        <v>846</v>
      </c>
      <c r="K43" s="100" t="s">
        <v>847</v>
      </c>
      <c r="L43" s="100" t="s">
        <v>848</v>
      </c>
      <c r="M43" s="100" t="s">
        <v>849</v>
      </c>
    </row>
    <row r="44" spans="1:13" x14ac:dyDescent="0.25">
      <c r="A44" t="s">
        <v>1509</v>
      </c>
      <c r="B44" s="62" t="s">
        <v>1067</v>
      </c>
      <c r="C44" s="90" t="s">
        <v>397</v>
      </c>
      <c r="D44" s="90" t="s">
        <v>808</v>
      </c>
      <c r="E44" s="90" t="s">
        <v>552</v>
      </c>
      <c r="F44" s="90" t="s">
        <v>850</v>
      </c>
      <c r="G44" s="90" t="s">
        <v>839</v>
      </c>
      <c r="H44" s="90">
        <v>0</v>
      </c>
      <c r="I44" s="90">
        <v>0</v>
      </c>
      <c r="J44" s="90" t="s">
        <v>851</v>
      </c>
      <c r="K44" s="90" t="s">
        <v>852</v>
      </c>
      <c r="L44" s="90" t="s">
        <v>853</v>
      </c>
      <c r="M44" s="90" t="s">
        <v>837</v>
      </c>
    </row>
    <row r="45" spans="1:13" x14ac:dyDescent="0.25">
      <c r="B45" s="60" t="s">
        <v>1061</v>
      </c>
      <c r="C45" s="91" t="s">
        <v>413</v>
      </c>
      <c r="D45" s="91" t="s">
        <v>808</v>
      </c>
      <c r="E45" s="91" t="s">
        <v>643</v>
      </c>
      <c r="F45" s="91" t="s">
        <v>820</v>
      </c>
      <c r="G45" s="91" t="s">
        <v>854</v>
      </c>
      <c r="H45" s="91">
        <v>0</v>
      </c>
      <c r="I45" s="91">
        <v>0</v>
      </c>
      <c r="J45" s="91" t="s">
        <v>855</v>
      </c>
      <c r="K45" s="91" t="s">
        <v>856</v>
      </c>
      <c r="L45" s="91" t="s">
        <v>857</v>
      </c>
      <c r="M45" s="91" t="s">
        <v>842</v>
      </c>
    </row>
    <row r="46" spans="1:13" x14ac:dyDescent="0.25">
      <c r="B46" s="60" t="s">
        <v>1068</v>
      </c>
      <c r="C46" s="93" t="s">
        <v>496</v>
      </c>
      <c r="D46" s="93" t="s">
        <v>808</v>
      </c>
      <c r="E46" s="93" t="s">
        <v>552</v>
      </c>
      <c r="F46" s="93" t="s">
        <v>858</v>
      </c>
      <c r="G46" s="93" t="s">
        <v>821</v>
      </c>
      <c r="H46" s="93">
        <v>0</v>
      </c>
      <c r="I46" s="93">
        <v>0</v>
      </c>
      <c r="J46" s="93" t="s">
        <v>769</v>
      </c>
      <c r="K46" s="93" t="s">
        <v>859</v>
      </c>
      <c r="L46" s="93" t="s">
        <v>860</v>
      </c>
      <c r="M46" s="93" t="s">
        <v>861</v>
      </c>
    </row>
    <row r="47" spans="1:13" x14ac:dyDescent="0.25">
      <c r="B47" s="60"/>
      <c r="C47" s="94" t="s">
        <v>508</v>
      </c>
      <c r="D47" s="94" t="s">
        <v>808</v>
      </c>
      <c r="E47" s="94" t="s">
        <v>862</v>
      </c>
      <c r="F47" s="94" t="s">
        <v>863</v>
      </c>
      <c r="G47" s="94" t="s">
        <v>833</v>
      </c>
      <c r="H47" s="94">
        <v>0</v>
      </c>
      <c r="I47" s="94">
        <v>0</v>
      </c>
      <c r="J47" s="94" t="s">
        <v>864</v>
      </c>
      <c r="K47" s="94" t="s">
        <v>865</v>
      </c>
      <c r="L47" s="94" t="s">
        <v>866</v>
      </c>
      <c r="M47" s="94" t="s">
        <v>823</v>
      </c>
    </row>
    <row r="48" spans="1:13" x14ac:dyDescent="0.25">
      <c r="B48" s="60"/>
      <c r="C48" s="92" t="s">
        <v>157</v>
      </c>
      <c r="D48" s="92" t="s">
        <v>808</v>
      </c>
      <c r="E48" s="92" t="s">
        <v>583</v>
      </c>
      <c r="F48" s="92" t="s">
        <v>867</v>
      </c>
      <c r="G48" s="92" t="s">
        <v>854</v>
      </c>
      <c r="H48" s="92">
        <v>0</v>
      </c>
      <c r="I48" s="92">
        <v>0</v>
      </c>
      <c r="J48" s="92" t="s">
        <v>855</v>
      </c>
      <c r="K48" s="92" t="s">
        <v>868</v>
      </c>
      <c r="L48" s="92" t="s">
        <v>869</v>
      </c>
      <c r="M48" s="92" t="s">
        <v>870</v>
      </c>
    </row>
    <row r="49" spans="2:13" x14ac:dyDescent="0.25">
      <c r="B49" s="61"/>
      <c r="C49" s="95" t="s">
        <v>177</v>
      </c>
      <c r="D49" s="95" t="s">
        <v>808</v>
      </c>
      <c r="E49" s="95" t="s">
        <v>655</v>
      </c>
      <c r="F49" s="95" t="s">
        <v>871</v>
      </c>
      <c r="G49" s="95" t="s">
        <v>839</v>
      </c>
      <c r="H49" s="95">
        <v>0</v>
      </c>
      <c r="I49" s="95">
        <v>0</v>
      </c>
      <c r="J49" s="95" t="s">
        <v>855</v>
      </c>
      <c r="K49" s="95" t="s">
        <v>852</v>
      </c>
      <c r="L49" s="95" t="s">
        <v>872</v>
      </c>
      <c r="M49" s="95" t="s">
        <v>873</v>
      </c>
    </row>
    <row r="50" spans="2:13" x14ac:dyDescent="0.25">
      <c r="B50" s="62" t="s">
        <v>1069</v>
      </c>
      <c r="C50" s="81" t="s">
        <v>874</v>
      </c>
      <c r="D50" s="81" t="s">
        <v>808</v>
      </c>
      <c r="E50" s="81" t="s">
        <v>591</v>
      </c>
      <c r="F50" s="81" t="s">
        <v>820</v>
      </c>
      <c r="G50" s="81" t="s">
        <v>845</v>
      </c>
      <c r="H50" s="81">
        <v>0</v>
      </c>
      <c r="I50" s="81">
        <v>0</v>
      </c>
      <c r="J50" s="81" t="s">
        <v>824</v>
      </c>
      <c r="K50" s="81" t="s">
        <v>875</v>
      </c>
      <c r="L50" s="81" t="s">
        <v>831</v>
      </c>
      <c r="M50" s="81" t="s">
        <v>876</v>
      </c>
    </row>
    <row r="51" spans="2:13" x14ac:dyDescent="0.25">
      <c r="B51" s="60" t="s">
        <v>1061</v>
      </c>
      <c r="C51" s="82" t="s">
        <v>25</v>
      </c>
      <c r="D51" s="82" t="s">
        <v>808</v>
      </c>
      <c r="E51" s="82" t="s">
        <v>22</v>
      </c>
      <c r="F51" s="82" t="s">
        <v>877</v>
      </c>
      <c r="G51" s="82" t="s">
        <v>821</v>
      </c>
      <c r="H51" s="82">
        <v>0</v>
      </c>
      <c r="I51" s="82">
        <v>0</v>
      </c>
      <c r="J51" s="82" t="s">
        <v>878</v>
      </c>
      <c r="K51" s="82" t="s">
        <v>879</v>
      </c>
      <c r="L51" s="82" t="s">
        <v>848</v>
      </c>
      <c r="M51" s="82" t="s">
        <v>880</v>
      </c>
    </row>
    <row r="52" spans="2:13" x14ac:dyDescent="0.25">
      <c r="B52" s="60"/>
      <c r="C52" s="83" t="s">
        <v>369</v>
      </c>
      <c r="D52" s="83" t="s">
        <v>808</v>
      </c>
      <c r="E52" s="83" t="s">
        <v>590</v>
      </c>
      <c r="F52" s="83" t="s">
        <v>820</v>
      </c>
      <c r="G52" s="83" t="s">
        <v>881</v>
      </c>
      <c r="H52" s="83">
        <v>0</v>
      </c>
      <c r="I52" s="83">
        <v>0</v>
      </c>
      <c r="J52" s="83" t="s">
        <v>882</v>
      </c>
      <c r="K52" s="83" t="s">
        <v>883</v>
      </c>
      <c r="L52" s="83" t="s">
        <v>884</v>
      </c>
      <c r="M52" s="83" t="s">
        <v>885</v>
      </c>
    </row>
    <row r="53" spans="2:13" x14ac:dyDescent="0.25">
      <c r="B53" s="60"/>
      <c r="C53" s="83" t="s">
        <v>408</v>
      </c>
      <c r="D53" s="83" t="s">
        <v>808</v>
      </c>
      <c r="E53" s="83" t="s">
        <v>886</v>
      </c>
      <c r="F53" s="83" t="s">
        <v>887</v>
      </c>
      <c r="G53" s="83" t="s">
        <v>833</v>
      </c>
      <c r="H53" s="83">
        <v>0</v>
      </c>
      <c r="I53" s="83">
        <v>0</v>
      </c>
      <c r="J53" s="83" t="s">
        <v>888</v>
      </c>
      <c r="K53" s="83" t="s">
        <v>889</v>
      </c>
      <c r="L53" s="83" t="s">
        <v>882</v>
      </c>
      <c r="M53" s="83" t="s">
        <v>831</v>
      </c>
    </row>
    <row r="54" spans="2:13" x14ac:dyDescent="0.25">
      <c r="B54" s="60"/>
      <c r="C54" s="84" t="s">
        <v>419</v>
      </c>
      <c r="D54" s="84" t="s">
        <v>808</v>
      </c>
      <c r="E54" s="84" t="s">
        <v>645</v>
      </c>
      <c r="F54" s="84" t="s">
        <v>858</v>
      </c>
      <c r="G54" s="84" t="s">
        <v>833</v>
      </c>
      <c r="H54" s="84">
        <v>0</v>
      </c>
      <c r="I54" s="84">
        <v>0</v>
      </c>
      <c r="J54" s="84" t="s">
        <v>890</v>
      </c>
      <c r="K54" s="84" t="s">
        <v>891</v>
      </c>
      <c r="L54" s="84" t="s">
        <v>892</v>
      </c>
      <c r="M54" s="84" t="s">
        <v>880</v>
      </c>
    </row>
    <row r="55" spans="2:13" x14ac:dyDescent="0.25">
      <c r="B55" s="61"/>
      <c r="C55" s="85" t="s">
        <v>265</v>
      </c>
      <c r="D55" s="85" t="s">
        <v>808</v>
      </c>
      <c r="E55" s="85" t="s">
        <v>594</v>
      </c>
      <c r="F55" s="85" t="s">
        <v>893</v>
      </c>
      <c r="G55" s="85" t="s">
        <v>854</v>
      </c>
      <c r="H55" s="85">
        <v>0</v>
      </c>
      <c r="I55" s="85">
        <v>0</v>
      </c>
      <c r="J55" s="85" t="s">
        <v>894</v>
      </c>
      <c r="K55" s="85" t="s">
        <v>882</v>
      </c>
      <c r="L55" s="85" t="s">
        <v>760</v>
      </c>
      <c r="M55" s="85" t="s">
        <v>895</v>
      </c>
    </row>
    <row r="56" spans="2:13" x14ac:dyDescent="0.25">
      <c r="B56" s="62" t="s">
        <v>1070</v>
      </c>
      <c r="C56" s="101" t="s">
        <v>212</v>
      </c>
      <c r="D56" s="101" t="s">
        <v>808</v>
      </c>
      <c r="E56" s="101" t="s">
        <v>896</v>
      </c>
      <c r="F56" s="101" t="s">
        <v>897</v>
      </c>
      <c r="G56" s="101" t="s">
        <v>839</v>
      </c>
      <c r="H56" s="101">
        <v>0</v>
      </c>
      <c r="I56" s="101">
        <v>0</v>
      </c>
      <c r="J56" s="101" t="s">
        <v>898</v>
      </c>
      <c r="K56" s="101" t="s">
        <v>899</v>
      </c>
      <c r="L56" s="101" t="s">
        <v>831</v>
      </c>
      <c r="M56" s="101" t="s">
        <v>842</v>
      </c>
    </row>
    <row r="57" spans="2:13" x14ac:dyDescent="0.25">
      <c r="B57" s="60" t="s">
        <v>1071</v>
      </c>
      <c r="C57" s="104" t="s">
        <v>361</v>
      </c>
      <c r="D57" s="104" t="s">
        <v>808</v>
      </c>
      <c r="E57" s="104" t="s">
        <v>900</v>
      </c>
      <c r="F57" s="104" t="s">
        <v>901</v>
      </c>
      <c r="G57" s="104" t="s">
        <v>816</v>
      </c>
      <c r="H57" s="104">
        <v>0</v>
      </c>
      <c r="I57" s="104">
        <v>0</v>
      </c>
      <c r="J57" s="104" t="s">
        <v>898</v>
      </c>
      <c r="K57" s="104" t="s">
        <v>902</v>
      </c>
      <c r="L57" s="104" t="s">
        <v>903</v>
      </c>
      <c r="M57" s="104" t="s">
        <v>904</v>
      </c>
    </row>
    <row r="58" spans="2:13" x14ac:dyDescent="0.25">
      <c r="B58" s="60" t="s">
        <v>1068</v>
      </c>
      <c r="C58" s="102" t="s">
        <v>510</v>
      </c>
      <c r="D58" s="102" t="s">
        <v>808</v>
      </c>
      <c r="E58" s="102" t="s">
        <v>905</v>
      </c>
      <c r="F58" s="102" t="s">
        <v>858</v>
      </c>
      <c r="G58" s="102" t="s">
        <v>821</v>
      </c>
      <c r="H58" s="102">
        <v>0</v>
      </c>
      <c r="I58" s="102">
        <v>0</v>
      </c>
      <c r="J58" s="102" t="s">
        <v>906</v>
      </c>
      <c r="K58" s="102" t="s">
        <v>907</v>
      </c>
      <c r="L58" s="102" t="s">
        <v>908</v>
      </c>
      <c r="M58" s="102" t="s">
        <v>909</v>
      </c>
    </row>
    <row r="59" spans="2:13" x14ac:dyDescent="0.25">
      <c r="B59" s="60"/>
      <c r="C59" s="103" t="s">
        <v>523</v>
      </c>
      <c r="D59" s="103" t="s">
        <v>808</v>
      </c>
      <c r="E59" s="103" t="s">
        <v>581</v>
      </c>
      <c r="F59" s="103" t="s">
        <v>820</v>
      </c>
      <c r="G59" s="103" t="s">
        <v>839</v>
      </c>
      <c r="H59" s="103">
        <v>0</v>
      </c>
      <c r="I59" s="103">
        <v>0</v>
      </c>
      <c r="J59" s="103" t="s">
        <v>910</v>
      </c>
      <c r="K59" s="103" t="s">
        <v>760</v>
      </c>
      <c r="L59" s="103" t="s">
        <v>911</v>
      </c>
      <c r="M59" s="103" t="s">
        <v>912</v>
      </c>
    </row>
    <row r="60" spans="2:13" x14ac:dyDescent="0.25">
      <c r="B60" s="60"/>
      <c r="C60" s="106" t="s">
        <v>136</v>
      </c>
      <c r="D60" s="106" t="s">
        <v>808</v>
      </c>
      <c r="E60" s="106" t="s">
        <v>913</v>
      </c>
      <c r="F60" s="106" t="s">
        <v>914</v>
      </c>
      <c r="G60" s="106" t="s">
        <v>854</v>
      </c>
      <c r="H60" s="106">
        <v>0</v>
      </c>
      <c r="I60" s="106">
        <v>0</v>
      </c>
      <c r="J60" s="106" t="s">
        <v>744</v>
      </c>
      <c r="K60" s="106" t="s">
        <v>748</v>
      </c>
      <c r="L60" s="106" t="s">
        <v>882</v>
      </c>
      <c r="M60" s="106" t="s">
        <v>915</v>
      </c>
    </row>
    <row r="61" spans="2:13" x14ac:dyDescent="0.25">
      <c r="B61" s="61"/>
      <c r="C61" s="105" t="s">
        <v>317</v>
      </c>
      <c r="D61" s="105" t="s">
        <v>808</v>
      </c>
      <c r="E61" s="105" t="s">
        <v>602</v>
      </c>
      <c r="F61" s="105" t="s">
        <v>1192</v>
      </c>
      <c r="G61" s="105" t="s">
        <v>854</v>
      </c>
      <c r="H61" s="105">
        <v>0</v>
      </c>
      <c r="I61" s="105">
        <v>0</v>
      </c>
      <c r="J61" s="105" t="s">
        <v>795</v>
      </c>
      <c r="K61" s="105" t="s">
        <v>916</v>
      </c>
      <c r="L61" s="105" t="s">
        <v>868</v>
      </c>
      <c r="M61" s="105" t="s">
        <v>917</v>
      </c>
    </row>
    <row r="62" spans="2:13" x14ac:dyDescent="0.25">
      <c r="B62" s="62" t="s">
        <v>1072</v>
      </c>
      <c r="C62" s="89" t="s">
        <v>110</v>
      </c>
      <c r="D62" s="89" t="s">
        <v>808</v>
      </c>
      <c r="E62" s="89" t="s">
        <v>918</v>
      </c>
      <c r="F62" s="89" t="s">
        <v>919</v>
      </c>
      <c r="G62" s="89" t="s">
        <v>920</v>
      </c>
      <c r="H62" s="89">
        <v>0</v>
      </c>
      <c r="I62" s="89">
        <v>0</v>
      </c>
      <c r="J62" s="89" t="s">
        <v>910</v>
      </c>
      <c r="K62" s="89" t="s">
        <v>921</v>
      </c>
      <c r="L62" s="89" t="s">
        <v>870</v>
      </c>
      <c r="M62" s="89" t="s">
        <v>922</v>
      </c>
    </row>
    <row r="63" spans="2:13" x14ac:dyDescent="0.25">
      <c r="B63" s="60" t="s">
        <v>1071</v>
      </c>
      <c r="C63" s="86" t="s">
        <v>489</v>
      </c>
      <c r="D63" s="86" t="s">
        <v>808</v>
      </c>
      <c r="E63" s="86" t="s">
        <v>554</v>
      </c>
      <c r="F63" s="86" t="s">
        <v>858</v>
      </c>
      <c r="G63" s="86" t="s">
        <v>821</v>
      </c>
      <c r="H63" s="86">
        <v>0</v>
      </c>
      <c r="I63" s="86">
        <v>0</v>
      </c>
      <c r="J63" s="86" t="s">
        <v>860</v>
      </c>
      <c r="K63" s="86" t="s">
        <v>923</v>
      </c>
      <c r="L63" s="86" t="s">
        <v>924</v>
      </c>
      <c r="M63" s="86" t="s">
        <v>925</v>
      </c>
    </row>
    <row r="64" spans="2:13" x14ac:dyDescent="0.25">
      <c r="B64" s="167"/>
      <c r="C64" s="165" t="s">
        <v>926</v>
      </c>
      <c r="D64" s="165" t="s">
        <v>808</v>
      </c>
      <c r="E64" s="165" t="s">
        <v>650</v>
      </c>
      <c r="F64" s="165" t="s">
        <v>927</v>
      </c>
      <c r="G64" s="165" t="s">
        <v>833</v>
      </c>
      <c r="H64" s="165">
        <v>0</v>
      </c>
      <c r="I64" s="165">
        <v>0</v>
      </c>
      <c r="J64" s="165" t="s">
        <v>928</v>
      </c>
      <c r="K64" s="165" t="s">
        <v>924</v>
      </c>
      <c r="L64" s="165" t="s">
        <v>929</v>
      </c>
      <c r="M64" s="165" t="s">
        <v>837</v>
      </c>
    </row>
    <row r="65" spans="2:24" x14ac:dyDescent="0.25">
      <c r="B65" s="167"/>
      <c r="C65" s="88" t="s">
        <v>121</v>
      </c>
      <c r="D65" s="88" t="s">
        <v>808</v>
      </c>
      <c r="E65" s="88" t="s">
        <v>930</v>
      </c>
      <c r="F65" s="88" t="s">
        <v>931</v>
      </c>
      <c r="G65" s="88" t="s">
        <v>932</v>
      </c>
      <c r="H65" s="88">
        <v>0</v>
      </c>
      <c r="I65" s="88">
        <v>0</v>
      </c>
      <c r="J65" s="88" t="s">
        <v>769</v>
      </c>
      <c r="K65" s="88" t="s">
        <v>933</v>
      </c>
      <c r="L65" s="88" t="s">
        <v>934</v>
      </c>
      <c r="M65" s="88" t="s">
        <v>935</v>
      </c>
    </row>
    <row r="66" spans="2:24" x14ac:dyDescent="0.25">
      <c r="B66" s="167"/>
      <c r="C66" s="87" t="s">
        <v>507</v>
      </c>
      <c r="D66" s="87" t="s">
        <v>808</v>
      </c>
      <c r="E66" s="87" t="s">
        <v>625</v>
      </c>
      <c r="F66" s="87" t="s">
        <v>936</v>
      </c>
      <c r="G66" s="87" t="s">
        <v>845</v>
      </c>
      <c r="H66" s="87">
        <v>0</v>
      </c>
      <c r="I66" s="87">
        <v>0</v>
      </c>
      <c r="J66" s="87" t="s">
        <v>848</v>
      </c>
      <c r="K66" s="87" t="s">
        <v>899</v>
      </c>
      <c r="L66" s="87" t="s">
        <v>937</v>
      </c>
      <c r="M66" s="87" t="s">
        <v>938</v>
      </c>
    </row>
    <row r="67" spans="2:24" x14ac:dyDescent="0.25">
      <c r="B67" s="168"/>
      <c r="C67" s="166" t="s">
        <v>76</v>
      </c>
      <c r="D67" s="166" t="s">
        <v>808</v>
      </c>
      <c r="E67" s="166" t="s">
        <v>555</v>
      </c>
      <c r="F67" s="166" t="s">
        <v>858</v>
      </c>
      <c r="G67" s="166" t="s">
        <v>854</v>
      </c>
      <c r="H67" s="166">
        <v>0</v>
      </c>
      <c r="I67" s="166">
        <v>0</v>
      </c>
      <c r="J67" s="166" t="s">
        <v>939</v>
      </c>
      <c r="K67" s="166" t="s">
        <v>940</v>
      </c>
      <c r="L67" s="166" t="s">
        <v>941</v>
      </c>
      <c r="M67" s="166" t="s">
        <v>804</v>
      </c>
    </row>
    <row r="68" spans="2:24" x14ac:dyDescent="0.25">
      <c r="B68" s="62" t="s">
        <v>1073</v>
      </c>
      <c r="C68" s="75" t="s">
        <v>942</v>
      </c>
      <c r="D68" s="75" t="s">
        <v>808</v>
      </c>
      <c r="E68" s="75" t="s">
        <v>552</v>
      </c>
      <c r="F68" s="75" t="s">
        <v>887</v>
      </c>
      <c r="G68" s="75" t="s">
        <v>821</v>
      </c>
      <c r="H68" s="75">
        <v>0</v>
      </c>
      <c r="I68" s="75">
        <v>0</v>
      </c>
      <c r="J68" s="75" t="s">
        <v>943</v>
      </c>
      <c r="K68" s="75" t="s">
        <v>944</v>
      </c>
      <c r="L68" s="75" t="s">
        <v>945</v>
      </c>
      <c r="M68" s="75" t="s">
        <v>899</v>
      </c>
    </row>
    <row r="69" spans="2:24" x14ac:dyDescent="0.25">
      <c r="B69" s="60" t="s">
        <v>1071</v>
      </c>
      <c r="C69" s="76" t="s">
        <v>483</v>
      </c>
      <c r="D69" s="76" t="s">
        <v>808</v>
      </c>
      <c r="E69" s="76" t="s">
        <v>946</v>
      </c>
      <c r="F69" s="76" t="s">
        <v>947</v>
      </c>
      <c r="G69" s="76" t="s">
        <v>948</v>
      </c>
      <c r="H69" s="76">
        <v>0</v>
      </c>
      <c r="I69" s="76">
        <v>0</v>
      </c>
      <c r="J69" s="76" t="s">
        <v>949</v>
      </c>
      <c r="K69" s="76" t="s">
        <v>840</v>
      </c>
      <c r="L69" s="76" t="s">
        <v>950</v>
      </c>
      <c r="M69" s="76" t="s">
        <v>951</v>
      </c>
    </row>
    <row r="70" spans="2:24" x14ac:dyDescent="0.25">
      <c r="B70" s="60"/>
      <c r="C70" s="77" t="s">
        <v>161</v>
      </c>
      <c r="D70" s="77" t="s">
        <v>808</v>
      </c>
      <c r="E70" s="77" t="s">
        <v>952</v>
      </c>
      <c r="F70" s="77" t="s">
        <v>838</v>
      </c>
      <c r="G70" s="77" t="s">
        <v>821</v>
      </c>
      <c r="H70" s="77">
        <v>0</v>
      </c>
      <c r="I70" s="77">
        <v>0</v>
      </c>
      <c r="J70" s="77" t="s">
        <v>923</v>
      </c>
      <c r="K70" s="77" t="s">
        <v>953</v>
      </c>
      <c r="L70" s="77" t="s">
        <v>878</v>
      </c>
      <c r="M70" s="77" t="s">
        <v>954</v>
      </c>
    </row>
    <row r="71" spans="2:24" x14ac:dyDescent="0.25">
      <c r="B71" s="60"/>
      <c r="C71" s="78" t="s">
        <v>295</v>
      </c>
      <c r="D71" s="78" t="s">
        <v>808</v>
      </c>
      <c r="E71" s="78" t="s">
        <v>560</v>
      </c>
      <c r="F71" s="78" t="s">
        <v>955</v>
      </c>
      <c r="G71" s="78" t="s">
        <v>845</v>
      </c>
      <c r="H71" s="78">
        <v>0</v>
      </c>
      <c r="I71" s="78">
        <v>0</v>
      </c>
      <c r="J71" s="78" t="s">
        <v>956</v>
      </c>
      <c r="K71" s="78" t="s">
        <v>848</v>
      </c>
      <c r="L71" s="78" t="s">
        <v>760</v>
      </c>
      <c r="M71" s="78" t="s">
        <v>758</v>
      </c>
    </row>
    <row r="72" spans="2:24" x14ac:dyDescent="0.25">
      <c r="B72" s="60"/>
      <c r="C72" s="79" t="s">
        <v>958</v>
      </c>
      <c r="D72" s="79" t="s">
        <v>808</v>
      </c>
      <c r="E72" s="79" t="s">
        <v>959</v>
      </c>
      <c r="F72" s="79" t="s">
        <v>820</v>
      </c>
      <c r="G72" s="79" t="s">
        <v>932</v>
      </c>
      <c r="H72" s="79">
        <v>0</v>
      </c>
      <c r="I72" s="79">
        <v>0</v>
      </c>
      <c r="J72" s="79" t="s">
        <v>960</v>
      </c>
      <c r="K72" s="79" t="s">
        <v>933</v>
      </c>
      <c r="L72" s="79" t="s">
        <v>848</v>
      </c>
      <c r="M72" s="79" t="s">
        <v>961</v>
      </c>
    </row>
    <row r="73" spans="2:24" x14ac:dyDescent="0.25">
      <c r="B73" s="61"/>
      <c r="C73" s="80" t="s">
        <v>97</v>
      </c>
      <c r="D73" s="80" t="s">
        <v>808</v>
      </c>
      <c r="E73" s="80" t="s">
        <v>566</v>
      </c>
      <c r="F73" s="80" t="s">
        <v>962</v>
      </c>
      <c r="G73" s="80" t="s">
        <v>833</v>
      </c>
      <c r="H73" s="80">
        <v>0</v>
      </c>
      <c r="I73" s="80">
        <v>0</v>
      </c>
      <c r="J73" s="80" t="s">
        <v>963</v>
      </c>
      <c r="K73" s="80" t="s">
        <v>964</v>
      </c>
      <c r="L73" s="80" t="s">
        <v>965</v>
      </c>
      <c r="M73" s="80" t="s">
        <v>836</v>
      </c>
    </row>
    <row r="74" spans="2:24" x14ac:dyDescent="0.25">
      <c r="B74" s="62" t="s">
        <v>1074</v>
      </c>
      <c r="C74" s="68" t="s">
        <v>465</v>
      </c>
      <c r="D74" s="68" t="s">
        <v>808</v>
      </c>
      <c r="E74" s="68" t="s">
        <v>966</v>
      </c>
      <c r="F74" s="68" t="s">
        <v>967</v>
      </c>
      <c r="G74" s="68" t="s">
        <v>816</v>
      </c>
      <c r="H74" s="68">
        <v>0</v>
      </c>
      <c r="I74" s="68">
        <v>0</v>
      </c>
      <c r="J74" s="68" t="s">
        <v>950</v>
      </c>
      <c r="K74" s="68" t="s">
        <v>968</v>
      </c>
      <c r="L74" s="68" t="s">
        <v>969</v>
      </c>
      <c r="M74" s="68" t="s">
        <v>970</v>
      </c>
    </row>
    <row r="75" spans="2:24" x14ac:dyDescent="0.25">
      <c r="B75" s="60" t="s">
        <v>1071</v>
      </c>
      <c r="C75" s="69" t="s">
        <v>487</v>
      </c>
      <c r="D75" s="69" t="s">
        <v>808</v>
      </c>
      <c r="E75" s="69" t="s">
        <v>595</v>
      </c>
      <c r="F75" s="69" t="s">
        <v>832</v>
      </c>
      <c r="G75" s="69" t="s">
        <v>821</v>
      </c>
      <c r="H75" s="69">
        <v>0</v>
      </c>
      <c r="I75" s="69">
        <v>0</v>
      </c>
      <c r="J75" s="69" t="s">
        <v>971</v>
      </c>
      <c r="K75" s="69" t="s">
        <v>769</v>
      </c>
      <c r="L75" s="69" t="s">
        <v>972</v>
      </c>
      <c r="M75" s="69" t="s">
        <v>848</v>
      </c>
    </row>
    <row r="76" spans="2:24" x14ac:dyDescent="0.25">
      <c r="B76" s="60"/>
      <c r="C76" s="70" t="s">
        <v>394</v>
      </c>
      <c r="D76" s="70" t="s">
        <v>808</v>
      </c>
      <c r="E76" s="70" t="s">
        <v>605</v>
      </c>
      <c r="F76" s="70" t="s">
        <v>973</v>
      </c>
      <c r="G76" s="70" t="s">
        <v>833</v>
      </c>
      <c r="H76" s="70">
        <v>0</v>
      </c>
      <c r="I76" s="70">
        <v>0</v>
      </c>
      <c r="J76" s="70" t="s">
        <v>924</v>
      </c>
      <c r="K76" s="70" t="s">
        <v>974</v>
      </c>
      <c r="L76" s="70" t="s">
        <v>975</v>
      </c>
      <c r="M76" s="70" t="s">
        <v>909</v>
      </c>
    </row>
    <row r="77" spans="2:24" x14ac:dyDescent="0.25">
      <c r="B77" s="60"/>
      <c r="C77" s="71" t="s">
        <v>264</v>
      </c>
      <c r="D77" s="71" t="s">
        <v>808</v>
      </c>
      <c r="E77" s="71" t="s">
        <v>551</v>
      </c>
      <c r="F77" s="71" t="s">
        <v>858</v>
      </c>
      <c r="G77" s="71" t="s">
        <v>948</v>
      </c>
      <c r="H77" s="71">
        <v>0</v>
      </c>
      <c r="I77" s="71">
        <v>0</v>
      </c>
      <c r="J77" s="71" t="s">
        <v>764</v>
      </c>
      <c r="K77" s="71" t="s">
        <v>976</v>
      </c>
      <c r="L77" s="71" t="s">
        <v>921</v>
      </c>
      <c r="M77" s="71" t="s">
        <v>977</v>
      </c>
    </row>
    <row r="78" spans="2:24" x14ac:dyDescent="0.25">
      <c r="B78" s="60"/>
      <c r="C78" s="72" t="s">
        <v>283</v>
      </c>
      <c r="D78" s="72" t="s">
        <v>808</v>
      </c>
      <c r="E78" s="72" t="s">
        <v>623</v>
      </c>
      <c r="F78" s="72" t="s">
        <v>815</v>
      </c>
      <c r="G78" s="72" t="s">
        <v>833</v>
      </c>
      <c r="H78" s="72">
        <v>0</v>
      </c>
      <c r="I78" s="72">
        <v>0</v>
      </c>
      <c r="J78" s="72" t="s">
        <v>1035</v>
      </c>
      <c r="K78" s="72" t="s">
        <v>972</v>
      </c>
      <c r="L78" s="72" t="s">
        <v>848</v>
      </c>
      <c r="M78" s="72" t="s">
        <v>997</v>
      </c>
      <c r="N78" s="72" t="s">
        <v>74</v>
      </c>
      <c r="O78" s="72" t="s">
        <v>808</v>
      </c>
      <c r="P78" s="72" t="s">
        <v>560</v>
      </c>
      <c r="Q78" s="72" t="s">
        <v>927</v>
      </c>
      <c r="R78" s="72" t="s">
        <v>821</v>
      </c>
      <c r="S78" s="72">
        <v>0</v>
      </c>
      <c r="T78" s="72">
        <v>0</v>
      </c>
      <c r="U78" s="72" t="s">
        <v>751</v>
      </c>
      <c r="V78" s="72" t="s">
        <v>907</v>
      </c>
      <c r="W78" s="72" t="s">
        <v>978</v>
      </c>
      <c r="X78" s="72" t="s">
        <v>979</v>
      </c>
    </row>
    <row r="79" spans="2:24" x14ac:dyDescent="0.25">
      <c r="B79" s="61"/>
      <c r="C79" s="73" t="s">
        <v>526</v>
      </c>
      <c r="D79" s="73" t="s">
        <v>808</v>
      </c>
      <c r="E79" s="73" t="s">
        <v>658</v>
      </c>
      <c r="F79" s="73" t="s">
        <v>967</v>
      </c>
      <c r="G79" s="73" t="s">
        <v>948</v>
      </c>
      <c r="H79" s="73">
        <v>0</v>
      </c>
      <c r="I79" s="73">
        <v>0</v>
      </c>
      <c r="J79" s="73" t="s">
        <v>980</v>
      </c>
      <c r="K79" s="73" t="s">
        <v>760</v>
      </c>
      <c r="L79" s="73" t="s">
        <v>857</v>
      </c>
      <c r="M79" s="73" t="s">
        <v>981</v>
      </c>
    </row>
    <row r="80" spans="2:24" x14ac:dyDescent="0.25">
      <c r="B80" s="62" t="s">
        <v>1075</v>
      </c>
      <c r="C80" s="63" t="s">
        <v>163</v>
      </c>
      <c r="D80" s="63" t="s">
        <v>808</v>
      </c>
      <c r="E80" s="63" t="s">
        <v>631</v>
      </c>
      <c r="F80" s="63" t="s">
        <v>1190</v>
      </c>
      <c r="G80" s="63" t="s">
        <v>845</v>
      </c>
      <c r="H80" s="63" t="s">
        <v>1376</v>
      </c>
      <c r="I80" s="63"/>
      <c r="J80" s="63" t="s">
        <v>982</v>
      </c>
      <c r="K80" s="63" t="s">
        <v>891</v>
      </c>
      <c r="L80" s="63" t="s">
        <v>830</v>
      </c>
      <c r="M80" s="63" t="s">
        <v>842</v>
      </c>
    </row>
    <row r="81" spans="2:23" x14ac:dyDescent="0.25">
      <c r="B81" s="60" t="s">
        <v>1076</v>
      </c>
      <c r="C81" s="64" t="s">
        <v>175</v>
      </c>
      <c r="D81" s="64" t="s">
        <v>808</v>
      </c>
      <c r="E81" s="64" t="s">
        <v>569</v>
      </c>
      <c r="F81" s="64" t="s">
        <v>983</v>
      </c>
      <c r="G81" s="64" t="s">
        <v>821</v>
      </c>
      <c r="H81" s="64" t="s">
        <v>1376</v>
      </c>
      <c r="I81" s="64">
        <v>0</v>
      </c>
      <c r="J81" s="64" t="s">
        <v>964</v>
      </c>
      <c r="K81" s="64" t="s">
        <v>984</v>
      </c>
      <c r="L81" s="64" t="s">
        <v>972</v>
      </c>
      <c r="M81" s="64" t="s">
        <v>831</v>
      </c>
    </row>
    <row r="82" spans="2:23" x14ac:dyDescent="0.25">
      <c r="B82" s="60"/>
      <c r="C82" s="65" t="s">
        <v>341</v>
      </c>
      <c r="D82" s="65" t="s">
        <v>808</v>
      </c>
      <c r="E82" s="65" t="s">
        <v>30</v>
      </c>
      <c r="F82" s="65" t="s">
        <v>962</v>
      </c>
      <c r="G82" s="65" t="s">
        <v>920</v>
      </c>
      <c r="H82" s="65" t="s">
        <v>1376</v>
      </c>
      <c r="I82" s="65">
        <v>0</v>
      </c>
      <c r="J82" s="65" t="s">
        <v>985</v>
      </c>
      <c r="K82" s="65" t="s">
        <v>847</v>
      </c>
      <c r="L82" s="65" t="s">
        <v>987</v>
      </c>
      <c r="M82" s="65" t="s">
        <v>986</v>
      </c>
    </row>
    <row r="83" spans="2:23" x14ac:dyDescent="0.25">
      <c r="B83" s="60"/>
      <c r="C83" s="66" t="s">
        <v>164</v>
      </c>
      <c r="D83" s="66" t="s">
        <v>808</v>
      </c>
      <c r="E83" s="66" t="s">
        <v>988</v>
      </c>
      <c r="F83" s="66" t="s">
        <v>820</v>
      </c>
      <c r="G83" s="66" t="s">
        <v>839</v>
      </c>
      <c r="H83" s="66" t="s">
        <v>1376</v>
      </c>
      <c r="I83" s="66">
        <v>0</v>
      </c>
      <c r="J83" s="66" t="s">
        <v>989</v>
      </c>
      <c r="K83" s="66" t="s">
        <v>852</v>
      </c>
      <c r="L83" s="66" t="s">
        <v>990</v>
      </c>
      <c r="M83" s="66" t="s">
        <v>991</v>
      </c>
    </row>
    <row r="84" spans="2:23" x14ac:dyDescent="0.25">
      <c r="B84" s="60"/>
      <c r="C84" s="74" t="s">
        <v>267</v>
      </c>
      <c r="D84" s="74" t="s">
        <v>808</v>
      </c>
      <c r="E84" s="74" t="s">
        <v>992</v>
      </c>
      <c r="F84" s="74" t="s">
        <v>993</v>
      </c>
      <c r="G84" s="74" t="s">
        <v>821</v>
      </c>
      <c r="H84" s="74" t="s">
        <v>1376</v>
      </c>
      <c r="I84" s="74">
        <v>0</v>
      </c>
      <c r="J84" s="74" t="s">
        <v>923</v>
      </c>
      <c r="K84" s="74" t="s">
        <v>865</v>
      </c>
      <c r="L84" s="74" t="s">
        <v>994</v>
      </c>
      <c r="M84" s="74" t="s">
        <v>995</v>
      </c>
    </row>
    <row r="85" spans="2:23" x14ac:dyDescent="0.25">
      <c r="B85" s="61"/>
      <c r="C85" s="67" t="s">
        <v>183</v>
      </c>
      <c r="D85" s="67" t="s">
        <v>808</v>
      </c>
      <c r="E85" s="67" t="s">
        <v>996</v>
      </c>
      <c r="F85" s="67" t="s">
        <v>858</v>
      </c>
      <c r="G85" s="67" t="s">
        <v>833</v>
      </c>
      <c r="H85" s="67" t="s">
        <v>1376</v>
      </c>
      <c r="I85" s="67">
        <v>0</v>
      </c>
      <c r="J85" s="67" t="s">
        <v>890</v>
      </c>
      <c r="K85" s="67" t="s">
        <v>997</v>
      </c>
      <c r="L85" s="67" t="s">
        <v>998</v>
      </c>
      <c r="M85" s="67" t="s">
        <v>909</v>
      </c>
    </row>
    <row r="86" spans="2:23" x14ac:dyDescent="0.25">
      <c r="B86" s="62" t="s">
        <v>1077</v>
      </c>
      <c r="C86" s="135" t="s">
        <v>168</v>
      </c>
      <c r="D86" s="135" t="s">
        <v>808</v>
      </c>
      <c r="E86" s="135" t="s">
        <v>999</v>
      </c>
      <c r="F86" s="135" t="s">
        <v>1191</v>
      </c>
      <c r="G86" s="135" t="s">
        <v>948</v>
      </c>
      <c r="H86" s="135">
        <v>0</v>
      </c>
      <c r="I86" s="135">
        <v>0</v>
      </c>
      <c r="J86" s="135" t="s">
        <v>856</v>
      </c>
      <c r="K86" s="135" t="s">
        <v>989</v>
      </c>
      <c r="L86" s="135" t="s">
        <v>825</v>
      </c>
      <c r="M86" s="135" t="s">
        <v>1000</v>
      </c>
    </row>
    <row r="87" spans="2:23" x14ac:dyDescent="0.25">
      <c r="B87" s="60" t="s">
        <v>1061</v>
      </c>
      <c r="C87" s="136" t="s">
        <v>178</v>
      </c>
      <c r="D87" s="136" t="s">
        <v>808</v>
      </c>
      <c r="E87" s="136" t="s">
        <v>644</v>
      </c>
      <c r="F87" s="136" t="s">
        <v>1001</v>
      </c>
      <c r="G87" s="136" t="s">
        <v>816</v>
      </c>
      <c r="H87" s="136">
        <v>0</v>
      </c>
      <c r="I87" s="136">
        <v>0</v>
      </c>
      <c r="J87" s="136" t="s">
        <v>1002</v>
      </c>
      <c r="K87" s="136" t="s">
        <v>884</v>
      </c>
      <c r="L87" s="136" t="s">
        <v>831</v>
      </c>
      <c r="M87" s="136" t="s">
        <v>1000</v>
      </c>
      <c r="N87" s="136" t="s">
        <v>808</v>
      </c>
      <c r="O87" s="136" t="s">
        <v>644</v>
      </c>
      <c r="P87" s="136" t="s">
        <v>1001</v>
      </c>
      <c r="Q87" s="136" t="s">
        <v>816</v>
      </c>
      <c r="R87" s="136">
        <v>0</v>
      </c>
      <c r="S87" s="136"/>
      <c r="T87" s="136" t="s">
        <v>1002</v>
      </c>
      <c r="U87" s="136" t="s">
        <v>884</v>
      </c>
      <c r="V87" s="136" t="s">
        <v>831</v>
      </c>
      <c r="W87" s="136" t="s">
        <v>1000</v>
      </c>
    </row>
    <row r="88" spans="2:23" x14ac:dyDescent="0.25">
      <c r="B88" s="60" t="s">
        <v>1068</v>
      </c>
      <c r="C88" s="137" t="s">
        <v>345</v>
      </c>
      <c r="D88" s="137" t="s">
        <v>808</v>
      </c>
      <c r="E88" s="137" t="s">
        <v>545</v>
      </c>
      <c r="F88" s="137" t="s">
        <v>1003</v>
      </c>
      <c r="G88" s="137" t="s">
        <v>1004</v>
      </c>
      <c r="H88" s="137">
        <v>0</v>
      </c>
      <c r="I88" s="137">
        <v>0</v>
      </c>
      <c r="J88" s="137" t="s">
        <v>1005</v>
      </c>
      <c r="K88" s="137" t="s">
        <v>805</v>
      </c>
      <c r="L88" s="137" t="s">
        <v>864</v>
      </c>
      <c r="M88" s="137" t="s">
        <v>1000</v>
      </c>
    </row>
    <row r="89" spans="2:23" x14ac:dyDescent="0.25">
      <c r="B89" s="60"/>
      <c r="C89" s="138" t="s">
        <v>1006</v>
      </c>
      <c r="D89" s="138" t="s">
        <v>808</v>
      </c>
      <c r="E89" s="138" t="s">
        <v>1007</v>
      </c>
      <c r="F89" s="138" t="s">
        <v>827</v>
      </c>
      <c r="G89" s="138" t="s">
        <v>854</v>
      </c>
      <c r="H89" s="138">
        <v>0</v>
      </c>
      <c r="I89" s="138">
        <v>0</v>
      </c>
      <c r="J89" s="138" t="s">
        <v>1008</v>
      </c>
      <c r="K89" s="138" t="s">
        <v>92</v>
      </c>
      <c r="L89" s="138" t="s">
        <v>758</v>
      </c>
      <c r="M89" s="138" t="s">
        <v>1009</v>
      </c>
    </row>
    <row r="90" spans="2:23" x14ac:dyDescent="0.25">
      <c r="B90" s="60"/>
      <c r="C90" s="139" t="s">
        <v>134</v>
      </c>
      <c r="D90" s="139" t="s">
        <v>808</v>
      </c>
      <c r="E90" s="139" t="s">
        <v>1135</v>
      </c>
      <c r="F90" s="139" t="s">
        <v>858</v>
      </c>
      <c r="G90" s="139" t="s">
        <v>854</v>
      </c>
      <c r="H90" s="139">
        <v>0</v>
      </c>
      <c r="I90" s="139">
        <v>0</v>
      </c>
      <c r="J90" s="139" t="s">
        <v>1011</v>
      </c>
      <c r="K90" s="139" t="s">
        <v>1012</v>
      </c>
      <c r="L90" s="139" t="s">
        <v>1013</v>
      </c>
      <c r="M90" s="139" t="s">
        <v>1014</v>
      </c>
    </row>
    <row r="91" spans="2:23" x14ac:dyDescent="0.25">
      <c r="B91" s="61"/>
      <c r="C91" s="140" t="s">
        <v>501</v>
      </c>
      <c r="D91" s="140" t="s">
        <v>808</v>
      </c>
      <c r="E91" s="140" t="s">
        <v>656</v>
      </c>
      <c r="F91" s="140" t="s">
        <v>1015</v>
      </c>
      <c r="G91" s="140" t="s">
        <v>828</v>
      </c>
      <c r="H91" s="140">
        <v>0</v>
      </c>
      <c r="I91" s="140">
        <v>0</v>
      </c>
      <c r="J91" s="140" t="s">
        <v>1016</v>
      </c>
      <c r="K91" s="140" t="s">
        <v>1017</v>
      </c>
      <c r="L91" s="140" t="s">
        <v>957</v>
      </c>
      <c r="M91" s="140" t="s">
        <v>764</v>
      </c>
    </row>
    <row r="92" spans="2:23" x14ac:dyDescent="0.25">
      <c r="B92" s="62" t="s">
        <v>1078</v>
      </c>
      <c r="C92" s="141" t="s">
        <v>807</v>
      </c>
      <c r="D92" s="141" t="s">
        <v>808</v>
      </c>
      <c r="E92" s="141" t="s">
        <v>736</v>
      </c>
      <c r="F92" s="141" t="s">
        <v>737</v>
      </c>
      <c r="G92" s="141" t="s">
        <v>809</v>
      </c>
      <c r="H92" s="141">
        <v>0</v>
      </c>
      <c r="I92" s="141">
        <v>0</v>
      </c>
      <c r="J92" s="141" t="s">
        <v>810</v>
      </c>
      <c r="K92" s="141" t="s">
        <v>810</v>
      </c>
      <c r="L92" s="141" t="s">
        <v>810</v>
      </c>
      <c r="M92" s="141" t="s">
        <v>810</v>
      </c>
    </row>
    <row r="93" spans="2:23" x14ac:dyDescent="0.25">
      <c r="B93" s="60" t="s">
        <v>1061</v>
      </c>
      <c r="C93" s="142" t="s">
        <v>811</v>
      </c>
      <c r="D93" s="142" t="s">
        <v>808</v>
      </c>
      <c r="E93" s="142" t="s">
        <v>736</v>
      </c>
      <c r="F93" s="142" t="s">
        <v>737</v>
      </c>
      <c r="G93" s="142" t="s">
        <v>809</v>
      </c>
      <c r="H93" s="142">
        <v>0</v>
      </c>
      <c r="I93" s="142">
        <v>0</v>
      </c>
      <c r="J93" s="142" t="s">
        <v>810</v>
      </c>
      <c r="K93" s="142" t="s">
        <v>810</v>
      </c>
      <c r="L93" s="142" t="s">
        <v>810</v>
      </c>
      <c r="M93" s="142" t="s">
        <v>810</v>
      </c>
    </row>
    <row r="94" spans="2:23" x14ac:dyDescent="0.25">
      <c r="B94" s="60"/>
      <c r="C94" s="143" t="s">
        <v>1087</v>
      </c>
      <c r="D94" s="143" t="s">
        <v>808</v>
      </c>
      <c r="E94" s="143" t="s">
        <v>736</v>
      </c>
      <c r="F94" s="143" t="s">
        <v>737</v>
      </c>
      <c r="G94" s="143" t="s">
        <v>809</v>
      </c>
      <c r="H94" s="143">
        <v>0</v>
      </c>
      <c r="I94" s="143">
        <v>0</v>
      </c>
      <c r="J94" s="143" t="s">
        <v>810</v>
      </c>
      <c r="K94" s="143" t="s">
        <v>810</v>
      </c>
      <c r="L94" s="143" t="s">
        <v>810</v>
      </c>
      <c r="M94" s="143" t="s">
        <v>810</v>
      </c>
    </row>
    <row r="95" spans="2:23" x14ac:dyDescent="0.25">
      <c r="B95" s="60"/>
      <c r="C95" s="144" t="s">
        <v>812</v>
      </c>
      <c r="D95" s="144" t="s">
        <v>808</v>
      </c>
      <c r="E95" s="144" t="s">
        <v>736</v>
      </c>
      <c r="F95" s="144" t="s">
        <v>737</v>
      </c>
      <c r="G95" s="144" t="s">
        <v>809</v>
      </c>
      <c r="H95" s="144">
        <v>0</v>
      </c>
      <c r="I95" s="144">
        <v>0</v>
      </c>
      <c r="J95" s="144" t="s">
        <v>810</v>
      </c>
      <c r="K95" s="144" t="s">
        <v>810</v>
      </c>
      <c r="L95" s="144" t="s">
        <v>810</v>
      </c>
      <c r="M95" s="144" t="s">
        <v>810</v>
      </c>
    </row>
    <row r="96" spans="2:23" x14ac:dyDescent="0.25">
      <c r="B96" s="60"/>
      <c r="C96" s="145" t="s">
        <v>813</v>
      </c>
      <c r="D96" s="145" t="s">
        <v>808</v>
      </c>
      <c r="E96" s="145" t="s">
        <v>736</v>
      </c>
      <c r="F96" s="145" t="s">
        <v>737</v>
      </c>
      <c r="G96" s="145" t="s">
        <v>809</v>
      </c>
      <c r="H96" s="145">
        <v>0</v>
      </c>
      <c r="I96" s="145">
        <v>0</v>
      </c>
      <c r="J96" s="145" t="s">
        <v>810</v>
      </c>
      <c r="K96" s="145" t="s">
        <v>810</v>
      </c>
      <c r="L96" s="145" t="s">
        <v>810</v>
      </c>
      <c r="M96" s="145" t="s">
        <v>810</v>
      </c>
    </row>
    <row r="97" spans="2:13" x14ac:dyDescent="0.25">
      <c r="B97" s="61"/>
      <c r="C97" s="146" t="s">
        <v>814</v>
      </c>
      <c r="D97" s="146" t="s">
        <v>808</v>
      </c>
      <c r="E97" s="146" t="s">
        <v>736</v>
      </c>
      <c r="F97" s="146" t="s">
        <v>737</v>
      </c>
      <c r="G97" s="146" t="s">
        <v>809</v>
      </c>
      <c r="H97" s="146">
        <v>0</v>
      </c>
      <c r="I97" s="146">
        <v>0</v>
      </c>
      <c r="J97" s="146" t="s">
        <v>810</v>
      </c>
      <c r="K97" s="146" t="s">
        <v>810</v>
      </c>
      <c r="L97" s="146" t="s">
        <v>810</v>
      </c>
      <c r="M97" s="146" t="s">
        <v>810</v>
      </c>
    </row>
    <row r="98" spans="2:13" x14ac:dyDescent="0.25">
      <c r="B98" s="62" t="s">
        <v>1079</v>
      </c>
      <c r="C98" s="147" t="s">
        <v>807</v>
      </c>
      <c r="D98" s="147" t="s">
        <v>808</v>
      </c>
      <c r="E98" s="147" t="s">
        <v>736</v>
      </c>
      <c r="F98" s="147" t="s">
        <v>737</v>
      </c>
      <c r="G98" s="147" t="s">
        <v>809</v>
      </c>
      <c r="H98" s="147">
        <v>0</v>
      </c>
      <c r="I98" s="147">
        <v>0</v>
      </c>
      <c r="J98" s="147" t="s">
        <v>810</v>
      </c>
      <c r="K98" s="147" t="s">
        <v>810</v>
      </c>
      <c r="L98" s="147" t="s">
        <v>810</v>
      </c>
      <c r="M98" s="147" t="s">
        <v>810</v>
      </c>
    </row>
    <row r="99" spans="2:13" x14ac:dyDescent="0.25">
      <c r="B99" s="60" t="s">
        <v>1061</v>
      </c>
      <c r="C99" s="148" t="s">
        <v>811</v>
      </c>
      <c r="D99" s="148" t="s">
        <v>808</v>
      </c>
      <c r="E99" s="148" t="s">
        <v>736</v>
      </c>
      <c r="F99" s="148" t="s">
        <v>737</v>
      </c>
      <c r="G99" s="148" t="s">
        <v>809</v>
      </c>
      <c r="H99" s="148">
        <v>0</v>
      </c>
      <c r="I99" s="148">
        <v>0</v>
      </c>
      <c r="J99" s="148" t="s">
        <v>810</v>
      </c>
      <c r="K99" s="148" t="s">
        <v>810</v>
      </c>
      <c r="L99" s="148" t="s">
        <v>810</v>
      </c>
      <c r="M99" s="148" t="s">
        <v>810</v>
      </c>
    </row>
    <row r="100" spans="2:13" x14ac:dyDescent="0.25">
      <c r="B100" s="60"/>
      <c r="C100" s="149" t="s">
        <v>1087</v>
      </c>
      <c r="D100" s="149" t="s">
        <v>808</v>
      </c>
      <c r="E100" s="149" t="s">
        <v>736</v>
      </c>
      <c r="F100" s="149" t="s">
        <v>737</v>
      </c>
      <c r="G100" s="149" t="s">
        <v>809</v>
      </c>
      <c r="H100" s="149">
        <v>0</v>
      </c>
      <c r="I100" s="149">
        <v>0</v>
      </c>
      <c r="J100" s="149" t="s">
        <v>810</v>
      </c>
      <c r="K100" s="149" t="s">
        <v>810</v>
      </c>
      <c r="L100" s="149" t="s">
        <v>810</v>
      </c>
      <c r="M100" s="149" t="s">
        <v>810</v>
      </c>
    </row>
    <row r="101" spans="2:13" x14ac:dyDescent="0.25">
      <c r="B101" s="60"/>
      <c r="C101" s="150" t="s">
        <v>812</v>
      </c>
      <c r="D101" s="150" t="s">
        <v>808</v>
      </c>
      <c r="E101" s="150" t="s">
        <v>736</v>
      </c>
      <c r="F101" s="150" t="s">
        <v>737</v>
      </c>
      <c r="G101" s="150" t="s">
        <v>809</v>
      </c>
      <c r="H101" s="150">
        <v>0</v>
      </c>
      <c r="I101" s="150">
        <v>0</v>
      </c>
      <c r="J101" s="150" t="s">
        <v>810</v>
      </c>
      <c r="K101" s="150" t="s">
        <v>810</v>
      </c>
      <c r="L101" s="150" t="s">
        <v>810</v>
      </c>
      <c r="M101" s="150" t="s">
        <v>810</v>
      </c>
    </row>
    <row r="102" spans="2:13" x14ac:dyDescent="0.25">
      <c r="B102" s="60"/>
      <c r="C102" s="151" t="s">
        <v>813</v>
      </c>
      <c r="D102" s="151" t="s">
        <v>808</v>
      </c>
      <c r="E102" s="151" t="s">
        <v>736</v>
      </c>
      <c r="F102" s="151" t="s">
        <v>737</v>
      </c>
      <c r="G102" s="151" t="s">
        <v>809</v>
      </c>
      <c r="H102" s="151">
        <v>0</v>
      </c>
      <c r="I102" s="151">
        <v>0</v>
      </c>
      <c r="J102" s="151" t="s">
        <v>810</v>
      </c>
      <c r="K102" s="151" t="s">
        <v>810</v>
      </c>
      <c r="L102" s="151" t="s">
        <v>810</v>
      </c>
      <c r="M102" s="151" t="s">
        <v>810</v>
      </c>
    </row>
    <row r="103" spans="2:13" x14ac:dyDescent="0.25">
      <c r="B103" s="61"/>
      <c r="C103" s="152" t="s">
        <v>814</v>
      </c>
      <c r="D103" s="152" t="s">
        <v>808</v>
      </c>
      <c r="E103" s="152" t="s">
        <v>736</v>
      </c>
      <c r="F103" s="152" t="s">
        <v>737</v>
      </c>
      <c r="G103" s="152" t="s">
        <v>809</v>
      </c>
      <c r="H103" s="152">
        <v>0</v>
      </c>
      <c r="I103" s="152">
        <v>0</v>
      </c>
      <c r="J103" s="152" t="s">
        <v>810</v>
      </c>
      <c r="K103" s="152" t="s">
        <v>810</v>
      </c>
      <c r="L103" s="152" t="s">
        <v>810</v>
      </c>
      <c r="M103" s="152" t="s">
        <v>810</v>
      </c>
    </row>
    <row r="104" spans="2:13" x14ac:dyDescent="0.25">
      <c r="B104" s="62" t="s">
        <v>1080</v>
      </c>
      <c r="C104" s="153"/>
      <c r="D104" s="153" t="s">
        <v>808</v>
      </c>
      <c r="E104" s="153" t="s">
        <v>736</v>
      </c>
      <c r="F104" s="153" t="s">
        <v>737</v>
      </c>
      <c r="G104" s="153" t="s">
        <v>809</v>
      </c>
      <c r="H104" s="153">
        <v>0</v>
      </c>
      <c r="I104" s="153">
        <v>0</v>
      </c>
      <c r="J104" s="153" t="s">
        <v>810</v>
      </c>
      <c r="K104" s="153" t="s">
        <v>1018</v>
      </c>
      <c r="L104" s="153" t="s">
        <v>810</v>
      </c>
      <c r="M104" s="153" t="s">
        <v>810</v>
      </c>
    </row>
    <row r="105" spans="2:13" x14ac:dyDescent="0.25">
      <c r="B105" s="60" t="s">
        <v>1061</v>
      </c>
      <c r="C105" s="154" t="s">
        <v>102</v>
      </c>
      <c r="D105" s="154" t="s">
        <v>808</v>
      </c>
      <c r="E105" s="154" t="s">
        <v>624</v>
      </c>
      <c r="F105" s="154" t="s">
        <v>931</v>
      </c>
      <c r="G105" s="154" t="s">
        <v>948</v>
      </c>
      <c r="H105" s="154">
        <v>0</v>
      </c>
      <c r="I105" s="154">
        <v>0</v>
      </c>
      <c r="J105" s="154" t="s">
        <v>829</v>
      </c>
      <c r="K105" s="154" t="s">
        <v>1019</v>
      </c>
      <c r="L105" s="154" t="s">
        <v>937</v>
      </c>
      <c r="M105" s="154" t="s">
        <v>922</v>
      </c>
    </row>
    <row r="106" spans="2:13" x14ac:dyDescent="0.25">
      <c r="B106" s="60"/>
      <c r="C106" s="155" t="s">
        <v>229</v>
      </c>
      <c r="D106" s="155" t="s">
        <v>808</v>
      </c>
      <c r="E106" s="155" t="s">
        <v>1020</v>
      </c>
      <c r="F106" s="155" t="s">
        <v>820</v>
      </c>
      <c r="G106" s="155" t="s">
        <v>1021</v>
      </c>
      <c r="H106" s="155">
        <v>0</v>
      </c>
      <c r="I106" s="155">
        <v>0</v>
      </c>
      <c r="J106" s="155" t="s">
        <v>956</v>
      </c>
      <c r="K106" s="155" t="s">
        <v>848</v>
      </c>
      <c r="L106" s="155" t="s">
        <v>853</v>
      </c>
      <c r="M106" s="155" t="s">
        <v>929</v>
      </c>
    </row>
    <row r="107" spans="2:13" x14ac:dyDescent="0.25">
      <c r="B107" s="60"/>
      <c r="C107" s="156" t="s">
        <v>314</v>
      </c>
      <c r="D107" s="156" t="s">
        <v>808</v>
      </c>
      <c r="E107" s="156" t="s">
        <v>644</v>
      </c>
      <c r="F107" s="156" t="s">
        <v>1001</v>
      </c>
      <c r="G107" s="156" t="s">
        <v>854</v>
      </c>
      <c r="H107" s="156">
        <v>0</v>
      </c>
      <c r="I107" s="156">
        <v>0</v>
      </c>
      <c r="J107" s="156" t="s">
        <v>1022</v>
      </c>
      <c r="K107" s="156" t="s">
        <v>829</v>
      </c>
      <c r="L107" s="156" t="s">
        <v>899</v>
      </c>
      <c r="M107" s="156" t="s">
        <v>831</v>
      </c>
    </row>
    <row r="108" spans="2:13" x14ac:dyDescent="0.25">
      <c r="B108" s="60"/>
      <c r="C108" s="157" t="s">
        <v>280</v>
      </c>
      <c r="D108" s="157" t="s">
        <v>808</v>
      </c>
      <c r="E108" s="157" t="s">
        <v>605</v>
      </c>
      <c r="F108" s="157" t="s">
        <v>1023</v>
      </c>
      <c r="G108" s="157" t="s">
        <v>816</v>
      </c>
      <c r="H108" s="157">
        <v>0</v>
      </c>
      <c r="I108" s="157">
        <v>0</v>
      </c>
      <c r="J108" s="157" t="s">
        <v>894</v>
      </c>
      <c r="K108" s="157" t="s">
        <v>760</v>
      </c>
      <c r="L108" s="157" t="s">
        <v>1024</v>
      </c>
      <c r="M108" s="157" t="s">
        <v>885</v>
      </c>
    </row>
    <row r="109" spans="2:13" x14ac:dyDescent="0.25">
      <c r="B109" s="61"/>
      <c r="C109" s="158" t="s">
        <v>154</v>
      </c>
      <c r="D109" s="158" t="s">
        <v>808</v>
      </c>
      <c r="E109" s="158" t="s">
        <v>590</v>
      </c>
      <c r="F109" s="158" t="s">
        <v>858</v>
      </c>
      <c r="G109" s="158" t="s">
        <v>948</v>
      </c>
      <c r="H109" s="158">
        <v>0</v>
      </c>
      <c r="I109" s="158">
        <v>0</v>
      </c>
      <c r="J109" s="158" t="s">
        <v>1025</v>
      </c>
      <c r="K109" s="158" t="s">
        <v>790</v>
      </c>
      <c r="L109" s="158" t="s">
        <v>1002</v>
      </c>
      <c r="M109" s="158" t="s">
        <v>995</v>
      </c>
    </row>
    <row r="110" spans="2:13" x14ac:dyDescent="0.25">
      <c r="B110" s="62" t="s">
        <v>1081</v>
      </c>
      <c r="C110" s="159" t="s">
        <v>807</v>
      </c>
      <c r="D110" s="159" t="s">
        <v>808</v>
      </c>
      <c r="E110" s="159" t="s">
        <v>736</v>
      </c>
      <c r="F110" s="159" t="s">
        <v>737</v>
      </c>
      <c r="G110" s="159" t="s">
        <v>809</v>
      </c>
      <c r="H110" s="159">
        <v>0</v>
      </c>
      <c r="I110" s="159">
        <v>0</v>
      </c>
      <c r="J110" s="159" t="s">
        <v>810</v>
      </c>
      <c r="K110" s="159" t="s">
        <v>810</v>
      </c>
      <c r="L110" s="159" t="s">
        <v>810</v>
      </c>
      <c r="M110" s="159" t="s">
        <v>810</v>
      </c>
    </row>
    <row r="111" spans="2:13" x14ac:dyDescent="0.25">
      <c r="B111" s="60" t="s">
        <v>1061</v>
      </c>
      <c r="C111" s="160" t="s">
        <v>811</v>
      </c>
      <c r="D111" s="160" t="s">
        <v>808</v>
      </c>
      <c r="E111" s="160" t="s">
        <v>736</v>
      </c>
      <c r="F111" s="160" t="s">
        <v>737</v>
      </c>
      <c r="G111" s="160" t="s">
        <v>809</v>
      </c>
      <c r="H111" s="160">
        <v>0</v>
      </c>
      <c r="I111" s="160">
        <v>0</v>
      </c>
      <c r="J111" s="160" t="s">
        <v>810</v>
      </c>
      <c r="K111" s="160" t="s">
        <v>810</v>
      </c>
      <c r="L111" s="160" t="s">
        <v>810</v>
      </c>
      <c r="M111" s="160" t="s">
        <v>810</v>
      </c>
    </row>
    <row r="112" spans="2:13" x14ac:dyDescent="0.25">
      <c r="B112" s="60"/>
      <c r="C112" s="164" t="s">
        <v>1087</v>
      </c>
      <c r="D112" s="164" t="s">
        <v>808</v>
      </c>
      <c r="E112" s="164" t="s">
        <v>736</v>
      </c>
      <c r="F112" s="164" t="s">
        <v>737</v>
      </c>
      <c r="G112" s="164" t="s">
        <v>809</v>
      </c>
      <c r="H112" s="164">
        <v>0</v>
      </c>
      <c r="I112" s="164">
        <v>0</v>
      </c>
      <c r="J112" s="164" t="s">
        <v>810</v>
      </c>
      <c r="K112" s="164" t="s">
        <v>810</v>
      </c>
      <c r="L112" s="164" t="s">
        <v>810</v>
      </c>
      <c r="M112" s="164" t="s">
        <v>810</v>
      </c>
    </row>
    <row r="113" spans="2:13" x14ac:dyDescent="0.25">
      <c r="B113" s="60"/>
      <c r="C113" s="161" t="s">
        <v>812</v>
      </c>
      <c r="D113" s="161" t="s">
        <v>808</v>
      </c>
      <c r="E113" s="161" t="s">
        <v>736</v>
      </c>
      <c r="F113" s="161" t="s">
        <v>737</v>
      </c>
      <c r="G113" s="161" t="s">
        <v>809</v>
      </c>
      <c r="H113" s="161">
        <v>0</v>
      </c>
      <c r="I113" s="161">
        <v>0</v>
      </c>
      <c r="J113" s="161" t="s">
        <v>810</v>
      </c>
      <c r="K113" s="161" t="s">
        <v>810</v>
      </c>
      <c r="L113" s="161" t="s">
        <v>810</v>
      </c>
      <c r="M113" s="161" t="s">
        <v>810</v>
      </c>
    </row>
    <row r="114" spans="2:13" x14ac:dyDescent="0.25">
      <c r="B114" s="60"/>
      <c r="C114" s="162" t="s">
        <v>813</v>
      </c>
      <c r="D114" s="162" t="s">
        <v>808</v>
      </c>
      <c r="E114" s="162" t="s">
        <v>736</v>
      </c>
      <c r="F114" s="162" t="s">
        <v>737</v>
      </c>
      <c r="G114" s="162" t="s">
        <v>809</v>
      </c>
      <c r="H114" s="162">
        <v>0</v>
      </c>
      <c r="I114" s="162">
        <v>0</v>
      </c>
      <c r="J114" s="162" t="s">
        <v>810</v>
      </c>
      <c r="K114" s="162" t="s">
        <v>810</v>
      </c>
      <c r="L114" s="162" t="s">
        <v>810</v>
      </c>
      <c r="M114" s="162" t="s">
        <v>810</v>
      </c>
    </row>
    <row r="115" spans="2:13" x14ac:dyDescent="0.25">
      <c r="B115" s="61"/>
      <c r="C115" s="163" t="s">
        <v>814</v>
      </c>
      <c r="D115" s="163" t="s">
        <v>808</v>
      </c>
      <c r="E115" s="163" t="s">
        <v>736</v>
      </c>
      <c r="F115" s="163" t="s">
        <v>737</v>
      </c>
      <c r="G115" s="163" t="s">
        <v>809</v>
      </c>
      <c r="H115" s="163">
        <v>0</v>
      </c>
      <c r="I115" s="163">
        <v>0</v>
      </c>
      <c r="J115" s="163" t="s">
        <v>810</v>
      </c>
      <c r="K115" s="163" t="s">
        <v>810</v>
      </c>
      <c r="L115" s="163" t="s">
        <v>810</v>
      </c>
      <c r="M115" s="163" t="s">
        <v>810</v>
      </c>
    </row>
    <row r="116" spans="2:13" x14ac:dyDescent="0.25">
      <c r="B116" s="62" t="s">
        <v>1216</v>
      </c>
      <c r="C116" s="222" t="s">
        <v>807</v>
      </c>
      <c r="D116" s="222" t="s">
        <v>808</v>
      </c>
      <c r="E116" s="222" t="s">
        <v>736</v>
      </c>
      <c r="F116" s="222" t="s">
        <v>737</v>
      </c>
      <c r="G116" s="222" t="s">
        <v>809</v>
      </c>
      <c r="H116" s="222">
        <v>0</v>
      </c>
      <c r="I116" s="222">
        <v>0</v>
      </c>
      <c r="J116" s="222" t="s">
        <v>810</v>
      </c>
      <c r="K116" s="222" t="s">
        <v>810</v>
      </c>
      <c r="L116" s="222" t="s">
        <v>810</v>
      </c>
      <c r="M116" s="222" t="s">
        <v>810</v>
      </c>
    </row>
    <row r="117" spans="2:13" x14ac:dyDescent="0.25">
      <c r="B117" s="60" t="s">
        <v>1061</v>
      </c>
      <c r="C117" s="223" t="s">
        <v>811</v>
      </c>
      <c r="D117" s="223" t="s">
        <v>808</v>
      </c>
      <c r="E117" s="223" t="s">
        <v>736</v>
      </c>
      <c r="F117" s="223" t="s">
        <v>737</v>
      </c>
      <c r="G117" s="223" t="s">
        <v>809</v>
      </c>
      <c r="H117" s="223">
        <v>0</v>
      </c>
      <c r="I117" s="223">
        <v>0</v>
      </c>
      <c r="J117" s="223" t="s">
        <v>810</v>
      </c>
      <c r="K117" s="223" t="s">
        <v>810</v>
      </c>
      <c r="L117" s="223" t="s">
        <v>810</v>
      </c>
      <c r="M117" s="223" t="s">
        <v>810</v>
      </c>
    </row>
    <row r="118" spans="2:13" x14ac:dyDescent="0.25">
      <c r="B118" s="60"/>
      <c r="C118" s="224" t="s">
        <v>1087</v>
      </c>
      <c r="D118" s="224" t="s">
        <v>808</v>
      </c>
      <c r="E118" s="224" t="s">
        <v>736</v>
      </c>
      <c r="F118" s="224" t="s">
        <v>737</v>
      </c>
      <c r="G118" s="224" t="s">
        <v>809</v>
      </c>
      <c r="H118" s="224">
        <v>0</v>
      </c>
      <c r="I118" s="224">
        <v>0</v>
      </c>
      <c r="J118" s="224" t="s">
        <v>810</v>
      </c>
      <c r="K118" s="224" t="s">
        <v>810</v>
      </c>
      <c r="L118" s="224" t="s">
        <v>810</v>
      </c>
      <c r="M118" s="224" t="s">
        <v>810</v>
      </c>
    </row>
    <row r="119" spans="2:13" x14ac:dyDescent="0.25">
      <c r="B119" s="60"/>
      <c r="C119" s="225" t="s">
        <v>812</v>
      </c>
      <c r="D119" s="225" t="s">
        <v>808</v>
      </c>
      <c r="E119" s="225" t="s">
        <v>736</v>
      </c>
      <c r="F119" s="225" t="s">
        <v>737</v>
      </c>
      <c r="G119" s="225" t="s">
        <v>809</v>
      </c>
      <c r="H119" s="225">
        <v>0</v>
      </c>
      <c r="I119" s="225">
        <v>0</v>
      </c>
      <c r="J119" s="225" t="s">
        <v>810</v>
      </c>
      <c r="K119" s="225" t="s">
        <v>810</v>
      </c>
      <c r="L119" s="225" t="s">
        <v>810</v>
      </c>
      <c r="M119" s="225" t="s">
        <v>810</v>
      </c>
    </row>
    <row r="120" spans="2:13" x14ac:dyDescent="0.25">
      <c r="B120" s="60"/>
      <c r="C120" s="226" t="s">
        <v>813</v>
      </c>
      <c r="D120" s="226" t="s">
        <v>808</v>
      </c>
      <c r="E120" s="226" t="s">
        <v>736</v>
      </c>
      <c r="F120" s="226" t="s">
        <v>737</v>
      </c>
      <c r="G120" s="226" t="s">
        <v>809</v>
      </c>
      <c r="H120" s="226">
        <v>0</v>
      </c>
      <c r="I120" s="226">
        <v>0</v>
      </c>
      <c r="J120" s="226" t="s">
        <v>810</v>
      </c>
      <c r="K120" s="226" t="s">
        <v>810</v>
      </c>
      <c r="L120" s="226" t="s">
        <v>810</v>
      </c>
      <c r="M120" s="226" t="s">
        <v>810</v>
      </c>
    </row>
    <row r="121" spans="2:13" x14ac:dyDescent="0.25">
      <c r="B121" s="61"/>
      <c r="C121" s="227" t="s">
        <v>814</v>
      </c>
      <c r="D121" s="227" t="s">
        <v>808</v>
      </c>
      <c r="E121" s="227" t="s">
        <v>736</v>
      </c>
      <c r="F121" s="227" t="s">
        <v>737</v>
      </c>
      <c r="G121" s="227" t="s">
        <v>809</v>
      </c>
      <c r="H121" s="227">
        <v>0</v>
      </c>
      <c r="I121" s="227">
        <v>0</v>
      </c>
      <c r="J121" s="227" t="s">
        <v>810</v>
      </c>
      <c r="K121" s="227" t="s">
        <v>810</v>
      </c>
      <c r="L121" s="227" t="s">
        <v>810</v>
      </c>
      <c r="M121" s="227" t="s">
        <v>810</v>
      </c>
    </row>
    <row r="122" spans="2:13" x14ac:dyDescent="0.25">
      <c r="B122" s="62" t="s">
        <v>1082</v>
      </c>
      <c r="C122" s="170" t="s">
        <v>807</v>
      </c>
      <c r="D122" s="170" t="s">
        <v>808</v>
      </c>
      <c r="E122" s="170" t="s">
        <v>736</v>
      </c>
      <c r="F122" s="170" t="s">
        <v>737</v>
      </c>
      <c r="G122" s="170" t="s">
        <v>809</v>
      </c>
      <c r="H122" s="170">
        <v>0</v>
      </c>
      <c r="I122" s="170">
        <v>0</v>
      </c>
      <c r="J122" s="170" t="s">
        <v>810</v>
      </c>
      <c r="K122" s="170" t="s">
        <v>810</v>
      </c>
      <c r="L122" s="170" t="s">
        <v>810</v>
      </c>
      <c r="M122" s="170" t="s">
        <v>810</v>
      </c>
    </row>
    <row r="123" spans="2:13" x14ac:dyDescent="0.25">
      <c r="B123" s="60" t="s">
        <v>1061</v>
      </c>
      <c r="C123" s="171" t="s">
        <v>811</v>
      </c>
      <c r="D123" s="171" t="s">
        <v>808</v>
      </c>
      <c r="E123" s="171" t="s">
        <v>736</v>
      </c>
      <c r="F123" s="171" t="s">
        <v>737</v>
      </c>
      <c r="G123" s="171" t="s">
        <v>809</v>
      </c>
      <c r="H123" s="171">
        <v>0</v>
      </c>
      <c r="I123" s="171">
        <v>0</v>
      </c>
      <c r="J123" s="171" t="s">
        <v>810</v>
      </c>
      <c r="K123" s="171" t="s">
        <v>810</v>
      </c>
      <c r="L123" s="171" t="s">
        <v>810</v>
      </c>
      <c r="M123" s="171" t="s">
        <v>810</v>
      </c>
    </row>
    <row r="124" spans="2:13" x14ac:dyDescent="0.25">
      <c r="B124" s="60"/>
      <c r="C124" s="169" t="s">
        <v>1087</v>
      </c>
      <c r="D124" s="169" t="s">
        <v>808</v>
      </c>
      <c r="E124" s="169" t="s">
        <v>736</v>
      </c>
      <c r="F124" s="169" t="s">
        <v>737</v>
      </c>
      <c r="G124" s="169" t="s">
        <v>809</v>
      </c>
      <c r="H124" s="169">
        <v>0</v>
      </c>
      <c r="I124" s="169">
        <v>0</v>
      </c>
      <c r="J124" s="169" t="s">
        <v>810</v>
      </c>
      <c r="K124" s="169" t="s">
        <v>810</v>
      </c>
      <c r="L124" s="169" t="s">
        <v>810</v>
      </c>
      <c r="M124" s="169" t="s">
        <v>810</v>
      </c>
    </row>
    <row r="125" spans="2:13" x14ac:dyDescent="0.25">
      <c r="B125" s="60"/>
      <c r="C125" s="112" t="s">
        <v>812</v>
      </c>
      <c r="D125" s="112" t="s">
        <v>808</v>
      </c>
      <c r="E125" s="112" t="s">
        <v>736</v>
      </c>
      <c r="F125" s="112" t="s">
        <v>737</v>
      </c>
      <c r="G125" s="112" t="s">
        <v>809</v>
      </c>
      <c r="H125" s="112">
        <v>0</v>
      </c>
      <c r="I125" s="112">
        <v>0</v>
      </c>
      <c r="J125" s="112" t="s">
        <v>810</v>
      </c>
      <c r="K125" s="112" t="s">
        <v>810</v>
      </c>
      <c r="L125" s="112" t="s">
        <v>810</v>
      </c>
      <c r="M125" s="112" t="s">
        <v>810</v>
      </c>
    </row>
    <row r="126" spans="2:13" x14ac:dyDescent="0.25">
      <c r="B126" s="60"/>
      <c r="C126" s="172" t="s">
        <v>813</v>
      </c>
      <c r="D126" s="172" t="s">
        <v>808</v>
      </c>
      <c r="E126" s="172" t="s">
        <v>736</v>
      </c>
      <c r="F126" s="172" t="s">
        <v>737</v>
      </c>
      <c r="G126" s="172" t="s">
        <v>809</v>
      </c>
      <c r="H126" s="172">
        <v>0</v>
      </c>
      <c r="I126" s="172">
        <v>0</v>
      </c>
      <c r="J126" s="172" t="s">
        <v>810</v>
      </c>
      <c r="K126" s="172" t="s">
        <v>810</v>
      </c>
      <c r="L126" s="172" t="s">
        <v>810</v>
      </c>
      <c r="M126" s="172" t="s">
        <v>810</v>
      </c>
    </row>
    <row r="127" spans="2:13" x14ac:dyDescent="0.25">
      <c r="B127" s="61"/>
      <c r="C127" s="173" t="s">
        <v>814</v>
      </c>
      <c r="D127" s="173" t="s">
        <v>808</v>
      </c>
      <c r="E127" s="173" t="s">
        <v>736</v>
      </c>
      <c r="F127" s="173" t="s">
        <v>737</v>
      </c>
      <c r="G127" s="173" t="s">
        <v>809</v>
      </c>
      <c r="H127" s="173">
        <v>0</v>
      </c>
      <c r="I127" s="173">
        <v>0</v>
      </c>
      <c r="J127" s="173" t="s">
        <v>810</v>
      </c>
      <c r="K127" s="173" t="s">
        <v>810</v>
      </c>
      <c r="L127" s="173" t="s">
        <v>810</v>
      </c>
      <c r="M127" s="173" t="s">
        <v>810</v>
      </c>
    </row>
    <row r="128" spans="2:13" x14ac:dyDescent="0.25">
      <c r="B128" s="62" t="s">
        <v>1083</v>
      </c>
      <c r="C128" s="176" t="s">
        <v>807</v>
      </c>
      <c r="D128" s="176" t="s">
        <v>808</v>
      </c>
      <c r="E128" s="176" t="s">
        <v>736</v>
      </c>
      <c r="F128" s="176" t="s">
        <v>737</v>
      </c>
      <c r="G128" s="176" t="s">
        <v>809</v>
      </c>
      <c r="H128" s="176">
        <v>0</v>
      </c>
      <c r="I128" s="176">
        <v>0</v>
      </c>
      <c r="J128" s="176" t="s">
        <v>810</v>
      </c>
      <c r="K128" s="176" t="s">
        <v>810</v>
      </c>
      <c r="L128" s="176" t="s">
        <v>810</v>
      </c>
      <c r="M128" s="176" t="s">
        <v>810</v>
      </c>
    </row>
    <row r="129" spans="2:13" x14ac:dyDescent="0.25">
      <c r="B129" s="60" t="s">
        <v>1061</v>
      </c>
      <c r="C129" s="177" t="s">
        <v>811</v>
      </c>
      <c r="D129" s="177" t="s">
        <v>808</v>
      </c>
      <c r="E129" s="177" t="s">
        <v>736</v>
      </c>
      <c r="F129" s="177" t="s">
        <v>737</v>
      </c>
      <c r="G129" s="177" t="s">
        <v>809</v>
      </c>
      <c r="H129" s="177">
        <v>0</v>
      </c>
      <c r="I129" s="177">
        <v>0</v>
      </c>
      <c r="J129" s="177" t="s">
        <v>810</v>
      </c>
      <c r="K129" s="177" t="s">
        <v>810</v>
      </c>
      <c r="L129" s="177" t="s">
        <v>810</v>
      </c>
      <c r="M129" s="177" t="s">
        <v>810</v>
      </c>
    </row>
    <row r="130" spans="2:13" x14ac:dyDescent="0.25">
      <c r="B130" s="60"/>
      <c r="C130" s="174" t="s">
        <v>1087</v>
      </c>
      <c r="D130" s="174" t="s">
        <v>808</v>
      </c>
      <c r="E130" s="174" t="s">
        <v>736</v>
      </c>
      <c r="F130" s="174" t="s">
        <v>737</v>
      </c>
      <c r="G130" s="174" t="s">
        <v>809</v>
      </c>
      <c r="H130" s="174">
        <v>0</v>
      </c>
      <c r="I130" s="174">
        <v>0</v>
      </c>
      <c r="J130" s="174" t="s">
        <v>810</v>
      </c>
      <c r="K130" s="174" t="s">
        <v>810</v>
      </c>
      <c r="L130" s="174" t="s">
        <v>810</v>
      </c>
      <c r="M130" s="174" t="s">
        <v>810</v>
      </c>
    </row>
    <row r="131" spans="2:13" x14ac:dyDescent="0.25">
      <c r="B131" s="60"/>
      <c r="C131" s="175" t="s">
        <v>812</v>
      </c>
      <c r="D131" s="175" t="s">
        <v>808</v>
      </c>
      <c r="E131" s="175" t="s">
        <v>736</v>
      </c>
      <c r="F131" s="175" t="s">
        <v>737</v>
      </c>
      <c r="G131" s="175" t="s">
        <v>809</v>
      </c>
      <c r="H131" s="175">
        <v>0</v>
      </c>
      <c r="I131" s="175">
        <v>0</v>
      </c>
      <c r="J131" s="175" t="s">
        <v>810</v>
      </c>
      <c r="K131" s="175" t="s">
        <v>810</v>
      </c>
      <c r="L131" s="175" t="s">
        <v>810</v>
      </c>
      <c r="M131" s="175" t="s">
        <v>810</v>
      </c>
    </row>
    <row r="132" spans="2:13" x14ac:dyDescent="0.25">
      <c r="B132" s="60"/>
      <c r="C132" s="178" t="s">
        <v>813</v>
      </c>
      <c r="D132" s="178" t="s">
        <v>808</v>
      </c>
      <c r="E132" s="178" t="s">
        <v>736</v>
      </c>
      <c r="F132" s="178" t="s">
        <v>737</v>
      </c>
      <c r="G132" s="178" t="s">
        <v>809</v>
      </c>
      <c r="H132" s="178">
        <v>0</v>
      </c>
      <c r="I132" s="178">
        <v>0</v>
      </c>
      <c r="J132" s="178" t="s">
        <v>810</v>
      </c>
      <c r="K132" s="178" t="s">
        <v>810</v>
      </c>
      <c r="L132" s="178" t="s">
        <v>810</v>
      </c>
      <c r="M132" s="178" t="s">
        <v>810</v>
      </c>
    </row>
    <row r="133" spans="2:13" x14ac:dyDescent="0.25">
      <c r="B133" s="61"/>
      <c r="C133" s="179" t="s">
        <v>814</v>
      </c>
      <c r="D133" s="179" t="s">
        <v>808</v>
      </c>
      <c r="E133" s="179" t="s">
        <v>736</v>
      </c>
      <c r="F133" s="179" t="s">
        <v>737</v>
      </c>
      <c r="G133" s="179" t="s">
        <v>809</v>
      </c>
      <c r="H133" s="179">
        <v>0</v>
      </c>
      <c r="I133" s="179">
        <v>0</v>
      </c>
      <c r="J133" s="179" t="s">
        <v>810</v>
      </c>
      <c r="K133" s="179" t="s">
        <v>810</v>
      </c>
      <c r="L133" s="179" t="s">
        <v>810</v>
      </c>
      <c r="M133" s="179" t="s">
        <v>810</v>
      </c>
    </row>
    <row r="134" spans="2:13" x14ac:dyDescent="0.25">
      <c r="B134" s="62" t="s">
        <v>1</v>
      </c>
      <c r="C134" s="60" t="s">
        <v>807</v>
      </c>
      <c r="D134" s="60" t="s">
        <v>808</v>
      </c>
      <c r="E134" s="60" t="s">
        <v>736</v>
      </c>
      <c r="F134" s="60" t="s">
        <v>737</v>
      </c>
      <c r="G134" s="60" t="s">
        <v>809</v>
      </c>
      <c r="H134" s="60">
        <v>0</v>
      </c>
      <c r="I134" s="60">
        <v>0</v>
      </c>
      <c r="J134" s="60" t="s">
        <v>810</v>
      </c>
      <c r="K134" s="60" t="s">
        <v>810</v>
      </c>
      <c r="L134" s="60" t="s">
        <v>810</v>
      </c>
      <c r="M134" s="60" t="s">
        <v>810</v>
      </c>
    </row>
    <row r="135" spans="2:13" x14ac:dyDescent="0.25">
      <c r="B135" s="60" t="s">
        <v>1059</v>
      </c>
      <c r="C135" s="60" t="s">
        <v>811</v>
      </c>
      <c r="D135" s="60" t="s">
        <v>808</v>
      </c>
      <c r="E135" s="60" t="s">
        <v>736</v>
      </c>
      <c r="F135" s="60" t="s">
        <v>737</v>
      </c>
      <c r="G135" s="60" t="s">
        <v>809</v>
      </c>
      <c r="H135" s="60">
        <v>0</v>
      </c>
      <c r="I135" s="60">
        <v>0</v>
      </c>
      <c r="J135" s="60" t="s">
        <v>810</v>
      </c>
      <c r="K135" s="60" t="s">
        <v>810</v>
      </c>
      <c r="L135" s="60" t="s">
        <v>810</v>
      </c>
      <c r="M135" s="60" t="s">
        <v>810</v>
      </c>
    </row>
    <row r="136" spans="2:13" x14ac:dyDescent="0.25">
      <c r="B136" s="60"/>
      <c r="C136" s="60" t="s">
        <v>1087</v>
      </c>
      <c r="D136" s="60" t="s">
        <v>808</v>
      </c>
      <c r="E136" s="60" t="s">
        <v>736</v>
      </c>
      <c r="F136" s="60" t="s">
        <v>737</v>
      </c>
      <c r="G136" s="60" t="s">
        <v>809</v>
      </c>
      <c r="H136" s="60">
        <v>0</v>
      </c>
      <c r="I136" s="60">
        <v>0</v>
      </c>
      <c r="J136" s="60" t="s">
        <v>810</v>
      </c>
      <c r="K136" s="60" t="s">
        <v>810</v>
      </c>
      <c r="L136" s="60" t="s">
        <v>810</v>
      </c>
      <c r="M136" s="60" t="s">
        <v>810</v>
      </c>
    </row>
    <row r="137" spans="2:13" x14ac:dyDescent="0.25">
      <c r="B137" s="60"/>
      <c r="C137" s="60" t="s">
        <v>812</v>
      </c>
      <c r="D137" s="60" t="s">
        <v>808</v>
      </c>
      <c r="E137" s="60" t="s">
        <v>736</v>
      </c>
      <c r="F137" s="60" t="s">
        <v>737</v>
      </c>
      <c r="G137" s="60" t="s">
        <v>809</v>
      </c>
      <c r="H137" s="60">
        <v>0</v>
      </c>
      <c r="I137" s="60">
        <v>0</v>
      </c>
      <c r="J137" s="60" t="s">
        <v>810</v>
      </c>
      <c r="K137" s="60" t="s">
        <v>810</v>
      </c>
      <c r="L137" s="60" t="s">
        <v>810</v>
      </c>
      <c r="M137" s="60" t="s">
        <v>810</v>
      </c>
    </row>
    <row r="138" spans="2:13" x14ac:dyDescent="0.25">
      <c r="B138" s="60"/>
      <c r="C138" s="60" t="s">
        <v>813</v>
      </c>
      <c r="D138" s="60" t="s">
        <v>808</v>
      </c>
      <c r="E138" s="60" t="s">
        <v>736</v>
      </c>
      <c r="F138" s="60" t="s">
        <v>737</v>
      </c>
      <c r="G138" s="60" t="s">
        <v>809</v>
      </c>
      <c r="H138" s="60">
        <v>0</v>
      </c>
      <c r="I138" s="60">
        <v>0</v>
      </c>
      <c r="J138" s="60" t="s">
        <v>810</v>
      </c>
      <c r="K138" s="60" t="s">
        <v>810</v>
      </c>
      <c r="L138" s="60" t="s">
        <v>810</v>
      </c>
      <c r="M138" s="60" t="s">
        <v>810</v>
      </c>
    </row>
    <row r="139" spans="2:13" x14ac:dyDescent="0.25">
      <c r="B139" s="61"/>
      <c r="C139" s="61" t="s">
        <v>814</v>
      </c>
      <c r="D139" s="61" t="s">
        <v>808</v>
      </c>
      <c r="E139" s="61" t="s">
        <v>736</v>
      </c>
      <c r="F139" s="61" t="s">
        <v>737</v>
      </c>
      <c r="G139" s="61" t="s">
        <v>809</v>
      </c>
      <c r="H139" s="61">
        <v>0</v>
      </c>
      <c r="I139" s="61">
        <v>0</v>
      </c>
      <c r="J139" s="61" t="s">
        <v>810</v>
      </c>
      <c r="K139" s="61" t="s">
        <v>810</v>
      </c>
      <c r="L139" s="61" t="s">
        <v>810</v>
      </c>
      <c r="M139" s="61" t="s">
        <v>810</v>
      </c>
    </row>
    <row r="140" spans="2:13" x14ac:dyDescent="0.25">
      <c r="B140" s="62" t="s">
        <v>1</v>
      </c>
      <c r="C140" s="60" t="s">
        <v>807</v>
      </c>
      <c r="D140" s="60" t="s">
        <v>808</v>
      </c>
      <c r="E140" s="60" t="s">
        <v>736</v>
      </c>
      <c r="F140" s="60" t="s">
        <v>737</v>
      </c>
      <c r="G140" s="60" t="s">
        <v>809</v>
      </c>
      <c r="H140" s="60">
        <v>0</v>
      </c>
      <c r="I140" s="60">
        <v>0</v>
      </c>
      <c r="J140" s="60" t="s">
        <v>810</v>
      </c>
      <c r="K140" s="60" t="s">
        <v>810</v>
      </c>
      <c r="L140" s="60" t="s">
        <v>810</v>
      </c>
      <c r="M140" s="60" t="s">
        <v>810</v>
      </c>
    </row>
    <row r="141" spans="2:13" x14ac:dyDescent="0.25">
      <c r="B141" s="60" t="s">
        <v>1059</v>
      </c>
      <c r="C141" s="60" t="s">
        <v>811</v>
      </c>
      <c r="D141" s="60" t="s">
        <v>808</v>
      </c>
      <c r="E141" s="60" t="s">
        <v>736</v>
      </c>
      <c r="F141" s="60" t="s">
        <v>737</v>
      </c>
      <c r="G141" s="60" t="s">
        <v>809</v>
      </c>
      <c r="H141" s="60">
        <v>0</v>
      </c>
      <c r="I141" s="60">
        <v>0</v>
      </c>
      <c r="J141" s="60" t="s">
        <v>810</v>
      </c>
      <c r="K141" s="60" t="s">
        <v>810</v>
      </c>
      <c r="L141" s="60" t="s">
        <v>810</v>
      </c>
      <c r="M141" s="60" t="s">
        <v>810</v>
      </c>
    </row>
    <row r="142" spans="2:13" x14ac:dyDescent="0.25">
      <c r="B142" s="60"/>
      <c r="C142" s="60" t="s">
        <v>1087</v>
      </c>
      <c r="D142" s="60" t="s">
        <v>808</v>
      </c>
      <c r="E142" s="60" t="s">
        <v>736</v>
      </c>
      <c r="F142" s="60" t="s">
        <v>737</v>
      </c>
      <c r="G142" s="60" t="s">
        <v>809</v>
      </c>
      <c r="H142" s="60">
        <v>0</v>
      </c>
      <c r="I142" s="60">
        <v>0</v>
      </c>
      <c r="J142" s="60" t="s">
        <v>810</v>
      </c>
      <c r="K142" s="60" t="s">
        <v>810</v>
      </c>
      <c r="L142" s="60" t="s">
        <v>810</v>
      </c>
      <c r="M142" s="60" t="s">
        <v>810</v>
      </c>
    </row>
    <row r="143" spans="2:13" x14ac:dyDescent="0.25">
      <c r="B143" s="60"/>
      <c r="C143" s="60" t="s">
        <v>812</v>
      </c>
      <c r="D143" s="60" t="s">
        <v>808</v>
      </c>
      <c r="E143" s="60" t="s">
        <v>736</v>
      </c>
      <c r="F143" s="60" t="s">
        <v>737</v>
      </c>
      <c r="G143" s="60" t="s">
        <v>809</v>
      </c>
      <c r="H143" s="60">
        <v>0</v>
      </c>
      <c r="I143" s="60">
        <v>0</v>
      </c>
      <c r="J143" s="60" t="s">
        <v>810</v>
      </c>
      <c r="K143" s="60" t="s">
        <v>810</v>
      </c>
      <c r="L143" s="60" t="s">
        <v>810</v>
      </c>
      <c r="M143" s="60" t="s">
        <v>810</v>
      </c>
    </row>
    <row r="144" spans="2:13" x14ac:dyDescent="0.25">
      <c r="B144" s="60"/>
      <c r="C144" s="60" t="s">
        <v>813</v>
      </c>
      <c r="D144" s="60" t="s">
        <v>808</v>
      </c>
      <c r="E144" s="60" t="s">
        <v>736</v>
      </c>
      <c r="F144" s="60" t="s">
        <v>737</v>
      </c>
      <c r="G144" s="60" t="s">
        <v>809</v>
      </c>
      <c r="H144" s="60">
        <v>0</v>
      </c>
      <c r="I144" s="60">
        <v>0</v>
      </c>
      <c r="J144" s="60" t="s">
        <v>810</v>
      </c>
      <c r="K144" s="60" t="s">
        <v>810</v>
      </c>
      <c r="L144" s="60" t="s">
        <v>810</v>
      </c>
      <c r="M144" s="60" t="s">
        <v>810</v>
      </c>
    </row>
    <row r="145" spans="2:14" x14ac:dyDescent="0.25">
      <c r="B145" s="61"/>
      <c r="C145" s="61" t="s">
        <v>814</v>
      </c>
      <c r="D145" s="61" t="s">
        <v>808</v>
      </c>
      <c r="E145" s="61" t="s">
        <v>736</v>
      </c>
      <c r="F145" s="61" t="s">
        <v>737</v>
      </c>
      <c r="G145" s="61" t="s">
        <v>809</v>
      </c>
      <c r="H145" s="61">
        <v>0</v>
      </c>
      <c r="I145" s="61">
        <v>0</v>
      </c>
      <c r="J145" s="61" t="s">
        <v>810</v>
      </c>
      <c r="K145" s="61" t="s">
        <v>810</v>
      </c>
      <c r="L145" s="61" t="s">
        <v>810</v>
      </c>
      <c r="M145" s="61" t="s">
        <v>810</v>
      </c>
    </row>
    <row r="146" spans="2:14" x14ac:dyDescent="0.25">
      <c r="B146" s="62" t="s">
        <v>1084</v>
      </c>
      <c r="C146" s="180" t="s">
        <v>50</v>
      </c>
      <c r="D146" s="180" t="s">
        <v>808</v>
      </c>
      <c r="E146" s="180" t="s">
        <v>1010</v>
      </c>
      <c r="F146" s="180" t="s">
        <v>1026</v>
      </c>
      <c r="G146" s="180" t="s">
        <v>828</v>
      </c>
      <c r="H146" s="180">
        <v>0</v>
      </c>
      <c r="I146" s="180">
        <v>0</v>
      </c>
      <c r="J146" s="180" t="s">
        <v>1027</v>
      </c>
      <c r="K146" s="180" t="s">
        <v>1156</v>
      </c>
      <c r="L146" s="180" t="s">
        <v>1028</v>
      </c>
      <c r="M146" s="219" t="s">
        <v>1000</v>
      </c>
      <c r="N146" s="44"/>
    </row>
    <row r="147" spans="2:14" x14ac:dyDescent="0.25">
      <c r="B147" s="60" t="s">
        <v>1085</v>
      </c>
      <c r="C147" s="181" t="s">
        <v>25</v>
      </c>
      <c r="D147" s="181" t="s">
        <v>808</v>
      </c>
      <c r="E147" s="181" t="s">
        <v>22</v>
      </c>
      <c r="F147" s="181" t="s">
        <v>1029</v>
      </c>
      <c r="G147" s="181" t="s">
        <v>854</v>
      </c>
      <c r="H147" s="181">
        <v>0</v>
      </c>
      <c r="I147" s="181">
        <v>0</v>
      </c>
      <c r="J147" s="181" t="s">
        <v>764</v>
      </c>
      <c r="K147" s="181" t="s">
        <v>968</v>
      </c>
      <c r="L147" s="181" t="s">
        <v>1030</v>
      </c>
      <c r="M147" s="181" t="s">
        <v>1031</v>
      </c>
    </row>
    <row r="148" spans="2:14" x14ac:dyDescent="0.25">
      <c r="B148" s="60"/>
      <c r="C148" s="182" t="s">
        <v>19</v>
      </c>
      <c r="D148" s="182" t="s">
        <v>808</v>
      </c>
      <c r="E148" s="182" t="s">
        <v>17</v>
      </c>
      <c r="F148" s="182" t="s">
        <v>931</v>
      </c>
      <c r="G148" s="182" t="s">
        <v>948</v>
      </c>
      <c r="H148" s="182">
        <v>0</v>
      </c>
      <c r="I148" s="182">
        <v>0</v>
      </c>
      <c r="J148" s="182" t="s">
        <v>817</v>
      </c>
      <c r="K148" s="182" t="s">
        <v>1014</v>
      </c>
      <c r="L148" s="182" t="s">
        <v>1032</v>
      </c>
      <c r="M148" s="182" t="s">
        <v>1033</v>
      </c>
    </row>
    <row r="149" spans="2:14" x14ac:dyDescent="0.25">
      <c r="B149" s="60"/>
      <c r="C149" s="183" t="s">
        <v>32</v>
      </c>
      <c r="D149" s="183" t="s">
        <v>808</v>
      </c>
      <c r="E149" s="183" t="s">
        <v>946</v>
      </c>
      <c r="F149" s="183" t="s">
        <v>962</v>
      </c>
      <c r="G149" s="183" t="s">
        <v>854</v>
      </c>
      <c r="H149" s="183">
        <v>0</v>
      </c>
      <c r="I149" s="183">
        <v>0</v>
      </c>
      <c r="J149" s="183" t="s">
        <v>894</v>
      </c>
      <c r="K149" s="183" t="s">
        <v>1034</v>
      </c>
      <c r="L149" s="183" t="s">
        <v>949</v>
      </c>
      <c r="M149" s="183" t="s">
        <v>950</v>
      </c>
    </row>
    <row r="150" spans="2:14" x14ac:dyDescent="0.25">
      <c r="B150" s="60"/>
      <c r="C150" s="184" t="s">
        <v>176</v>
      </c>
      <c r="D150" s="184" t="s">
        <v>808</v>
      </c>
      <c r="E150" s="184" t="s">
        <v>606</v>
      </c>
      <c r="F150" s="184" t="s">
        <v>820</v>
      </c>
      <c r="G150" s="184" t="s">
        <v>809</v>
      </c>
      <c r="H150" s="184">
        <v>0</v>
      </c>
      <c r="I150" s="184">
        <v>0</v>
      </c>
      <c r="J150" s="184" t="s">
        <v>824</v>
      </c>
      <c r="K150" s="184" t="s">
        <v>848</v>
      </c>
      <c r="L150" s="184" t="s">
        <v>1035</v>
      </c>
      <c r="M150" s="184" t="s">
        <v>1036</v>
      </c>
    </row>
    <row r="151" spans="2:14" x14ac:dyDescent="0.25">
      <c r="B151" s="61"/>
      <c r="C151" s="185" t="s">
        <v>184</v>
      </c>
      <c r="D151" s="185" t="s">
        <v>808</v>
      </c>
      <c r="E151" s="185" t="s">
        <v>1037</v>
      </c>
      <c r="F151" s="185" t="s">
        <v>858</v>
      </c>
      <c r="G151" s="185" t="s">
        <v>948</v>
      </c>
      <c r="H151" s="185">
        <v>0</v>
      </c>
      <c r="I151" s="185">
        <v>0</v>
      </c>
      <c r="J151" s="185" t="s">
        <v>1038</v>
      </c>
      <c r="K151" s="185" t="s">
        <v>760</v>
      </c>
      <c r="L151" s="185" t="s">
        <v>1039</v>
      </c>
      <c r="M151" s="185" t="s">
        <v>1040</v>
      </c>
    </row>
    <row r="152" spans="2:14" x14ac:dyDescent="0.25">
      <c r="B152" s="62" t="s">
        <v>1086</v>
      </c>
      <c r="C152" s="186" t="s">
        <v>480</v>
      </c>
      <c r="D152" s="186" t="s">
        <v>808</v>
      </c>
      <c r="E152" s="186" t="s">
        <v>635</v>
      </c>
      <c r="F152" s="186" t="s">
        <v>1041</v>
      </c>
      <c r="G152" s="186" t="s">
        <v>1042</v>
      </c>
      <c r="H152" s="186">
        <v>0</v>
      </c>
      <c r="I152" s="186">
        <v>0</v>
      </c>
      <c r="J152" s="186" t="s">
        <v>848</v>
      </c>
      <c r="K152" s="186" t="s">
        <v>964</v>
      </c>
      <c r="L152" s="186" t="s">
        <v>1043</v>
      </c>
      <c r="M152" s="186" t="s">
        <v>882</v>
      </c>
    </row>
    <row r="153" spans="2:14" x14ac:dyDescent="0.25">
      <c r="B153" s="60" t="s">
        <v>1085</v>
      </c>
      <c r="C153" s="187" t="s">
        <v>385</v>
      </c>
      <c r="D153" s="187" t="s">
        <v>808</v>
      </c>
      <c r="E153" s="187" t="s">
        <v>640</v>
      </c>
      <c r="F153" s="187" t="s">
        <v>820</v>
      </c>
      <c r="G153" s="187" t="s">
        <v>839</v>
      </c>
      <c r="H153" s="187">
        <v>0</v>
      </c>
      <c r="I153" s="187">
        <v>0</v>
      </c>
      <c r="J153" s="187" t="s">
        <v>758</v>
      </c>
      <c r="K153" s="187" t="s">
        <v>934</v>
      </c>
      <c r="L153" s="187" t="s">
        <v>929</v>
      </c>
      <c r="M153" s="187" t="s">
        <v>1044</v>
      </c>
    </row>
    <row r="154" spans="2:14" x14ac:dyDescent="0.25">
      <c r="B154" s="60" t="s">
        <v>1068</v>
      </c>
      <c r="C154" s="188" t="s">
        <v>506</v>
      </c>
      <c r="D154" s="188" t="s">
        <v>808</v>
      </c>
      <c r="E154" s="188" t="s">
        <v>655</v>
      </c>
      <c r="F154" s="188" t="s">
        <v>1045</v>
      </c>
      <c r="G154" s="188" t="s">
        <v>948</v>
      </c>
      <c r="H154" s="188">
        <v>0</v>
      </c>
      <c r="I154" s="188">
        <v>0</v>
      </c>
      <c r="J154" s="188" t="s">
        <v>855</v>
      </c>
      <c r="K154" s="188" t="s">
        <v>852</v>
      </c>
      <c r="L154" s="188" t="s">
        <v>868</v>
      </c>
      <c r="M154" s="188" t="s">
        <v>873</v>
      </c>
    </row>
    <row r="155" spans="2:14" x14ac:dyDescent="0.25">
      <c r="B155" s="60"/>
      <c r="C155" s="189" t="s">
        <v>519</v>
      </c>
      <c r="D155" s="189" t="s">
        <v>808</v>
      </c>
      <c r="E155" s="189" t="s">
        <v>614</v>
      </c>
      <c r="F155" s="189" t="s">
        <v>1046</v>
      </c>
      <c r="G155" s="189" t="s">
        <v>828</v>
      </c>
      <c r="H155" s="189">
        <v>0</v>
      </c>
      <c r="I155" s="189">
        <v>0</v>
      </c>
      <c r="J155" s="189" t="s">
        <v>1047</v>
      </c>
      <c r="K155" s="189" t="s">
        <v>1048</v>
      </c>
      <c r="L155" s="189" t="s">
        <v>795</v>
      </c>
      <c r="M155" s="189" t="s">
        <v>944</v>
      </c>
    </row>
    <row r="156" spans="2:14" x14ac:dyDescent="0.25">
      <c r="B156" s="60"/>
      <c r="C156" s="190" t="s">
        <v>518</v>
      </c>
      <c r="D156" s="190" t="s">
        <v>808</v>
      </c>
      <c r="E156" s="190" t="s">
        <v>550</v>
      </c>
      <c r="F156" s="190" t="s">
        <v>1049</v>
      </c>
      <c r="G156" s="190" t="s">
        <v>854</v>
      </c>
      <c r="H156" s="190">
        <v>0</v>
      </c>
      <c r="I156" s="190">
        <v>0</v>
      </c>
      <c r="J156" s="190" t="s">
        <v>1050</v>
      </c>
      <c r="K156" s="190" t="s">
        <v>1012</v>
      </c>
      <c r="L156" s="190" t="s">
        <v>1011</v>
      </c>
      <c r="M156" s="190" t="s">
        <v>1051</v>
      </c>
    </row>
    <row r="157" spans="2:14" x14ac:dyDescent="0.25">
      <c r="B157" s="61"/>
      <c r="C157" s="191" t="s">
        <v>522</v>
      </c>
      <c r="D157" s="191" t="s">
        <v>808</v>
      </c>
      <c r="E157" s="191" t="s">
        <v>1052</v>
      </c>
      <c r="F157" s="191" t="s">
        <v>820</v>
      </c>
      <c r="G157" s="191" t="s">
        <v>932</v>
      </c>
      <c r="H157" s="191">
        <v>0</v>
      </c>
      <c r="I157" s="191">
        <v>0</v>
      </c>
      <c r="J157" s="191" t="s">
        <v>1053</v>
      </c>
      <c r="K157" s="191" t="s">
        <v>1054</v>
      </c>
      <c r="L157" s="191" t="s">
        <v>977</v>
      </c>
      <c r="M157" s="191" t="s">
        <v>884</v>
      </c>
    </row>
  </sheetData>
  <phoneticPr fontId="15" type="noConversion"/>
  <hyperlinks>
    <hyperlink ref="O1" r:id="rId1" xr:uid="{3E6F726D-E6D4-4213-B64E-C3EAF6EDD2DD}"/>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6AA2A-8E62-40BE-8BC9-4899BC5A64EF}">
  <sheetPr>
    <tabColor rgb="FFB4CDF6"/>
  </sheetPr>
  <dimension ref="A1:V43"/>
  <sheetViews>
    <sheetView topLeftCell="B1" zoomScale="130" zoomScaleNormal="130" workbookViewId="0">
      <selection activeCell="I1" sqref="H1:I1048576"/>
    </sheetView>
  </sheetViews>
  <sheetFormatPr defaultRowHeight="15" x14ac:dyDescent="0.25"/>
  <cols>
    <col min="1" max="1" width="10.85546875" style="6" customWidth="1"/>
    <col min="2" max="2" width="13.7109375" style="6" customWidth="1"/>
    <col min="3" max="3" width="16.28515625" style="6" customWidth="1"/>
    <col min="4" max="4" width="7.140625" style="6" bestFit="1" customWidth="1"/>
    <col min="5" max="5" width="19.7109375" style="45" bestFit="1" customWidth="1"/>
    <col min="6" max="6" width="19.140625" style="45" bestFit="1" customWidth="1"/>
    <col min="7" max="7" width="10.28515625" style="6" bestFit="1" customWidth="1"/>
    <col min="8" max="8" width="4.7109375" style="6" bestFit="1" customWidth="1"/>
    <col min="9" max="9" width="5.7109375" style="6" bestFit="1" customWidth="1"/>
    <col min="10" max="10" width="18.5703125" style="6" bestFit="1" customWidth="1"/>
    <col min="11" max="11" width="16.85546875" style="6" bestFit="1" customWidth="1"/>
    <col min="12" max="12" width="18.42578125" style="6" bestFit="1" customWidth="1"/>
    <col min="13" max="13" width="18.5703125" style="6" bestFit="1" customWidth="1"/>
    <col min="14" max="14" width="9.140625" style="6"/>
    <col min="15" max="15" width="9.140625" style="6" customWidth="1"/>
    <col min="16" max="16384" width="9.140625" style="6"/>
  </cols>
  <sheetData>
    <row r="1" spans="1:16" ht="15.75" customHeight="1" x14ac:dyDescent="0.2">
      <c r="A1" s="228" t="s">
        <v>719</v>
      </c>
      <c r="B1" s="229" t="s">
        <v>1057</v>
      </c>
      <c r="C1" s="229" t="s">
        <v>735</v>
      </c>
      <c r="D1" s="231" t="s">
        <v>741</v>
      </c>
      <c r="E1" s="236" t="s">
        <v>736</v>
      </c>
      <c r="F1" s="239" t="s">
        <v>737</v>
      </c>
      <c r="G1" s="232" t="s">
        <v>1055</v>
      </c>
      <c r="H1" s="248" t="s">
        <v>1056</v>
      </c>
      <c r="I1" s="233" t="s">
        <v>1058</v>
      </c>
      <c r="J1" s="248" t="s">
        <v>738</v>
      </c>
      <c r="K1" s="249" t="s">
        <v>739</v>
      </c>
      <c r="L1" s="229" t="s">
        <v>743</v>
      </c>
      <c r="M1" s="230" t="s">
        <v>740</v>
      </c>
      <c r="O1" s="40"/>
      <c r="P1" s="12" t="s">
        <v>1088</v>
      </c>
    </row>
    <row r="2" spans="1:16" ht="15.75" x14ac:dyDescent="0.2">
      <c r="A2" s="60"/>
      <c r="B2" s="62" t="s">
        <v>1</v>
      </c>
      <c r="C2" s="60" t="s">
        <v>807</v>
      </c>
      <c r="D2" s="60" t="s">
        <v>808</v>
      </c>
      <c r="E2" s="237" t="s">
        <v>736</v>
      </c>
      <c r="F2" s="237" t="s">
        <v>737</v>
      </c>
      <c r="G2" s="60" t="s">
        <v>809</v>
      </c>
      <c r="H2" s="60">
        <v>0</v>
      </c>
      <c r="I2" s="60">
        <v>0</v>
      </c>
      <c r="J2" s="60" t="s">
        <v>810</v>
      </c>
      <c r="K2" s="60" t="s">
        <v>810</v>
      </c>
      <c r="L2" s="60" t="s">
        <v>810</v>
      </c>
      <c r="M2" s="60" t="s">
        <v>810</v>
      </c>
      <c r="P2" s="12"/>
    </row>
    <row r="3" spans="1:16" x14ac:dyDescent="0.25">
      <c r="A3" s="60"/>
      <c r="B3" s="60"/>
      <c r="C3" s="60" t="s">
        <v>811</v>
      </c>
      <c r="D3" s="60" t="s">
        <v>808</v>
      </c>
      <c r="E3" s="237" t="s">
        <v>736</v>
      </c>
      <c r="F3" s="237" t="s">
        <v>737</v>
      </c>
      <c r="G3" s="60" t="s">
        <v>809</v>
      </c>
      <c r="H3" s="60">
        <v>0</v>
      </c>
      <c r="I3" s="60">
        <v>0</v>
      </c>
      <c r="J3" s="60" t="s">
        <v>810</v>
      </c>
      <c r="K3" s="60" t="s">
        <v>810</v>
      </c>
      <c r="L3" s="60" t="s">
        <v>810</v>
      </c>
      <c r="M3" s="60" t="s">
        <v>810</v>
      </c>
    </row>
    <row r="4" spans="1:16" x14ac:dyDescent="0.25">
      <c r="A4" s="60"/>
      <c r="B4" s="60"/>
      <c r="C4" s="60" t="s">
        <v>811</v>
      </c>
      <c r="D4" s="60" t="s">
        <v>808</v>
      </c>
      <c r="E4" s="237" t="s">
        <v>736</v>
      </c>
      <c r="F4" s="237" t="s">
        <v>737</v>
      </c>
      <c r="G4" s="60" t="s">
        <v>809</v>
      </c>
      <c r="H4" s="60">
        <v>0</v>
      </c>
      <c r="I4" s="60">
        <v>0</v>
      </c>
      <c r="J4" s="60" t="s">
        <v>810</v>
      </c>
      <c r="K4" s="60" t="s">
        <v>810</v>
      </c>
      <c r="L4" s="60" t="s">
        <v>810</v>
      </c>
      <c r="M4" s="60" t="s">
        <v>810</v>
      </c>
    </row>
    <row r="5" spans="1:16" x14ac:dyDescent="0.25">
      <c r="A5" s="60"/>
      <c r="B5" s="60"/>
      <c r="C5" s="60" t="s">
        <v>812</v>
      </c>
      <c r="D5" s="60" t="s">
        <v>808</v>
      </c>
      <c r="E5" s="237" t="s">
        <v>736</v>
      </c>
      <c r="F5" s="237" t="s">
        <v>737</v>
      </c>
      <c r="G5" s="60" t="s">
        <v>809</v>
      </c>
      <c r="H5" s="60">
        <v>0</v>
      </c>
      <c r="I5" s="60">
        <v>0</v>
      </c>
      <c r="J5" s="60" t="s">
        <v>810</v>
      </c>
      <c r="K5" s="60" t="s">
        <v>810</v>
      </c>
      <c r="L5" s="60" t="s">
        <v>810</v>
      </c>
      <c r="M5" s="60" t="s">
        <v>810</v>
      </c>
    </row>
    <row r="6" spans="1:16" x14ac:dyDescent="0.25">
      <c r="A6" s="60"/>
      <c r="B6" s="60"/>
      <c r="C6" s="60" t="s">
        <v>813</v>
      </c>
      <c r="D6" s="60" t="s">
        <v>808</v>
      </c>
      <c r="E6" s="237" t="s">
        <v>736</v>
      </c>
      <c r="F6" s="237" t="s">
        <v>737</v>
      </c>
      <c r="G6" s="60" t="s">
        <v>809</v>
      </c>
      <c r="H6" s="60">
        <v>0</v>
      </c>
      <c r="I6" s="60">
        <v>0</v>
      </c>
      <c r="J6" s="60" t="s">
        <v>810</v>
      </c>
      <c r="K6" s="60" t="s">
        <v>810</v>
      </c>
      <c r="L6" s="60" t="s">
        <v>810</v>
      </c>
      <c r="M6" s="60" t="s">
        <v>810</v>
      </c>
    </row>
    <row r="7" spans="1:16" x14ac:dyDescent="0.25">
      <c r="A7" s="61"/>
      <c r="B7" s="61"/>
      <c r="C7" s="61" t="s">
        <v>814</v>
      </c>
      <c r="D7" s="61" t="s">
        <v>808</v>
      </c>
      <c r="E7" s="238" t="s">
        <v>736</v>
      </c>
      <c r="F7" s="238" t="s">
        <v>737</v>
      </c>
      <c r="G7" s="61" t="s">
        <v>809</v>
      </c>
      <c r="H7" s="61">
        <v>0</v>
      </c>
      <c r="I7" s="61">
        <v>0</v>
      </c>
      <c r="J7" s="61" t="s">
        <v>810</v>
      </c>
      <c r="K7" s="61" t="s">
        <v>810</v>
      </c>
      <c r="L7" s="61" t="s">
        <v>810</v>
      </c>
      <c r="M7" s="61" t="s">
        <v>810</v>
      </c>
    </row>
    <row r="8" spans="1:16" ht="15.75" x14ac:dyDescent="0.25">
      <c r="A8" s="60"/>
      <c r="B8" s="62" t="s">
        <v>1</v>
      </c>
      <c r="C8" s="60" t="s">
        <v>807</v>
      </c>
      <c r="D8" s="60" t="s">
        <v>808</v>
      </c>
      <c r="E8" s="237" t="s">
        <v>736</v>
      </c>
      <c r="F8" s="237" t="s">
        <v>737</v>
      </c>
      <c r="G8" s="60" t="s">
        <v>809</v>
      </c>
      <c r="H8" s="60">
        <v>0</v>
      </c>
      <c r="I8" s="60">
        <v>0</v>
      </c>
      <c r="J8" s="60" t="s">
        <v>810</v>
      </c>
      <c r="K8" s="60" t="s">
        <v>810</v>
      </c>
      <c r="L8" s="60" t="s">
        <v>810</v>
      </c>
      <c r="M8" s="60" t="s">
        <v>810</v>
      </c>
    </row>
    <row r="9" spans="1:16" x14ac:dyDescent="0.25">
      <c r="A9" s="60"/>
      <c r="B9" s="60"/>
      <c r="C9" s="60" t="s">
        <v>811</v>
      </c>
      <c r="D9" s="60" t="s">
        <v>808</v>
      </c>
      <c r="E9" s="237" t="s">
        <v>736</v>
      </c>
      <c r="F9" s="237" t="s">
        <v>737</v>
      </c>
      <c r="G9" s="60" t="s">
        <v>809</v>
      </c>
      <c r="H9" s="60">
        <v>0</v>
      </c>
      <c r="I9" s="60">
        <v>0</v>
      </c>
      <c r="J9" s="60" t="s">
        <v>810</v>
      </c>
      <c r="K9" s="60" t="s">
        <v>810</v>
      </c>
      <c r="L9" s="60" t="s">
        <v>810</v>
      </c>
      <c r="M9" s="60" t="s">
        <v>810</v>
      </c>
    </row>
    <row r="10" spans="1:16" x14ac:dyDescent="0.25">
      <c r="A10" s="60"/>
      <c r="B10" s="60"/>
      <c r="C10" s="60" t="s">
        <v>811</v>
      </c>
      <c r="D10" s="60" t="s">
        <v>808</v>
      </c>
      <c r="E10" s="237" t="s">
        <v>736</v>
      </c>
      <c r="F10" s="237" t="s">
        <v>737</v>
      </c>
      <c r="G10" s="60" t="s">
        <v>809</v>
      </c>
      <c r="H10" s="60">
        <v>0</v>
      </c>
      <c r="I10" s="60">
        <v>0</v>
      </c>
      <c r="J10" s="60" t="s">
        <v>810</v>
      </c>
      <c r="K10" s="60" t="s">
        <v>810</v>
      </c>
      <c r="L10" s="60" t="s">
        <v>810</v>
      </c>
      <c r="M10" s="60" t="s">
        <v>810</v>
      </c>
    </row>
    <row r="11" spans="1:16" x14ac:dyDescent="0.25">
      <c r="A11" s="60"/>
      <c r="B11" s="60"/>
      <c r="C11" s="60" t="s">
        <v>812</v>
      </c>
      <c r="D11" s="60" t="s">
        <v>808</v>
      </c>
      <c r="E11" s="237" t="s">
        <v>736</v>
      </c>
      <c r="F11" s="237" t="s">
        <v>737</v>
      </c>
      <c r="G11" s="60" t="s">
        <v>809</v>
      </c>
      <c r="H11" s="60">
        <v>0</v>
      </c>
      <c r="I11" s="60">
        <v>0</v>
      </c>
      <c r="J11" s="60" t="s">
        <v>810</v>
      </c>
      <c r="K11" s="60" t="s">
        <v>810</v>
      </c>
      <c r="L11" s="60" t="s">
        <v>810</v>
      </c>
      <c r="M11" s="60" t="s">
        <v>810</v>
      </c>
    </row>
    <row r="12" spans="1:16" x14ac:dyDescent="0.25">
      <c r="A12" s="60"/>
      <c r="B12" s="60"/>
      <c r="C12" s="60" t="s">
        <v>813</v>
      </c>
      <c r="D12" s="60" t="s">
        <v>808</v>
      </c>
      <c r="E12" s="237" t="s">
        <v>736</v>
      </c>
      <c r="F12" s="237" t="s">
        <v>737</v>
      </c>
      <c r="G12" s="60" t="s">
        <v>809</v>
      </c>
      <c r="H12" s="60">
        <v>0</v>
      </c>
      <c r="I12" s="60">
        <v>0</v>
      </c>
      <c r="J12" s="60" t="s">
        <v>810</v>
      </c>
      <c r="K12" s="60" t="s">
        <v>810</v>
      </c>
      <c r="L12" s="60" t="s">
        <v>810</v>
      </c>
      <c r="M12" s="60" t="s">
        <v>810</v>
      </c>
    </row>
    <row r="13" spans="1:16" x14ac:dyDescent="0.25">
      <c r="A13" s="61"/>
      <c r="B13" s="61"/>
      <c r="C13" s="61" t="s">
        <v>814</v>
      </c>
      <c r="D13" s="61" t="s">
        <v>808</v>
      </c>
      <c r="E13" s="238" t="s">
        <v>736</v>
      </c>
      <c r="F13" s="238" t="s">
        <v>737</v>
      </c>
      <c r="G13" s="61" t="s">
        <v>809</v>
      </c>
      <c r="H13" s="61">
        <v>0</v>
      </c>
      <c r="I13" s="61">
        <v>0</v>
      </c>
      <c r="J13" s="61" t="s">
        <v>810</v>
      </c>
      <c r="K13" s="61" t="s">
        <v>810</v>
      </c>
      <c r="L13" s="61" t="s">
        <v>810</v>
      </c>
      <c r="M13" s="61" t="s">
        <v>810</v>
      </c>
    </row>
    <row r="14" spans="1:16" ht="15.75" x14ac:dyDescent="0.25">
      <c r="A14" s="60"/>
      <c r="B14" s="62" t="s">
        <v>1</v>
      </c>
      <c r="C14" s="60" t="s">
        <v>807</v>
      </c>
      <c r="D14" s="60" t="s">
        <v>808</v>
      </c>
      <c r="E14" s="237" t="s">
        <v>736</v>
      </c>
      <c r="F14" s="237" t="s">
        <v>737</v>
      </c>
      <c r="G14" s="60" t="s">
        <v>809</v>
      </c>
      <c r="H14" s="60">
        <v>0</v>
      </c>
      <c r="I14" s="60">
        <v>0</v>
      </c>
      <c r="J14" s="60" t="s">
        <v>810</v>
      </c>
      <c r="K14" s="60" t="s">
        <v>810</v>
      </c>
      <c r="L14" s="60" t="s">
        <v>810</v>
      </c>
      <c r="M14" s="60" t="s">
        <v>810</v>
      </c>
    </row>
    <row r="15" spans="1:16" x14ac:dyDescent="0.25">
      <c r="A15" s="60"/>
      <c r="B15" s="60"/>
      <c r="C15" s="60" t="s">
        <v>811</v>
      </c>
      <c r="D15" s="60" t="s">
        <v>808</v>
      </c>
      <c r="E15" s="237" t="s">
        <v>736</v>
      </c>
      <c r="F15" s="237" t="s">
        <v>737</v>
      </c>
      <c r="G15" s="60" t="s">
        <v>809</v>
      </c>
      <c r="H15" s="60">
        <v>0</v>
      </c>
      <c r="I15" s="60">
        <v>0</v>
      </c>
      <c r="J15" s="60" t="s">
        <v>810</v>
      </c>
      <c r="K15" s="60" t="s">
        <v>810</v>
      </c>
      <c r="L15" s="60" t="s">
        <v>810</v>
      </c>
      <c r="M15" s="60" t="s">
        <v>810</v>
      </c>
    </row>
    <row r="16" spans="1:16" x14ac:dyDescent="0.25">
      <c r="A16" s="60"/>
      <c r="B16" s="60"/>
      <c r="C16" s="60" t="s">
        <v>811</v>
      </c>
      <c r="D16" s="60" t="s">
        <v>808</v>
      </c>
      <c r="E16" s="237" t="s">
        <v>736</v>
      </c>
      <c r="F16" s="237" t="s">
        <v>737</v>
      </c>
      <c r="G16" s="60" t="s">
        <v>809</v>
      </c>
      <c r="H16" s="60">
        <v>0</v>
      </c>
      <c r="I16" s="60">
        <v>0</v>
      </c>
      <c r="J16" s="60" t="s">
        <v>810</v>
      </c>
      <c r="K16" s="60" t="s">
        <v>810</v>
      </c>
      <c r="L16" s="60" t="s">
        <v>810</v>
      </c>
      <c r="M16" s="60" t="s">
        <v>810</v>
      </c>
    </row>
    <row r="17" spans="1:13" x14ac:dyDescent="0.25">
      <c r="A17" s="60"/>
      <c r="B17" s="60"/>
      <c r="C17" s="60" t="s">
        <v>812</v>
      </c>
      <c r="D17" s="60" t="s">
        <v>808</v>
      </c>
      <c r="E17" s="237" t="s">
        <v>736</v>
      </c>
      <c r="F17" s="237" t="s">
        <v>737</v>
      </c>
      <c r="G17" s="60" t="s">
        <v>809</v>
      </c>
      <c r="H17" s="60">
        <v>0</v>
      </c>
      <c r="I17" s="60">
        <v>0</v>
      </c>
      <c r="J17" s="60" t="s">
        <v>810</v>
      </c>
      <c r="K17" s="60" t="s">
        <v>810</v>
      </c>
      <c r="L17" s="60" t="s">
        <v>810</v>
      </c>
      <c r="M17" s="60" t="s">
        <v>810</v>
      </c>
    </row>
    <row r="18" spans="1:13" x14ac:dyDescent="0.25">
      <c r="A18" s="60"/>
      <c r="B18" s="60"/>
      <c r="C18" s="60" t="s">
        <v>813</v>
      </c>
      <c r="D18" s="60" t="s">
        <v>808</v>
      </c>
      <c r="E18" s="237" t="s">
        <v>736</v>
      </c>
      <c r="F18" s="237" t="s">
        <v>737</v>
      </c>
      <c r="G18" s="60" t="s">
        <v>809</v>
      </c>
      <c r="H18" s="60">
        <v>0</v>
      </c>
      <c r="I18" s="60">
        <v>0</v>
      </c>
      <c r="J18" s="60" t="s">
        <v>810</v>
      </c>
      <c r="K18" s="60" t="s">
        <v>810</v>
      </c>
      <c r="L18" s="60" t="s">
        <v>810</v>
      </c>
      <c r="M18" s="60" t="s">
        <v>810</v>
      </c>
    </row>
    <row r="19" spans="1:13" x14ac:dyDescent="0.25">
      <c r="A19" s="61"/>
      <c r="B19" s="61"/>
      <c r="C19" s="61" t="s">
        <v>814</v>
      </c>
      <c r="D19" s="61" t="s">
        <v>808</v>
      </c>
      <c r="E19" s="238" t="s">
        <v>736</v>
      </c>
      <c r="F19" s="238" t="s">
        <v>737</v>
      </c>
      <c r="G19" s="61" t="s">
        <v>809</v>
      </c>
      <c r="H19" s="61">
        <v>0</v>
      </c>
      <c r="I19" s="61">
        <v>0</v>
      </c>
      <c r="J19" s="61" t="s">
        <v>810</v>
      </c>
      <c r="K19" s="61" t="s">
        <v>810</v>
      </c>
      <c r="L19" s="61" t="s">
        <v>810</v>
      </c>
      <c r="M19" s="61" t="s">
        <v>810</v>
      </c>
    </row>
    <row r="20" spans="1:13" ht="15.75" x14ac:dyDescent="0.25">
      <c r="A20" s="60"/>
      <c r="B20" s="62" t="s">
        <v>1</v>
      </c>
      <c r="C20" s="60" t="s">
        <v>807</v>
      </c>
      <c r="D20" s="60" t="s">
        <v>808</v>
      </c>
      <c r="E20" s="237" t="s">
        <v>736</v>
      </c>
      <c r="F20" s="237" t="s">
        <v>737</v>
      </c>
      <c r="G20" s="60" t="s">
        <v>809</v>
      </c>
      <c r="H20" s="60">
        <v>0</v>
      </c>
      <c r="I20" s="60">
        <v>0</v>
      </c>
      <c r="J20" s="60" t="s">
        <v>810</v>
      </c>
      <c r="K20" s="60" t="s">
        <v>810</v>
      </c>
      <c r="L20" s="60" t="s">
        <v>810</v>
      </c>
      <c r="M20" s="60" t="s">
        <v>810</v>
      </c>
    </row>
    <row r="21" spans="1:13" x14ac:dyDescent="0.25">
      <c r="A21" s="60"/>
      <c r="B21" s="60"/>
      <c r="C21" s="60" t="s">
        <v>811</v>
      </c>
      <c r="D21" s="60" t="s">
        <v>808</v>
      </c>
      <c r="E21" s="237" t="s">
        <v>736</v>
      </c>
      <c r="F21" s="237" t="s">
        <v>737</v>
      </c>
      <c r="G21" s="60" t="s">
        <v>809</v>
      </c>
      <c r="H21" s="60">
        <v>0</v>
      </c>
      <c r="I21" s="60">
        <v>0</v>
      </c>
      <c r="J21" s="60" t="s">
        <v>810</v>
      </c>
      <c r="K21" s="60" t="s">
        <v>810</v>
      </c>
      <c r="L21" s="60" t="s">
        <v>810</v>
      </c>
      <c r="M21" s="60" t="s">
        <v>810</v>
      </c>
    </row>
    <row r="22" spans="1:13" x14ac:dyDescent="0.25">
      <c r="A22" s="60"/>
      <c r="B22" s="60"/>
      <c r="C22" s="60" t="s">
        <v>811</v>
      </c>
      <c r="D22" s="60" t="s">
        <v>808</v>
      </c>
      <c r="E22" s="237" t="s">
        <v>736</v>
      </c>
      <c r="F22" s="237" t="s">
        <v>737</v>
      </c>
      <c r="G22" s="60" t="s">
        <v>809</v>
      </c>
      <c r="H22" s="60">
        <v>0</v>
      </c>
      <c r="I22" s="60">
        <v>0</v>
      </c>
      <c r="J22" s="60" t="s">
        <v>810</v>
      </c>
      <c r="K22" s="60" t="s">
        <v>810</v>
      </c>
      <c r="L22" s="60" t="s">
        <v>810</v>
      </c>
      <c r="M22" s="60" t="s">
        <v>810</v>
      </c>
    </row>
    <row r="23" spans="1:13" x14ac:dyDescent="0.25">
      <c r="A23" s="60"/>
      <c r="B23" s="60"/>
      <c r="C23" s="60" t="s">
        <v>812</v>
      </c>
      <c r="D23" s="60" t="s">
        <v>808</v>
      </c>
      <c r="E23" s="237" t="s">
        <v>736</v>
      </c>
      <c r="F23" s="237" t="s">
        <v>737</v>
      </c>
      <c r="G23" s="60" t="s">
        <v>809</v>
      </c>
      <c r="H23" s="60">
        <v>0</v>
      </c>
      <c r="I23" s="60">
        <v>0</v>
      </c>
      <c r="J23" s="60" t="s">
        <v>810</v>
      </c>
      <c r="K23" s="60" t="s">
        <v>810</v>
      </c>
      <c r="L23" s="60" t="s">
        <v>810</v>
      </c>
      <c r="M23" s="60" t="s">
        <v>810</v>
      </c>
    </row>
    <row r="24" spans="1:13" x14ac:dyDescent="0.25">
      <c r="A24" s="60"/>
      <c r="B24" s="60"/>
      <c r="C24" s="60" t="s">
        <v>813</v>
      </c>
      <c r="D24" s="60" t="s">
        <v>808</v>
      </c>
      <c r="E24" s="237" t="s">
        <v>736</v>
      </c>
      <c r="F24" s="237" t="s">
        <v>737</v>
      </c>
      <c r="G24" s="60" t="s">
        <v>809</v>
      </c>
      <c r="H24" s="60">
        <v>0</v>
      </c>
      <c r="I24" s="60">
        <v>0</v>
      </c>
      <c r="J24" s="60" t="s">
        <v>810</v>
      </c>
      <c r="K24" s="60" t="s">
        <v>810</v>
      </c>
      <c r="L24" s="60" t="s">
        <v>810</v>
      </c>
      <c r="M24" s="60" t="s">
        <v>810</v>
      </c>
    </row>
    <row r="25" spans="1:13" x14ac:dyDescent="0.25">
      <c r="A25" s="61"/>
      <c r="B25" s="61"/>
      <c r="C25" s="61" t="s">
        <v>814</v>
      </c>
      <c r="D25" s="61" t="s">
        <v>808</v>
      </c>
      <c r="E25" s="238" t="s">
        <v>736</v>
      </c>
      <c r="F25" s="238" t="s">
        <v>737</v>
      </c>
      <c r="G25" s="61" t="s">
        <v>809</v>
      </c>
      <c r="H25" s="61">
        <v>0</v>
      </c>
      <c r="I25" s="61">
        <v>0</v>
      </c>
      <c r="J25" s="61" t="s">
        <v>810</v>
      </c>
      <c r="K25" s="61" t="s">
        <v>810</v>
      </c>
      <c r="L25" s="61" t="s">
        <v>810</v>
      </c>
      <c r="M25" s="61" t="s">
        <v>810</v>
      </c>
    </row>
    <row r="26" spans="1:13" ht="15.75" x14ac:dyDescent="0.25">
      <c r="A26" s="60"/>
      <c r="B26" s="62" t="s">
        <v>1</v>
      </c>
      <c r="C26" s="60" t="s">
        <v>807</v>
      </c>
      <c r="D26" s="60" t="s">
        <v>808</v>
      </c>
      <c r="E26" s="237" t="s">
        <v>736</v>
      </c>
      <c r="F26" s="237" t="s">
        <v>737</v>
      </c>
      <c r="G26" s="60" t="s">
        <v>809</v>
      </c>
      <c r="H26" s="60">
        <v>0</v>
      </c>
      <c r="I26" s="60">
        <v>0</v>
      </c>
      <c r="J26" s="60" t="s">
        <v>810</v>
      </c>
      <c r="K26" s="60" t="s">
        <v>810</v>
      </c>
      <c r="L26" s="60" t="s">
        <v>810</v>
      </c>
      <c r="M26" s="60" t="s">
        <v>810</v>
      </c>
    </row>
    <row r="27" spans="1:13" x14ac:dyDescent="0.25">
      <c r="A27" s="60"/>
      <c r="B27" s="60"/>
      <c r="C27" s="60" t="s">
        <v>811</v>
      </c>
      <c r="D27" s="60" t="s">
        <v>808</v>
      </c>
      <c r="E27" s="237" t="s">
        <v>736</v>
      </c>
      <c r="F27" s="237" t="s">
        <v>737</v>
      </c>
      <c r="G27" s="60" t="s">
        <v>809</v>
      </c>
      <c r="H27" s="60">
        <v>0</v>
      </c>
      <c r="I27" s="60">
        <v>0</v>
      </c>
      <c r="J27" s="60" t="s">
        <v>810</v>
      </c>
      <c r="K27" s="60" t="s">
        <v>810</v>
      </c>
      <c r="L27" s="60" t="s">
        <v>810</v>
      </c>
      <c r="M27" s="60" t="s">
        <v>810</v>
      </c>
    </row>
    <row r="28" spans="1:13" x14ac:dyDescent="0.25">
      <c r="A28" s="60"/>
      <c r="B28" s="60"/>
      <c r="C28" s="60" t="s">
        <v>811</v>
      </c>
      <c r="D28" s="60" t="s">
        <v>808</v>
      </c>
      <c r="E28" s="237" t="s">
        <v>736</v>
      </c>
      <c r="F28" s="237" t="s">
        <v>737</v>
      </c>
      <c r="G28" s="60" t="s">
        <v>809</v>
      </c>
      <c r="H28" s="60">
        <v>0</v>
      </c>
      <c r="I28" s="60">
        <v>0</v>
      </c>
      <c r="J28" s="60" t="s">
        <v>810</v>
      </c>
      <c r="K28" s="60" t="s">
        <v>810</v>
      </c>
      <c r="L28" s="60" t="s">
        <v>810</v>
      </c>
      <c r="M28" s="60" t="s">
        <v>810</v>
      </c>
    </row>
    <row r="29" spans="1:13" x14ac:dyDescent="0.25">
      <c r="A29" s="60"/>
      <c r="B29" s="60"/>
      <c r="C29" s="60" t="s">
        <v>812</v>
      </c>
      <c r="D29" s="60" t="s">
        <v>808</v>
      </c>
      <c r="E29" s="237" t="s">
        <v>736</v>
      </c>
      <c r="F29" s="237" t="s">
        <v>737</v>
      </c>
      <c r="G29" s="60" t="s">
        <v>809</v>
      </c>
      <c r="H29" s="60">
        <v>0</v>
      </c>
      <c r="I29" s="60">
        <v>0</v>
      </c>
      <c r="J29" s="60" t="s">
        <v>810</v>
      </c>
      <c r="K29" s="60" t="s">
        <v>810</v>
      </c>
      <c r="L29" s="60" t="s">
        <v>810</v>
      </c>
      <c r="M29" s="60" t="s">
        <v>810</v>
      </c>
    </row>
    <row r="30" spans="1:13" x14ac:dyDescent="0.25">
      <c r="A30" s="60"/>
      <c r="B30" s="60"/>
      <c r="C30" s="60" t="s">
        <v>813</v>
      </c>
      <c r="D30" s="60" t="s">
        <v>808</v>
      </c>
      <c r="E30" s="237" t="s">
        <v>736</v>
      </c>
      <c r="F30" s="237" t="s">
        <v>737</v>
      </c>
      <c r="G30" s="60" t="s">
        <v>809</v>
      </c>
      <c r="H30" s="60">
        <v>0</v>
      </c>
      <c r="I30" s="60">
        <v>0</v>
      </c>
      <c r="J30" s="60" t="s">
        <v>810</v>
      </c>
      <c r="K30" s="60" t="s">
        <v>810</v>
      </c>
      <c r="L30" s="60" t="s">
        <v>810</v>
      </c>
      <c r="M30" s="60" t="s">
        <v>810</v>
      </c>
    </row>
    <row r="31" spans="1:13" x14ac:dyDescent="0.25">
      <c r="A31" s="61"/>
      <c r="B31" s="61"/>
      <c r="C31" s="61" t="s">
        <v>814</v>
      </c>
      <c r="D31" s="61" t="s">
        <v>808</v>
      </c>
      <c r="E31" s="238" t="s">
        <v>736</v>
      </c>
      <c r="F31" s="238" t="s">
        <v>737</v>
      </c>
      <c r="G31" s="61" t="s">
        <v>809</v>
      </c>
      <c r="H31" s="61">
        <v>0</v>
      </c>
      <c r="I31" s="61">
        <v>0</v>
      </c>
      <c r="J31" s="61" t="s">
        <v>810</v>
      </c>
      <c r="K31" s="61" t="s">
        <v>810</v>
      </c>
      <c r="L31" s="61" t="s">
        <v>810</v>
      </c>
      <c r="M31" s="61" t="s">
        <v>810</v>
      </c>
    </row>
    <row r="32" spans="1:13" ht="15.75" x14ac:dyDescent="0.25">
      <c r="A32" s="60"/>
      <c r="B32" s="62" t="s">
        <v>1</v>
      </c>
      <c r="C32" s="60" t="s">
        <v>807</v>
      </c>
      <c r="D32" s="60" t="s">
        <v>808</v>
      </c>
      <c r="E32" s="237" t="s">
        <v>736</v>
      </c>
      <c r="F32" s="237" t="s">
        <v>737</v>
      </c>
      <c r="G32" s="60" t="s">
        <v>809</v>
      </c>
      <c r="H32" s="60">
        <v>0</v>
      </c>
      <c r="I32" s="60">
        <v>0</v>
      </c>
      <c r="J32" s="60" t="s">
        <v>810</v>
      </c>
      <c r="K32" s="60" t="s">
        <v>810</v>
      </c>
      <c r="L32" s="60" t="s">
        <v>810</v>
      </c>
      <c r="M32" s="60" t="s">
        <v>810</v>
      </c>
    </row>
    <row r="33" spans="1:22" x14ac:dyDescent="0.25">
      <c r="A33" s="60"/>
      <c r="B33" s="60"/>
      <c r="C33" s="60" t="s">
        <v>811</v>
      </c>
      <c r="D33" s="60" t="s">
        <v>808</v>
      </c>
      <c r="E33" s="237" t="s">
        <v>736</v>
      </c>
      <c r="F33" s="237" t="s">
        <v>737</v>
      </c>
      <c r="G33" s="60" t="s">
        <v>809</v>
      </c>
      <c r="H33" s="60">
        <v>0</v>
      </c>
      <c r="I33" s="60">
        <v>0</v>
      </c>
      <c r="J33" s="60" t="s">
        <v>810</v>
      </c>
      <c r="K33" s="60" t="s">
        <v>810</v>
      </c>
      <c r="L33" s="60" t="s">
        <v>810</v>
      </c>
      <c r="M33" s="60" t="s">
        <v>810</v>
      </c>
    </row>
    <row r="34" spans="1:22" x14ac:dyDescent="0.25">
      <c r="A34" s="60"/>
      <c r="B34" s="60"/>
      <c r="C34" s="60" t="s">
        <v>811</v>
      </c>
      <c r="D34" s="60" t="s">
        <v>808</v>
      </c>
      <c r="E34" s="237" t="s">
        <v>736</v>
      </c>
      <c r="F34" s="237" t="s">
        <v>737</v>
      </c>
      <c r="G34" s="60" t="s">
        <v>809</v>
      </c>
      <c r="H34" s="60">
        <v>0</v>
      </c>
      <c r="I34" s="60">
        <v>0</v>
      </c>
      <c r="J34" s="60" t="s">
        <v>810</v>
      </c>
      <c r="K34" s="60" t="s">
        <v>810</v>
      </c>
      <c r="L34" s="60" t="s">
        <v>810</v>
      </c>
      <c r="M34" s="60" t="s">
        <v>810</v>
      </c>
    </row>
    <row r="35" spans="1:22" x14ac:dyDescent="0.25">
      <c r="A35" s="60"/>
      <c r="B35" s="60"/>
      <c r="C35" s="60" t="s">
        <v>812</v>
      </c>
      <c r="D35" s="60" t="s">
        <v>808</v>
      </c>
      <c r="E35" s="237" t="s">
        <v>736</v>
      </c>
      <c r="F35" s="237" t="s">
        <v>737</v>
      </c>
      <c r="G35" s="60" t="s">
        <v>809</v>
      </c>
      <c r="H35" s="60">
        <v>0</v>
      </c>
      <c r="I35" s="60">
        <v>0</v>
      </c>
      <c r="J35" s="60" t="s">
        <v>810</v>
      </c>
      <c r="K35" s="60" t="s">
        <v>810</v>
      </c>
      <c r="L35" s="60" t="s">
        <v>810</v>
      </c>
      <c r="M35" s="60" t="s">
        <v>810</v>
      </c>
    </row>
    <row r="36" spans="1:22" x14ac:dyDescent="0.25">
      <c r="A36" s="60"/>
      <c r="B36" s="60"/>
      <c r="C36" s="60" t="s">
        <v>813</v>
      </c>
      <c r="D36" s="60" t="s">
        <v>808</v>
      </c>
      <c r="E36" s="237" t="s">
        <v>736</v>
      </c>
      <c r="F36" s="237" t="s">
        <v>737</v>
      </c>
      <c r="G36" s="60" t="s">
        <v>809</v>
      </c>
      <c r="H36" s="60">
        <v>0</v>
      </c>
      <c r="I36" s="60">
        <v>0</v>
      </c>
      <c r="J36" s="60" t="s">
        <v>810</v>
      </c>
      <c r="K36" s="60" t="s">
        <v>810</v>
      </c>
      <c r="L36" s="60" t="s">
        <v>810</v>
      </c>
      <c r="M36" s="60" t="s">
        <v>810</v>
      </c>
    </row>
    <row r="37" spans="1:22" x14ac:dyDescent="0.25">
      <c r="A37" s="61"/>
      <c r="B37" s="61"/>
      <c r="C37" s="61" t="s">
        <v>814</v>
      </c>
      <c r="D37" s="61" t="s">
        <v>808</v>
      </c>
      <c r="E37" s="238" t="s">
        <v>736</v>
      </c>
      <c r="F37" s="238" t="s">
        <v>737</v>
      </c>
      <c r="G37" s="61" t="s">
        <v>809</v>
      </c>
      <c r="H37" s="61">
        <v>0</v>
      </c>
      <c r="I37" s="61">
        <v>0</v>
      </c>
      <c r="J37" s="61" t="s">
        <v>810</v>
      </c>
      <c r="K37" s="61" t="s">
        <v>810</v>
      </c>
      <c r="L37" s="61" t="s">
        <v>810</v>
      </c>
      <c r="M37" s="61" t="s">
        <v>810</v>
      </c>
    </row>
    <row r="38" spans="1:22" ht="15.75" x14ac:dyDescent="0.25">
      <c r="A38" s="60"/>
      <c r="B38" s="62" t="s">
        <v>1</v>
      </c>
      <c r="C38" s="60" t="s">
        <v>499</v>
      </c>
      <c r="D38" s="60" t="s">
        <v>808</v>
      </c>
      <c r="E38" s="237" t="s">
        <v>569</v>
      </c>
      <c r="F38" s="237" t="s">
        <v>1217</v>
      </c>
      <c r="G38" s="60" t="s">
        <v>833</v>
      </c>
      <c r="H38" s="60">
        <v>0</v>
      </c>
      <c r="I38" s="60">
        <v>0</v>
      </c>
      <c r="J38" s="60" t="s">
        <v>1221</v>
      </c>
      <c r="K38" s="60" t="s">
        <v>848</v>
      </c>
      <c r="L38" s="60" t="s">
        <v>800</v>
      </c>
      <c r="M38" s="60" t="s">
        <v>1222</v>
      </c>
    </row>
    <row r="39" spans="1:22" x14ac:dyDescent="0.25">
      <c r="A39" s="60"/>
      <c r="B39" s="60" t="s">
        <v>1068</v>
      </c>
      <c r="C39" s="60" t="s">
        <v>1178</v>
      </c>
      <c r="D39" s="60" t="s">
        <v>808</v>
      </c>
      <c r="E39" s="237" t="s">
        <v>649</v>
      </c>
      <c r="F39" s="237" t="s">
        <v>827</v>
      </c>
      <c r="G39" s="60" t="s">
        <v>839</v>
      </c>
      <c r="H39" s="60">
        <v>0</v>
      </c>
      <c r="I39" s="60">
        <v>0</v>
      </c>
      <c r="J39" s="60" t="s">
        <v>1219</v>
      </c>
      <c r="K39" s="60" t="s">
        <v>1218</v>
      </c>
      <c r="L39" s="60" t="s">
        <v>784</v>
      </c>
      <c r="M39" s="235" t="s">
        <v>1220</v>
      </c>
    </row>
    <row r="40" spans="1:22" x14ac:dyDescent="0.25">
      <c r="A40" s="60"/>
      <c r="B40" s="60"/>
      <c r="C40" s="60" t="s">
        <v>1230</v>
      </c>
      <c r="D40" s="60" t="s">
        <v>808</v>
      </c>
      <c r="E40" s="237" t="s">
        <v>649</v>
      </c>
      <c r="F40" s="237" t="s">
        <v>827</v>
      </c>
      <c r="G40" s="60" t="s">
        <v>839</v>
      </c>
      <c r="H40" s="60">
        <v>0</v>
      </c>
      <c r="I40" s="60">
        <v>0</v>
      </c>
      <c r="J40" s="60" t="s">
        <v>758</v>
      </c>
      <c r="K40" s="60" t="s">
        <v>1231</v>
      </c>
      <c r="L40" s="60" t="s">
        <v>760</v>
      </c>
      <c r="M40" s="235" t="s">
        <v>1232</v>
      </c>
    </row>
    <row r="41" spans="1:22" x14ac:dyDescent="0.25">
      <c r="A41" s="60"/>
      <c r="B41" s="60"/>
      <c r="C41" s="60" t="s">
        <v>1223</v>
      </c>
      <c r="D41" s="60" t="s">
        <v>808</v>
      </c>
      <c r="E41" s="237" t="s">
        <v>649</v>
      </c>
      <c r="F41" s="237" t="s">
        <v>820</v>
      </c>
      <c r="G41" s="60" t="s">
        <v>854</v>
      </c>
      <c r="H41" s="60">
        <v>0</v>
      </c>
      <c r="I41" s="60">
        <v>0</v>
      </c>
      <c r="J41" s="60" t="s">
        <v>758</v>
      </c>
      <c r="K41" s="60" t="s">
        <v>1224</v>
      </c>
      <c r="L41" s="60" t="s">
        <v>1225</v>
      </c>
      <c r="M41" s="60" t="s">
        <v>1229</v>
      </c>
      <c r="N41" s="60" t="s">
        <v>808</v>
      </c>
      <c r="O41" s="60" t="s">
        <v>605</v>
      </c>
      <c r="P41" s="60" t="s">
        <v>858</v>
      </c>
      <c r="Q41" s="60" t="s">
        <v>816</v>
      </c>
      <c r="R41" s="60">
        <v>0</v>
      </c>
      <c r="S41" s="60" t="s">
        <v>1226</v>
      </c>
      <c r="T41" s="60" t="s">
        <v>1227</v>
      </c>
      <c r="U41" s="60" t="s">
        <v>1228</v>
      </c>
      <c r="V41" s="60" t="s">
        <v>1036</v>
      </c>
    </row>
    <row r="42" spans="1:22" x14ac:dyDescent="0.25">
      <c r="A42" s="60"/>
      <c r="B42" s="234"/>
      <c r="C42" s="6" t="s">
        <v>813</v>
      </c>
      <c r="D42" s="235" t="s">
        <v>808</v>
      </c>
      <c r="E42" s="237" t="s">
        <v>736</v>
      </c>
      <c r="F42" s="237" t="s">
        <v>737</v>
      </c>
      <c r="G42" s="60" t="s">
        <v>809</v>
      </c>
      <c r="H42" s="60">
        <v>0</v>
      </c>
      <c r="I42" s="60">
        <v>0</v>
      </c>
      <c r="J42" s="60" t="s">
        <v>810</v>
      </c>
      <c r="K42" s="60" t="s">
        <v>810</v>
      </c>
      <c r="L42" s="60" t="s">
        <v>810</v>
      </c>
      <c r="M42" s="60" t="s">
        <v>810</v>
      </c>
    </row>
    <row r="43" spans="1:22" x14ac:dyDescent="0.25">
      <c r="A43" s="61"/>
      <c r="B43" s="61"/>
      <c r="C43" s="61" t="s">
        <v>814</v>
      </c>
      <c r="D43" s="61" t="s">
        <v>808</v>
      </c>
      <c r="E43" s="238" t="s">
        <v>736</v>
      </c>
      <c r="F43" s="238" t="s">
        <v>737</v>
      </c>
      <c r="G43" s="61" t="s">
        <v>809</v>
      </c>
      <c r="H43" s="61">
        <v>0</v>
      </c>
      <c r="I43" s="61">
        <v>0</v>
      </c>
      <c r="J43" s="61" t="s">
        <v>810</v>
      </c>
      <c r="K43" s="61" t="s">
        <v>810</v>
      </c>
      <c r="L43" s="61" t="s">
        <v>810</v>
      </c>
      <c r="M43" s="61" t="s">
        <v>810</v>
      </c>
    </row>
  </sheetData>
  <conditionalFormatting sqref="C1:C1048576 L1:L1048576">
    <cfRule type="notContainsBlanks" dxfId="463" priority="8">
      <formula>LEN(TRIM(C1))&gt;0</formula>
    </cfRule>
  </conditionalFormatting>
  <conditionalFormatting sqref="D1:D1048576 M1:M1048576">
    <cfRule type="notContainsBlanks" dxfId="462" priority="7">
      <formula>LEN(TRIM(D1))&gt;0</formula>
    </cfRule>
  </conditionalFormatting>
  <conditionalFormatting sqref="E1:E1048576">
    <cfRule type="notContainsBlanks" dxfId="461" priority="34">
      <formula>LEN(TRIM(E1))&gt;0</formula>
    </cfRule>
  </conditionalFormatting>
  <conditionalFormatting sqref="F1:F1048576">
    <cfRule type="notContainsBlanks" dxfId="460" priority="6">
      <formula>LEN(TRIM(F1))&gt;0</formula>
    </cfRule>
  </conditionalFormatting>
  <conditionalFormatting sqref="G1:G1048576">
    <cfRule type="notContainsBlanks" dxfId="459" priority="5">
      <formula>LEN(TRIM(G1))&gt;0</formula>
    </cfRule>
  </conditionalFormatting>
  <conditionalFormatting sqref="H1:H1048576">
    <cfRule type="notContainsBlanks" dxfId="458" priority="1">
      <formula>LEN(TRIM(H1))&gt;0</formula>
    </cfRule>
  </conditionalFormatting>
  <conditionalFormatting sqref="I1:I1048576">
    <cfRule type="notContainsBlanks" dxfId="457" priority="36">
      <formula>LEN(TRIM(I1))&gt;0</formula>
    </cfRule>
  </conditionalFormatting>
  <conditionalFormatting sqref="J1:J1048576">
    <cfRule type="notContainsBlanks" dxfId="456" priority="37">
      <formula>LEN(TRIM(J1))&gt;0</formula>
    </cfRule>
  </conditionalFormatting>
  <hyperlinks>
    <hyperlink ref="P1" r:id="rId1" xr:uid="{54D4A3E1-36BE-43DB-9449-8C0553C6BCCC}"/>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8283E-1819-4989-BBBB-751577D4445D}">
  <sheetPr>
    <tabColor rgb="FF404040"/>
  </sheetPr>
  <dimension ref="A1:Y1"/>
  <sheetViews>
    <sheetView workbookViewId="0">
      <selection activeCell="B5" sqref="B5"/>
    </sheetView>
  </sheetViews>
  <sheetFormatPr defaultRowHeight="15" x14ac:dyDescent="0.25"/>
  <cols>
    <col min="1" max="1" width="7.5703125" style="6" bestFit="1" customWidth="1"/>
    <col min="2" max="2" width="6.28515625" style="6" bestFit="1" customWidth="1"/>
    <col min="3" max="3" width="7.85546875" style="6" bestFit="1" customWidth="1"/>
    <col min="4" max="4" width="9.7109375" style="6" bestFit="1" customWidth="1"/>
    <col min="5" max="5" width="7.85546875" style="6" bestFit="1" customWidth="1"/>
    <col min="6" max="6" width="9.7109375" style="6" bestFit="1" customWidth="1"/>
    <col min="7" max="7" width="7.85546875" style="6" bestFit="1" customWidth="1"/>
    <col min="8" max="8" width="9.7109375" style="6" bestFit="1" customWidth="1"/>
    <col min="9" max="9" width="7.85546875" style="6" bestFit="1" customWidth="1"/>
    <col min="10" max="10" width="9.7109375" style="6" bestFit="1" customWidth="1"/>
    <col min="11" max="11" width="7.85546875" style="6" bestFit="1" customWidth="1"/>
    <col min="12" max="12" width="9.7109375" style="6" bestFit="1" customWidth="1"/>
    <col min="13" max="13" width="7.85546875" style="6" bestFit="1" customWidth="1"/>
    <col min="14" max="14" width="9.7109375" style="6" bestFit="1" customWidth="1"/>
    <col min="15" max="15" width="7.85546875" style="6" bestFit="1" customWidth="1"/>
    <col min="16" max="16" width="9.7109375" style="6" bestFit="1" customWidth="1"/>
    <col min="17" max="17" width="7.85546875" style="6" bestFit="1" customWidth="1"/>
    <col min="18" max="18" width="9.7109375" style="6" bestFit="1" customWidth="1"/>
    <col min="19" max="19" width="7.85546875" style="6" bestFit="1" customWidth="1"/>
    <col min="20" max="20" width="9.7109375" style="6" bestFit="1" customWidth="1"/>
    <col min="21" max="21" width="9.140625" style="6"/>
    <col min="22" max="22" width="9.7109375" style="6" bestFit="1" customWidth="1"/>
    <col min="23" max="23" width="9.140625" style="6"/>
    <col min="24" max="24" width="9.7109375" style="6" bestFit="1" customWidth="1"/>
    <col min="25" max="16384" width="9.140625" style="6"/>
  </cols>
  <sheetData>
    <row r="1" spans="1:25" s="44" customFormat="1" ht="15.75" x14ac:dyDescent="0.25">
      <c r="A1" s="43" t="s">
        <v>1</v>
      </c>
      <c r="B1" s="46" t="s">
        <v>733</v>
      </c>
      <c r="C1" s="46" t="s">
        <v>720</v>
      </c>
      <c r="D1" s="46" t="s">
        <v>721</v>
      </c>
      <c r="E1" s="46" t="s">
        <v>722</v>
      </c>
      <c r="F1" s="46" t="s">
        <v>721</v>
      </c>
      <c r="G1" s="46" t="s">
        <v>723</v>
      </c>
      <c r="H1" s="46" t="s">
        <v>721</v>
      </c>
      <c r="I1" s="46" t="s">
        <v>724</v>
      </c>
      <c r="J1" s="46" t="s">
        <v>721</v>
      </c>
      <c r="K1" s="46" t="s">
        <v>725</v>
      </c>
      <c r="L1" s="46" t="s">
        <v>721</v>
      </c>
      <c r="M1" s="46" t="s">
        <v>726</v>
      </c>
      <c r="N1" s="46" t="s">
        <v>721</v>
      </c>
      <c r="O1" s="46" t="s">
        <v>727</v>
      </c>
      <c r="P1" s="46" t="s">
        <v>721</v>
      </c>
      <c r="Q1" s="46" t="s">
        <v>728</v>
      </c>
      <c r="R1" s="46" t="s">
        <v>721</v>
      </c>
      <c r="S1" s="46" t="s">
        <v>729</v>
      </c>
      <c r="T1" s="46" t="s">
        <v>721</v>
      </c>
      <c r="U1" s="46" t="s">
        <v>730</v>
      </c>
      <c r="V1" s="46" t="s">
        <v>721</v>
      </c>
      <c r="W1" s="46" t="s">
        <v>731</v>
      </c>
      <c r="X1" s="46" t="s">
        <v>721</v>
      </c>
      <c r="Y1" s="46" t="s">
        <v>732</v>
      </c>
    </row>
  </sheetData>
  <phoneticPr fontId="15" type="noConversion"/>
  <conditionalFormatting sqref="A1:A1048576">
    <cfRule type="notContainsBlanks" dxfId="455" priority="39">
      <formula>LEN(TRIM(A1))&gt;0</formula>
    </cfRule>
  </conditionalFormatting>
  <conditionalFormatting sqref="B1:B1048576">
    <cfRule type="notContainsBlanks" dxfId="454" priority="10">
      <formula>LEN(TRIM(B1))&gt;0</formula>
    </cfRule>
  </conditionalFormatting>
  <conditionalFormatting sqref="C1:C1048576 E1:E1048576 G1:G1048576 I1:I1048576 K1:K1048576 M1:M1048576 O1:O1048576 Q1:Q1048576 S1:S1048576 U1:U1048576 W1:W1048576 Y1:Y1048576">
    <cfRule type="notContainsBlanks" dxfId="453" priority="38">
      <formula>LEN(TRIM(C1))&gt;0</formula>
    </cfRule>
  </conditionalFormatting>
  <conditionalFormatting sqref="D1:D1048576 F1:F1048576 H1:H1048576 J1:J1048576 L1:L1048576 N1:N1048576 P1:P1048576 R1:R1048576 T1:T1048576 V1:V1048576 X1:X1048576">
    <cfRule type="notContainsBlanks" dxfId="452" priority="37">
      <formula>LEN(TRIM(D1))&gt;0</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24176-9D81-4411-9A8C-5715BFA9EA0B}">
  <sheetPr>
    <tabColor rgb="FF949CC5"/>
  </sheetPr>
  <dimension ref="A1:T61"/>
  <sheetViews>
    <sheetView workbookViewId="0">
      <selection activeCell="I33" sqref="I33"/>
    </sheetView>
  </sheetViews>
  <sheetFormatPr defaultRowHeight="15" x14ac:dyDescent="0.25"/>
  <cols>
    <col min="1" max="1" width="16.7109375" style="55" customWidth="1"/>
    <col min="2" max="2" width="9.28515625" style="57" bestFit="1" customWidth="1"/>
    <col min="3" max="3" width="11.28515625" style="57" bestFit="1" customWidth="1"/>
    <col min="4" max="4" width="8.28515625" style="19" bestFit="1" customWidth="1"/>
    <col min="5" max="5" width="28" style="55" bestFit="1" customWidth="1"/>
    <col min="6" max="6" width="11.5703125" style="19" bestFit="1" customWidth="1"/>
    <col min="7" max="7" width="6.42578125" style="45" bestFit="1" customWidth="1"/>
    <col min="8" max="8" width="12.5703125" style="57" bestFit="1" customWidth="1"/>
    <col min="9" max="9" width="140.140625" style="6" bestFit="1" customWidth="1"/>
    <col min="10" max="10" width="30.28515625" style="55" bestFit="1" customWidth="1"/>
    <col min="11" max="11" width="73.85546875" style="6" customWidth="1"/>
    <col min="12" max="16384" width="9.140625" style="6"/>
  </cols>
  <sheetData>
    <row r="1" spans="1:20" ht="15.75" x14ac:dyDescent="0.2">
      <c r="A1" s="56" t="s">
        <v>1</v>
      </c>
      <c r="B1" s="254" t="s">
        <v>711</v>
      </c>
      <c r="C1" s="255" t="s">
        <v>712</v>
      </c>
      <c r="D1" s="256" t="s">
        <v>713</v>
      </c>
      <c r="E1" s="257" t="s">
        <v>714</v>
      </c>
      <c r="F1" s="258" t="s">
        <v>715</v>
      </c>
      <c r="G1" s="259" t="s">
        <v>716</v>
      </c>
      <c r="H1" s="263" t="s">
        <v>717</v>
      </c>
      <c r="I1" s="44" t="s">
        <v>749</v>
      </c>
      <c r="J1" s="54" t="s">
        <v>753</v>
      </c>
      <c r="K1" s="12" t="s">
        <v>1088</v>
      </c>
      <c r="M1" s="49" t="s">
        <v>1</v>
      </c>
      <c r="N1" s="50" t="s">
        <v>711</v>
      </c>
      <c r="O1" s="51" t="s">
        <v>712</v>
      </c>
      <c r="P1" s="202" t="s">
        <v>713</v>
      </c>
      <c r="Q1" s="203" t="s">
        <v>714</v>
      </c>
      <c r="R1" s="204" t="s">
        <v>715</v>
      </c>
      <c r="S1" s="52" t="s">
        <v>716</v>
      </c>
      <c r="T1" s="201" t="s">
        <v>717</v>
      </c>
    </row>
    <row r="2" spans="1:20" x14ac:dyDescent="0.25">
      <c r="A2" s="55" t="s">
        <v>744</v>
      </c>
      <c r="B2" s="57" t="s">
        <v>14</v>
      </c>
      <c r="C2" s="57" t="s">
        <v>745</v>
      </c>
      <c r="D2" s="19">
        <v>100</v>
      </c>
      <c r="E2" s="55" t="s">
        <v>747</v>
      </c>
      <c r="F2" s="19">
        <v>100</v>
      </c>
      <c r="G2" s="45">
        <v>10</v>
      </c>
      <c r="H2" s="57" t="s">
        <v>746</v>
      </c>
      <c r="J2" s="55" t="s">
        <v>1120</v>
      </c>
    </row>
    <row r="3" spans="1:20" x14ac:dyDescent="0.25">
      <c r="A3" s="55" t="s">
        <v>748</v>
      </c>
      <c r="B3" s="57" t="s">
        <v>92</v>
      </c>
      <c r="C3" s="57" t="s">
        <v>745</v>
      </c>
      <c r="D3" s="53">
        <v>20</v>
      </c>
      <c r="E3" s="55" t="s">
        <v>1100</v>
      </c>
      <c r="F3" s="53">
        <v>100</v>
      </c>
      <c r="G3" s="45">
        <v>10</v>
      </c>
      <c r="H3" s="57" t="s">
        <v>746</v>
      </c>
      <c r="I3" s="6" t="s">
        <v>750</v>
      </c>
      <c r="J3" s="55" t="s">
        <v>1119</v>
      </c>
    </row>
    <row r="4" spans="1:20" x14ac:dyDescent="0.25">
      <c r="A4" s="55" t="s">
        <v>751</v>
      </c>
      <c r="B4" s="57" t="s">
        <v>34</v>
      </c>
      <c r="C4" s="57" t="s">
        <v>752</v>
      </c>
      <c r="D4" s="19">
        <v>90</v>
      </c>
      <c r="E4" s="55" t="s">
        <v>747</v>
      </c>
      <c r="F4" s="19">
        <v>100</v>
      </c>
      <c r="G4" s="45">
        <v>15</v>
      </c>
      <c r="H4" s="57" t="s">
        <v>746</v>
      </c>
      <c r="I4" s="6" t="s">
        <v>1488</v>
      </c>
      <c r="J4" s="55" t="s">
        <v>757</v>
      </c>
      <c r="K4" s="6" t="s">
        <v>742</v>
      </c>
    </row>
    <row r="5" spans="1:20" x14ac:dyDescent="0.25">
      <c r="A5" s="55" t="s">
        <v>754</v>
      </c>
      <c r="B5" s="57" t="s">
        <v>232</v>
      </c>
      <c r="C5" s="57" t="s">
        <v>745</v>
      </c>
      <c r="D5" s="19">
        <v>60</v>
      </c>
      <c r="E5" s="55" t="s">
        <v>755</v>
      </c>
      <c r="F5" s="19">
        <v>100</v>
      </c>
      <c r="G5" s="45">
        <v>15</v>
      </c>
      <c r="H5" s="57" t="s">
        <v>756</v>
      </c>
      <c r="I5" s="6" t="s">
        <v>1094</v>
      </c>
      <c r="J5" s="55" t="s">
        <v>1107</v>
      </c>
    </row>
    <row r="6" spans="1:20" ht="15.75" x14ac:dyDescent="0.25">
      <c r="A6" s="55" t="s">
        <v>758</v>
      </c>
      <c r="B6" s="57" t="s">
        <v>28</v>
      </c>
      <c r="C6" s="57" t="s">
        <v>745</v>
      </c>
      <c r="D6" s="19">
        <v>70</v>
      </c>
      <c r="E6" s="55" t="s">
        <v>747</v>
      </c>
      <c r="F6" s="19">
        <v>100</v>
      </c>
      <c r="G6" s="45">
        <v>15</v>
      </c>
      <c r="H6" s="57" t="s">
        <v>756</v>
      </c>
      <c r="I6" s="6" t="s">
        <v>1093</v>
      </c>
      <c r="J6" s="55" t="s">
        <v>759</v>
      </c>
      <c r="K6" s="6" t="s">
        <v>1417</v>
      </c>
    </row>
    <row r="7" spans="1:20" x14ac:dyDescent="0.25">
      <c r="A7" s="55" t="s">
        <v>760</v>
      </c>
      <c r="B7" s="57" t="s">
        <v>119</v>
      </c>
      <c r="C7" s="57" t="s">
        <v>745</v>
      </c>
      <c r="D7" s="19">
        <v>85</v>
      </c>
      <c r="E7" s="55" t="s">
        <v>761</v>
      </c>
      <c r="F7" s="19">
        <v>100</v>
      </c>
      <c r="G7" s="45">
        <v>10</v>
      </c>
      <c r="H7" s="57" t="s">
        <v>746</v>
      </c>
      <c r="I7" s="6" t="s">
        <v>1091</v>
      </c>
      <c r="J7" s="55" t="s">
        <v>1106</v>
      </c>
    </row>
    <row r="8" spans="1:20" x14ac:dyDescent="0.25">
      <c r="A8" s="55" t="s">
        <v>762</v>
      </c>
      <c r="B8" s="57" t="s">
        <v>51</v>
      </c>
      <c r="C8" s="57" t="s">
        <v>745</v>
      </c>
      <c r="D8" s="19">
        <v>85</v>
      </c>
      <c r="E8" s="55" t="s">
        <v>763</v>
      </c>
      <c r="F8" s="19">
        <v>100</v>
      </c>
      <c r="G8" s="45">
        <v>15</v>
      </c>
      <c r="H8" s="57" t="s">
        <v>746</v>
      </c>
      <c r="I8" s="205" t="s">
        <v>1092</v>
      </c>
      <c r="J8" s="55" t="s">
        <v>1106</v>
      </c>
    </row>
    <row r="9" spans="1:20" x14ac:dyDescent="0.25">
      <c r="A9" s="55" t="s">
        <v>764</v>
      </c>
      <c r="B9" s="57" t="s">
        <v>21</v>
      </c>
      <c r="C9" s="57" t="s">
        <v>745</v>
      </c>
      <c r="D9" s="19">
        <v>85</v>
      </c>
      <c r="E9" s="55" t="s">
        <v>765</v>
      </c>
      <c r="F9" s="19">
        <v>100</v>
      </c>
      <c r="G9" s="45">
        <v>15</v>
      </c>
      <c r="H9" s="57" t="s">
        <v>746</v>
      </c>
      <c r="I9" s="6" t="s">
        <v>1418</v>
      </c>
      <c r="J9" s="55" t="s">
        <v>1106</v>
      </c>
    </row>
    <row r="10" spans="1:20" x14ac:dyDescent="0.25">
      <c r="A10" s="55" t="s">
        <v>790</v>
      </c>
      <c r="B10" s="57" t="s">
        <v>92</v>
      </c>
      <c r="C10" s="57" t="s">
        <v>745</v>
      </c>
      <c r="D10" s="19">
        <v>85</v>
      </c>
      <c r="E10" s="55" t="s">
        <v>791</v>
      </c>
      <c r="F10" s="19">
        <v>100</v>
      </c>
      <c r="G10" s="45">
        <v>10</v>
      </c>
      <c r="H10" s="57" t="s">
        <v>746</v>
      </c>
      <c r="I10" s="6" t="s">
        <v>1419</v>
      </c>
      <c r="J10" s="55" t="s">
        <v>1106</v>
      </c>
    </row>
    <row r="11" spans="1:20" x14ac:dyDescent="0.25">
      <c r="A11" s="55" t="s">
        <v>782</v>
      </c>
      <c r="B11" s="57" t="s">
        <v>14</v>
      </c>
      <c r="C11" s="57" t="s">
        <v>752</v>
      </c>
      <c r="D11" s="19">
        <v>45</v>
      </c>
      <c r="E11" s="55" t="s">
        <v>1105</v>
      </c>
      <c r="F11" s="19">
        <v>100</v>
      </c>
      <c r="G11" s="45">
        <v>30</v>
      </c>
      <c r="H11" s="57" t="s">
        <v>746</v>
      </c>
      <c r="I11" s="6" t="s">
        <v>1420</v>
      </c>
      <c r="J11" s="55" t="s">
        <v>1108</v>
      </c>
    </row>
    <row r="12" spans="1:20" x14ac:dyDescent="0.25">
      <c r="A12" s="55" t="s">
        <v>766</v>
      </c>
      <c r="B12" s="57" t="s">
        <v>21</v>
      </c>
      <c r="C12" s="57" t="s">
        <v>745</v>
      </c>
      <c r="D12" s="19">
        <v>70</v>
      </c>
      <c r="E12" s="55" t="s">
        <v>767</v>
      </c>
      <c r="F12" s="19">
        <v>100</v>
      </c>
      <c r="G12" s="45">
        <v>15</v>
      </c>
      <c r="H12" s="57" t="s">
        <v>746</v>
      </c>
      <c r="I12" s="6" t="s">
        <v>1124</v>
      </c>
      <c r="J12" s="55" t="s">
        <v>1109</v>
      </c>
    </row>
    <row r="13" spans="1:20" x14ac:dyDescent="0.25">
      <c r="A13" s="55" t="s">
        <v>768</v>
      </c>
      <c r="B13" s="57" t="s">
        <v>28</v>
      </c>
      <c r="C13" s="57" t="s">
        <v>752</v>
      </c>
      <c r="D13" s="19">
        <v>70</v>
      </c>
      <c r="E13" s="55" t="s">
        <v>767</v>
      </c>
      <c r="F13" s="19">
        <v>100</v>
      </c>
      <c r="G13" s="45">
        <v>15</v>
      </c>
      <c r="H13" s="57" t="s">
        <v>746</v>
      </c>
      <c r="I13" s="6" t="s">
        <v>1125</v>
      </c>
      <c r="J13" s="55" t="s">
        <v>1110</v>
      </c>
    </row>
    <row r="14" spans="1:20" x14ac:dyDescent="0.25">
      <c r="A14" s="55" t="s">
        <v>783</v>
      </c>
      <c r="B14" s="57" t="s">
        <v>15</v>
      </c>
      <c r="C14" s="57" t="s">
        <v>752</v>
      </c>
      <c r="D14" s="19">
        <v>70</v>
      </c>
      <c r="E14" s="55" t="s">
        <v>767</v>
      </c>
      <c r="F14" s="19">
        <v>100</v>
      </c>
      <c r="G14" s="45">
        <v>20</v>
      </c>
      <c r="H14" s="57" t="s">
        <v>746</v>
      </c>
      <c r="J14" s="55" t="s">
        <v>1111</v>
      </c>
    </row>
    <row r="15" spans="1:20" x14ac:dyDescent="0.25">
      <c r="A15" s="55" t="s">
        <v>784</v>
      </c>
      <c r="B15" s="57" t="s">
        <v>34</v>
      </c>
      <c r="C15" s="57" t="s">
        <v>745</v>
      </c>
      <c r="D15" s="19">
        <v>30</v>
      </c>
      <c r="E15" s="55" t="s">
        <v>792</v>
      </c>
      <c r="F15" s="19">
        <v>100</v>
      </c>
      <c r="G15" s="45">
        <v>20</v>
      </c>
      <c r="H15" s="57" t="s">
        <v>746</v>
      </c>
      <c r="J15" s="55" t="s">
        <v>1112</v>
      </c>
    </row>
    <row r="16" spans="1:20" x14ac:dyDescent="0.25">
      <c r="A16" s="55" t="s">
        <v>785</v>
      </c>
      <c r="B16" s="57" t="s">
        <v>54</v>
      </c>
      <c r="C16" s="57" t="s">
        <v>752</v>
      </c>
      <c r="D16" s="19">
        <v>70</v>
      </c>
      <c r="E16" s="55" t="s">
        <v>767</v>
      </c>
      <c r="F16" s="19">
        <v>100</v>
      </c>
      <c r="G16" s="45">
        <v>15</v>
      </c>
      <c r="H16" s="57" t="s">
        <v>746</v>
      </c>
      <c r="J16" s="55" t="s">
        <v>786</v>
      </c>
    </row>
    <row r="17" spans="1:10" x14ac:dyDescent="0.25">
      <c r="A17" s="55" t="s">
        <v>787</v>
      </c>
      <c r="B17" s="57" t="s">
        <v>28</v>
      </c>
      <c r="C17" s="57" t="s">
        <v>745</v>
      </c>
      <c r="D17" s="19">
        <v>70</v>
      </c>
      <c r="E17" s="55" t="s">
        <v>767</v>
      </c>
      <c r="F17" s="19">
        <v>100</v>
      </c>
      <c r="G17" s="45">
        <v>15</v>
      </c>
      <c r="H17" s="57" t="s">
        <v>746</v>
      </c>
      <c r="J17" s="55" t="s">
        <v>786</v>
      </c>
    </row>
    <row r="18" spans="1:10" x14ac:dyDescent="0.25">
      <c r="A18" s="55" t="s">
        <v>769</v>
      </c>
      <c r="B18" s="57" t="s">
        <v>232</v>
      </c>
      <c r="C18" s="57" t="s">
        <v>752</v>
      </c>
      <c r="D18" s="19">
        <v>50</v>
      </c>
      <c r="E18" s="55" t="s">
        <v>770</v>
      </c>
      <c r="F18" s="19">
        <v>100</v>
      </c>
      <c r="G18" s="45">
        <v>5</v>
      </c>
      <c r="H18" s="57" t="s">
        <v>746</v>
      </c>
      <c r="I18" s="6" t="s">
        <v>1096</v>
      </c>
      <c r="J18" s="55" t="s">
        <v>1113</v>
      </c>
    </row>
    <row r="19" spans="1:10" x14ac:dyDescent="0.25">
      <c r="A19" s="55" t="s">
        <v>771</v>
      </c>
      <c r="B19" s="57" t="s">
        <v>15</v>
      </c>
      <c r="C19" s="57" t="s">
        <v>752</v>
      </c>
      <c r="D19" s="19">
        <v>40</v>
      </c>
      <c r="E19" s="55" t="s">
        <v>772</v>
      </c>
      <c r="F19" s="19">
        <v>100</v>
      </c>
      <c r="G19" s="45">
        <v>35</v>
      </c>
      <c r="H19" s="57" t="s">
        <v>746</v>
      </c>
      <c r="I19" s="6" t="s">
        <v>1095</v>
      </c>
      <c r="J19" s="55" t="s">
        <v>1114</v>
      </c>
    </row>
    <row r="20" spans="1:10" x14ac:dyDescent="0.25">
      <c r="A20" s="55" t="s">
        <v>773</v>
      </c>
      <c r="B20" s="57" t="s">
        <v>84</v>
      </c>
      <c r="C20" s="57" t="s">
        <v>752</v>
      </c>
      <c r="D20" s="19">
        <v>45</v>
      </c>
      <c r="E20" s="55" t="s">
        <v>1104</v>
      </c>
      <c r="F20" s="19">
        <v>100</v>
      </c>
      <c r="G20" s="45">
        <v>20</v>
      </c>
      <c r="H20" s="57" t="s">
        <v>746</v>
      </c>
      <c r="I20" s="6" t="s">
        <v>799</v>
      </c>
      <c r="J20" s="55" t="s">
        <v>774</v>
      </c>
    </row>
    <row r="21" spans="1:10" x14ac:dyDescent="0.25">
      <c r="A21" s="55" t="s">
        <v>775</v>
      </c>
      <c r="B21" s="57" t="s">
        <v>26</v>
      </c>
      <c r="C21" s="57" t="s">
        <v>776</v>
      </c>
      <c r="D21" s="19" t="s">
        <v>747</v>
      </c>
      <c r="E21" s="55" t="s">
        <v>1103</v>
      </c>
      <c r="F21" s="19" t="s">
        <v>747</v>
      </c>
      <c r="G21" s="45">
        <v>1</v>
      </c>
      <c r="H21" s="57" t="s">
        <v>778</v>
      </c>
      <c r="J21" s="59" t="s">
        <v>1133</v>
      </c>
    </row>
    <row r="22" spans="1:10" x14ac:dyDescent="0.25">
      <c r="A22" s="55" t="s">
        <v>780</v>
      </c>
      <c r="B22" s="57" t="s">
        <v>14</v>
      </c>
      <c r="C22" s="57" t="s">
        <v>752</v>
      </c>
      <c r="D22" s="19">
        <v>80</v>
      </c>
      <c r="E22" s="55" t="s">
        <v>747</v>
      </c>
      <c r="F22" s="19">
        <v>90</v>
      </c>
      <c r="G22" s="45">
        <v>20</v>
      </c>
      <c r="H22" s="57" t="s">
        <v>746</v>
      </c>
      <c r="I22" s="6" t="s">
        <v>1421</v>
      </c>
      <c r="J22" s="55" t="s">
        <v>781</v>
      </c>
    </row>
    <row r="23" spans="1:10" x14ac:dyDescent="0.25">
      <c r="A23" s="55" t="s">
        <v>788</v>
      </c>
      <c r="B23" s="57" t="s">
        <v>41</v>
      </c>
      <c r="C23" s="57" t="s">
        <v>752</v>
      </c>
      <c r="D23" s="19">
        <v>100</v>
      </c>
      <c r="E23" s="55" t="s">
        <v>789</v>
      </c>
      <c r="F23" s="19">
        <v>100</v>
      </c>
      <c r="G23" s="45">
        <v>10</v>
      </c>
      <c r="H23" s="57" t="s">
        <v>746</v>
      </c>
      <c r="I23" s="6" t="s">
        <v>1089</v>
      </c>
      <c r="J23" s="55" t="s">
        <v>1115</v>
      </c>
    </row>
    <row r="24" spans="1:10" x14ac:dyDescent="0.25">
      <c r="A24" s="55" t="s">
        <v>795</v>
      </c>
      <c r="B24" s="57" t="s">
        <v>92</v>
      </c>
      <c r="C24" s="57" t="s">
        <v>745</v>
      </c>
      <c r="D24" s="19">
        <v>100</v>
      </c>
      <c r="E24" s="55" t="s">
        <v>793</v>
      </c>
      <c r="F24" s="19">
        <v>100</v>
      </c>
      <c r="G24" s="45">
        <v>10</v>
      </c>
      <c r="H24" s="57" t="s">
        <v>779</v>
      </c>
      <c r="I24" s="55" t="s">
        <v>794</v>
      </c>
      <c r="J24" s="55" t="s">
        <v>1119</v>
      </c>
    </row>
    <row r="25" spans="1:10" x14ac:dyDescent="0.25">
      <c r="A25" s="55" t="s">
        <v>796</v>
      </c>
      <c r="B25" s="57" t="s">
        <v>28</v>
      </c>
      <c r="C25" s="57" t="s">
        <v>745</v>
      </c>
      <c r="D25" s="19">
        <v>100</v>
      </c>
      <c r="E25" s="55" t="s">
        <v>797</v>
      </c>
      <c r="F25" s="19">
        <v>95</v>
      </c>
      <c r="G25" s="45">
        <v>10</v>
      </c>
      <c r="H25" s="57" t="s">
        <v>746</v>
      </c>
      <c r="J25" s="55" t="s">
        <v>1116</v>
      </c>
    </row>
    <row r="26" spans="1:10" x14ac:dyDescent="0.25">
      <c r="A26" s="55" t="s">
        <v>798</v>
      </c>
      <c r="B26" s="57" t="s">
        <v>84</v>
      </c>
      <c r="C26" s="57" t="s">
        <v>752</v>
      </c>
      <c r="D26" s="19" t="s">
        <v>747</v>
      </c>
      <c r="E26" s="55" t="s">
        <v>798</v>
      </c>
      <c r="F26" s="19" t="s">
        <v>747</v>
      </c>
      <c r="G26" s="45">
        <v>10</v>
      </c>
      <c r="H26" s="57" t="s">
        <v>777</v>
      </c>
      <c r="I26" s="6" t="s">
        <v>799</v>
      </c>
    </row>
    <row r="27" spans="1:10" x14ac:dyDescent="0.25">
      <c r="A27" s="55" t="s">
        <v>800</v>
      </c>
      <c r="B27" s="57" t="s">
        <v>84</v>
      </c>
      <c r="C27" s="57" t="s">
        <v>752</v>
      </c>
      <c r="D27" s="19">
        <v>110</v>
      </c>
      <c r="E27" s="55" t="s">
        <v>801</v>
      </c>
      <c r="F27" s="19">
        <v>100</v>
      </c>
      <c r="G27" s="45">
        <v>20</v>
      </c>
      <c r="H27" s="57" t="s">
        <v>746</v>
      </c>
      <c r="J27" s="55" t="s">
        <v>1117</v>
      </c>
    </row>
    <row r="28" spans="1:10" x14ac:dyDescent="0.25">
      <c r="A28" s="55" t="s">
        <v>802</v>
      </c>
      <c r="B28" s="57" t="s">
        <v>92</v>
      </c>
      <c r="C28" s="57" t="s">
        <v>745</v>
      </c>
      <c r="D28" s="19">
        <v>80</v>
      </c>
      <c r="E28" s="55" t="s">
        <v>747</v>
      </c>
      <c r="F28" s="19">
        <v>100</v>
      </c>
      <c r="G28" s="45">
        <v>20</v>
      </c>
      <c r="H28" s="57" t="s">
        <v>746</v>
      </c>
      <c r="I28" s="6" t="s">
        <v>1469</v>
      </c>
      <c r="J28" s="55" t="s">
        <v>1414</v>
      </c>
    </row>
    <row r="29" spans="1:10" x14ac:dyDescent="0.25">
      <c r="A29" s="55" t="s">
        <v>803</v>
      </c>
      <c r="B29" s="57" t="s">
        <v>41</v>
      </c>
      <c r="C29" s="57" t="s">
        <v>776</v>
      </c>
      <c r="D29" s="19" t="s">
        <v>747</v>
      </c>
      <c r="E29" s="55" t="s">
        <v>1101</v>
      </c>
      <c r="F29" s="19" t="s">
        <v>747</v>
      </c>
      <c r="G29" s="45">
        <v>1</v>
      </c>
      <c r="H29" s="57" t="s">
        <v>777</v>
      </c>
      <c r="I29" s="6" t="s">
        <v>1090</v>
      </c>
      <c r="J29" s="55" t="s">
        <v>804</v>
      </c>
    </row>
    <row r="30" spans="1:10" x14ac:dyDescent="0.25">
      <c r="A30" s="55" t="s">
        <v>805</v>
      </c>
      <c r="B30" s="57" t="s">
        <v>51</v>
      </c>
      <c r="C30" s="57" t="s">
        <v>745</v>
      </c>
      <c r="D30" s="19">
        <v>60</v>
      </c>
      <c r="E30" s="55" t="s">
        <v>1102</v>
      </c>
      <c r="F30" s="19">
        <v>100</v>
      </c>
      <c r="G30" s="45">
        <v>5</v>
      </c>
      <c r="H30" s="57" t="s">
        <v>746</v>
      </c>
      <c r="J30" s="55" t="s">
        <v>759</v>
      </c>
    </row>
    <row r="31" spans="1:10" x14ac:dyDescent="0.25">
      <c r="A31" s="55" t="s">
        <v>1097</v>
      </c>
      <c r="B31" s="57" t="s">
        <v>41</v>
      </c>
      <c r="C31" s="57" t="s">
        <v>745</v>
      </c>
      <c r="D31" s="19">
        <v>65</v>
      </c>
      <c r="E31" s="55" t="s">
        <v>1098</v>
      </c>
      <c r="F31" s="19">
        <v>100</v>
      </c>
      <c r="G31" s="45">
        <v>15</v>
      </c>
      <c r="H31" s="57" t="s">
        <v>746</v>
      </c>
      <c r="I31" s="6" t="s">
        <v>1099</v>
      </c>
      <c r="J31" s="55" t="s">
        <v>1118</v>
      </c>
    </row>
    <row r="32" spans="1:10" x14ac:dyDescent="0.25">
      <c r="A32" s="55" t="s">
        <v>1121</v>
      </c>
      <c r="B32" s="57" t="s">
        <v>26</v>
      </c>
      <c r="C32" s="57" t="s">
        <v>752</v>
      </c>
      <c r="D32" s="19">
        <v>110</v>
      </c>
      <c r="E32" s="55" t="s">
        <v>1122</v>
      </c>
      <c r="F32" s="19">
        <v>95</v>
      </c>
      <c r="G32" s="45">
        <v>15</v>
      </c>
      <c r="H32" s="57" t="s">
        <v>746</v>
      </c>
      <c r="J32" s="55" t="s">
        <v>1123</v>
      </c>
    </row>
    <row r="33" spans="1:11" x14ac:dyDescent="0.25">
      <c r="A33" s="55" t="s">
        <v>1130</v>
      </c>
      <c r="B33" s="57" t="s">
        <v>41</v>
      </c>
      <c r="C33" s="57" t="s">
        <v>752</v>
      </c>
      <c r="D33" s="19">
        <v>85</v>
      </c>
      <c r="E33" s="55" t="s">
        <v>1131</v>
      </c>
      <c r="F33" s="19">
        <v>95</v>
      </c>
      <c r="G33" s="45">
        <v>10</v>
      </c>
      <c r="H33" s="57" t="s">
        <v>746</v>
      </c>
      <c r="J33" s="55" t="s">
        <v>1132</v>
      </c>
    </row>
    <row r="34" spans="1:11" x14ac:dyDescent="0.25">
      <c r="A34" s="55" t="s">
        <v>1141</v>
      </c>
      <c r="B34" s="57" t="s">
        <v>92</v>
      </c>
      <c r="C34" s="57" t="s">
        <v>745</v>
      </c>
      <c r="D34" s="19">
        <v>90</v>
      </c>
      <c r="E34" s="55" t="s">
        <v>1142</v>
      </c>
      <c r="F34" s="19">
        <v>100</v>
      </c>
      <c r="G34" s="45">
        <v>15</v>
      </c>
      <c r="H34" s="57" t="s">
        <v>746</v>
      </c>
      <c r="J34" s="55" t="s">
        <v>1143</v>
      </c>
    </row>
    <row r="35" spans="1:11" x14ac:dyDescent="0.25">
      <c r="A35" s="55" t="s">
        <v>980</v>
      </c>
      <c r="B35" s="57" t="s">
        <v>232</v>
      </c>
      <c r="C35" s="57" t="s">
        <v>745</v>
      </c>
      <c r="D35" s="19">
        <v>80</v>
      </c>
      <c r="E35" s="55" t="s">
        <v>1144</v>
      </c>
      <c r="F35" s="19">
        <v>100</v>
      </c>
      <c r="G35" s="45">
        <v>10</v>
      </c>
      <c r="H35" s="57" t="s">
        <v>746</v>
      </c>
      <c r="I35" s="6" t="s">
        <v>1145</v>
      </c>
      <c r="J35" s="55" t="s">
        <v>1146</v>
      </c>
    </row>
    <row r="36" spans="1:11" x14ac:dyDescent="0.25">
      <c r="A36" s="55" t="s">
        <v>1372</v>
      </c>
      <c r="B36" s="57" t="s">
        <v>92</v>
      </c>
      <c r="C36" s="57" t="s">
        <v>745</v>
      </c>
      <c r="D36" s="19">
        <v>140</v>
      </c>
      <c r="E36" s="55" t="s">
        <v>1410</v>
      </c>
      <c r="F36" s="19">
        <v>100</v>
      </c>
      <c r="G36" s="45">
        <v>5</v>
      </c>
      <c r="H36" s="57" t="s">
        <v>778</v>
      </c>
      <c r="I36" s="6" t="s">
        <v>1446</v>
      </c>
      <c r="J36" s="55" t="s">
        <v>1423</v>
      </c>
      <c r="K36" s="6" t="s">
        <v>1447</v>
      </c>
    </row>
    <row r="37" spans="1:11" x14ac:dyDescent="0.25">
      <c r="A37" s="55" t="s">
        <v>1149</v>
      </c>
      <c r="B37" s="57" t="s">
        <v>112</v>
      </c>
      <c r="C37" s="57" t="s">
        <v>752</v>
      </c>
      <c r="D37" s="19">
        <v>20</v>
      </c>
      <c r="E37" s="55" t="s">
        <v>806</v>
      </c>
      <c r="F37" s="19">
        <v>100</v>
      </c>
      <c r="G37" s="45">
        <v>15</v>
      </c>
      <c r="H37" s="57" t="s">
        <v>746</v>
      </c>
    </row>
    <row r="38" spans="1:11" x14ac:dyDescent="0.25">
      <c r="A38" s="55" t="s">
        <v>1150</v>
      </c>
      <c r="B38" s="57" t="s">
        <v>15</v>
      </c>
      <c r="C38" s="57" t="s">
        <v>745</v>
      </c>
      <c r="D38" s="19">
        <v>1</v>
      </c>
      <c r="E38" s="55" t="s">
        <v>1151</v>
      </c>
      <c r="F38" s="19">
        <v>100</v>
      </c>
      <c r="G38" s="45">
        <v>10</v>
      </c>
      <c r="H38" s="57" t="s">
        <v>746</v>
      </c>
    </row>
    <row r="39" spans="1:11" x14ac:dyDescent="0.25">
      <c r="A39" s="55" t="s">
        <v>1373</v>
      </c>
      <c r="B39" s="57" t="s">
        <v>232</v>
      </c>
      <c r="C39" s="57" t="s">
        <v>745</v>
      </c>
      <c r="D39" s="19">
        <v>95</v>
      </c>
      <c r="E39" s="55" t="s">
        <v>1374</v>
      </c>
      <c r="F39" s="19">
        <v>10</v>
      </c>
      <c r="G39" s="45">
        <v>15</v>
      </c>
      <c r="H39" s="57" t="s">
        <v>746</v>
      </c>
      <c r="I39" s="6" t="s">
        <v>1375</v>
      </c>
      <c r="K39" s="6" t="s">
        <v>1404</v>
      </c>
    </row>
    <row r="40" spans="1:11" x14ac:dyDescent="0.25">
      <c r="A40" s="55" t="s">
        <v>1390</v>
      </c>
      <c r="B40" s="57" t="s">
        <v>119</v>
      </c>
      <c r="C40" s="57" t="s">
        <v>745</v>
      </c>
      <c r="D40" s="19">
        <v>120</v>
      </c>
      <c r="E40" s="55" t="s">
        <v>1396</v>
      </c>
      <c r="F40" s="19">
        <v>100</v>
      </c>
      <c r="G40" s="45">
        <v>5</v>
      </c>
      <c r="H40" s="57" t="s">
        <v>746</v>
      </c>
      <c r="I40" s="6" t="s">
        <v>1391</v>
      </c>
      <c r="J40" s="55" t="s">
        <v>1392</v>
      </c>
      <c r="K40" s="6" t="s">
        <v>1405</v>
      </c>
    </row>
    <row r="41" spans="1:11" x14ac:dyDescent="0.25">
      <c r="A41" s="55" t="s">
        <v>1393</v>
      </c>
      <c r="B41" s="57" t="s">
        <v>51</v>
      </c>
      <c r="C41" s="57" t="s">
        <v>752</v>
      </c>
      <c r="D41" s="19">
        <v>120</v>
      </c>
      <c r="E41" s="55" t="s">
        <v>1395</v>
      </c>
      <c r="F41" s="19">
        <v>100</v>
      </c>
      <c r="G41" s="45">
        <v>5</v>
      </c>
      <c r="H41" s="57" t="s">
        <v>746</v>
      </c>
      <c r="J41" s="252" t="s">
        <v>1394</v>
      </c>
    </row>
    <row r="42" spans="1:11" ht="15.75" x14ac:dyDescent="0.25">
      <c r="A42" s="54" t="s">
        <v>1403</v>
      </c>
      <c r="B42" s="57" t="s">
        <v>51</v>
      </c>
      <c r="C42" s="57" t="s">
        <v>745</v>
      </c>
      <c r="D42" s="19">
        <v>150</v>
      </c>
      <c r="E42" s="55" t="s">
        <v>1401</v>
      </c>
      <c r="F42" s="19">
        <v>100</v>
      </c>
      <c r="G42" s="45">
        <v>1</v>
      </c>
      <c r="H42" s="57" t="s">
        <v>778</v>
      </c>
      <c r="I42" s="6" t="s">
        <v>1402</v>
      </c>
      <c r="K42" s="6" t="s">
        <v>1406</v>
      </c>
    </row>
    <row r="43" spans="1:11" x14ac:dyDescent="0.25">
      <c r="A43" s="55" t="s">
        <v>1407</v>
      </c>
      <c r="B43" s="57" t="s">
        <v>54</v>
      </c>
      <c r="C43" s="57" t="s">
        <v>752</v>
      </c>
      <c r="D43" s="19">
        <v>55</v>
      </c>
      <c r="E43" s="55" t="s">
        <v>1408</v>
      </c>
      <c r="F43" s="19">
        <v>95</v>
      </c>
      <c r="G43" s="45">
        <v>10</v>
      </c>
      <c r="H43" s="57" t="s">
        <v>746</v>
      </c>
      <c r="I43" s="6" t="s">
        <v>1416</v>
      </c>
      <c r="J43" s="55" t="s">
        <v>1409</v>
      </c>
      <c r="K43" s="6" t="s">
        <v>1451</v>
      </c>
    </row>
    <row r="44" spans="1:11" x14ac:dyDescent="0.25">
      <c r="A44" s="55" t="s">
        <v>1413</v>
      </c>
      <c r="B44" s="57" t="s">
        <v>119</v>
      </c>
      <c r="C44" s="57" t="s">
        <v>752</v>
      </c>
      <c r="D44" s="19">
        <v>100</v>
      </c>
      <c r="E44" s="55" t="s">
        <v>1415</v>
      </c>
      <c r="F44" s="19">
        <v>100</v>
      </c>
      <c r="G44" s="45">
        <v>5</v>
      </c>
      <c r="H44" s="57" t="s">
        <v>746</v>
      </c>
      <c r="I44" s="6" t="s">
        <v>1422</v>
      </c>
      <c r="J44" s="55" t="s">
        <v>1414</v>
      </c>
      <c r="K44" s="6" t="s">
        <v>1450</v>
      </c>
    </row>
    <row r="45" spans="1:11" x14ac:dyDescent="0.25">
      <c r="A45" s="55" t="s">
        <v>1430</v>
      </c>
      <c r="B45" s="57" t="s">
        <v>112</v>
      </c>
      <c r="C45" s="57" t="s">
        <v>752</v>
      </c>
      <c r="D45" s="19">
        <v>150</v>
      </c>
      <c r="E45" s="55" t="s">
        <v>1431</v>
      </c>
      <c r="F45" s="19">
        <v>100</v>
      </c>
      <c r="G45" s="45">
        <v>5</v>
      </c>
      <c r="H45" s="57" t="s">
        <v>746</v>
      </c>
      <c r="I45" s="6" t="s">
        <v>1433</v>
      </c>
      <c r="J45" s="55" t="s">
        <v>1414</v>
      </c>
      <c r="K45" s="6" t="s">
        <v>1453</v>
      </c>
    </row>
    <row r="46" spans="1:11" x14ac:dyDescent="0.25">
      <c r="A46" s="55" t="s">
        <v>1432</v>
      </c>
      <c r="B46" s="57" t="s">
        <v>119</v>
      </c>
      <c r="C46" s="57" t="s">
        <v>745</v>
      </c>
      <c r="D46" s="19">
        <v>135</v>
      </c>
      <c r="E46" s="55" t="s">
        <v>1431</v>
      </c>
      <c r="F46" s="19">
        <v>100</v>
      </c>
      <c r="G46" s="45">
        <v>5</v>
      </c>
      <c r="H46" s="57" t="s">
        <v>746</v>
      </c>
      <c r="I46" s="6" t="s">
        <v>1434</v>
      </c>
      <c r="J46" s="55" t="s">
        <v>1414</v>
      </c>
      <c r="K46" s="6" t="s">
        <v>1452</v>
      </c>
    </row>
    <row r="47" spans="1:11" x14ac:dyDescent="0.25">
      <c r="A47" s="55" t="s">
        <v>1435</v>
      </c>
      <c r="B47" s="57" t="s">
        <v>26</v>
      </c>
      <c r="C47" s="57" t="s">
        <v>752</v>
      </c>
      <c r="D47" s="19">
        <v>15</v>
      </c>
      <c r="E47" s="55" t="s">
        <v>806</v>
      </c>
      <c r="F47" s="19">
        <v>85</v>
      </c>
      <c r="G47" s="45">
        <v>20</v>
      </c>
      <c r="H47" s="57" t="s">
        <v>746</v>
      </c>
      <c r="J47" s="55" t="s">
        <v>34</v>
      </c>
    </row>
    <row r="48" spans="1:11" x14ac:dyDescent="0.25">
      <c r="A48" s="55" t="s">
        <v>1436</v>
      </c>
      <c r="B48" s="57" t="s">
        <v>84</v>
      </c>
      <c r="C48" s="57" t="s">
        <v>752</v>
      </c>
      <c r="D48" s="19">
        <v>18</v>
      </c>
      <c r="E48" s="55" t="s">
        <v>806</v>
      </c>
      <c r="F48" s="19">
        <v>85</v>
      </c>
      <c r="G48" s="45">
        <v>15</v>
      </c>
      <c r="H48" s="57" t="s">
        <v>746</v>
      </c>
      <c r="J48" s="55" t="s">
        <v>1437</v>
      </c>
    </row>
    <row r="49" spans="1:10" x14ac:dyDescent="0.25">
      <c r="A49" s="55" t="s">
        <v>1438</v>
      </c>
      <c r="B49" s="57" t="s">
        <v>14</v>
      </c>
      <c r="C49" s="57" t="s">
        <v>752</v>
      </c>
      <c r="D49" s="19">
        <v>50</v>
      </c>
      <c r="E49" s="55" t="s">
        <v>1445</v>
      </c>
      <c r="F49" s="19">
        <v>95</v>
      </c>
      <c r="G49" s="45">
        <v>25</v>
      </c>
      <c r="H49" s="57" t="s">
        <v>746</v>
      </c>
    </row>
    <row r="50" spans="1:10" x14ac:dyDescent="0.25">
      <c r="A50" s="55" t="s">
        <v>1439</v>
      </c>
      <c r="B50" s="57" t="s">
        <v>84</v>
      </c>
      <c r="C50" s="57" t="s">
        <v>752</v>
      </c>
      <c r="D50" s="19">
        <v>80</v>
      </c>
      <c r="E50" s="55" t="s">
        <v>747</v>
      </c>
      <c r="F50" s="19">
        <v>100</v>
      </c>
      <c r="G50" s="45">
        <v>15</v>
      </c>
      <c r="H50" s="57" t="s">
        <v>746</v>
      </c>
    </row>
    <row r="51" spans="1:10" x14ac:dyDescent="0.25">
      <c r="A51" s="55" t="s">
        <v>1440</v>
      </c>
      <c r="B51" s="57" t="s">
        <v>51</v>
      </c>
      <c r="C51" s="57" t="s">
        <v>745</v>
      </c>
      <c r="D51" s="19">
        <v>60</v>
      </c>
      <c r="E51" s="55" t="s">
        <v>1444</v>
      </c>
      <c r="F51" s="19">
        <v>100</v>
      </c>
      <c r="G51" s="45">
        <v>20</v>
      </c>
      <c r="H51" s="57" t="s">
        <v>756</v>
      </c>
    </row>
    <row r="52" spans="1:10" x14ac:dyDescent="0.25">
      <c r="A52" s="55" t="s">
        <v>1441</v>
      </c>
      <c r="B52" s="57" t="s">
        <v>104</v>
      </c>
      <c r="C52" s="57" t="s">
        <v>752</v>
      </c>
      <c r="D52" s="19">
        <v>90</v>
      </c>
      <c r="E52" s="55" t="s">
        <v>1443</v>
      </c>
      <c r="F52" s="19">
        <v>85</v>
      </c>
      <c r="G52" s="45">
        <v>20</v>
      </c>
      <c r="H52" s="57" t="s">
        <v>746</v>
      </c>
    </row>
    <row r="53" spans="1:10" x14ac:dyDescent="0.25">
      <c r="A53" s="55" t="s">
        <v>1442</v>
      </c>
      <c r="B53" s="57" t="s">
        <v>84</v>
      </c>
      <c r="C53" s="57" t="s">
        <v>752</v>
      </c>
      <c r="D53" s="19">
        <v>40</v>
      </c>
      <c r="E53" s="55" t="s">
        <v>1519</v>
      </c>
      <c r="F53" s="19">
        <v>100</v>
      </c>
      <c r="G53" s="45">
        <v>5</v>
      </c>
      <c r="H53" s="57" t="s">
        <v>746</v>
      </c>
    </row>
    <row r="54" spans="1:10" x14ac:dyDescent="0.25">
      <c r="A54" s="55" t="s">
        <v>1448</v>
      </c>
      <c r="B54" s="57" t="s">
        <v>92</v>
      </c>
      <c r="C54" s="57" t="s">
        <v>745</v>
      </c>
      <c r="D54" s="19">
        <v>70</v>
      </c>
      <c r="E54" s="55" t="s">
        <v>1415</v>
      </c>
      <c r="F54" s="19">
        <v>100</v>
      </c>
      <c r="G54" s="45">
        <v>10</v>
      </c>
      <c r="H54" s="57" t="s">
        <v>746</v>
      </c>
      <c r="J54" s="55" t="s">
        <v>41</v>
      </c>
    </row>
    <row r="55" spans="1:10" x14ac:dyDescent="0.25">
      <c r="A55" s="55" t="s">
        <v>888</v>
      </c>
      <c r="B55" s="57" t="s">
        <v>41</v>
      </c>
      <c r="C55" s="57" t="s">
        <v>752</v>
      </c>
      <c r="D55" s="19">
        <v>130</v>
      </c>
      <c r="E55" s="55" t="s">
        <v>1449</v>
      </c>
      <c r="F55" s="19">
        <v>100</v>
      </c>
      <c r="G55" s="45">
        <v>15</v>
      </c>
      <c r="H55" s="57" t="s">
        <v>746</v>
      </c>
      <c r="J55" s="55" t="s">
        <v>1132</v>
      </c>
    </row>
    <row r="56" spans="1:10" x14ac:dyDescent="0.25">
      <c r="A56" s="55" t="s">
        <v>1482</v>
      </c>
      <c r="B56" s="57" t="s">
        <v>21</v>
      </c>
      <c r="C56" s="57" t="s">
        <v>745</v>
      </c>
      <c r="D56" s="19">
        <v>80</v>
      </c>
      <c r="E56" s="55" t="s">
        <v>1487</v>
      </c>
      <c r="F56" s="19">
        <v>100</v>
      </c>
      <c r="G56" s="45">
        <v>15</v>
      </c>
      <c r="H56" s="57" t="s">
        <v>746</v>
      </c>
    </row>
    <row r="57" spans="1:10" x14ac:dyDescent="0.25">
      <c r="A57" s="55" t="s">
        <v>876</v>
      </c>
      <c r="B57" s="57" t="s">
        <v>104</v>
      </c>
      <c r="C57" s="57" t="s">
        <v>776</v>
      </c>
      <c r="D57" s="19" t="s">
        <v>1517</v>
      </c>
      <c r="E57" s="55" t="s">
        <v>1518</v>
      </c>
      <c r="F57" s="19" t="s">
        <v>747</v>
      </c>
      <c r="G57" s="45">
        <v>1</v>
      </c>
      <c r="H57" s="57" t="s">
        <v>756</v>
      </c>
      <c r="J57" s="55" t="s">
        <v>1516</v>
      </c>
    </row>
    <row r="58" spans="1:10" x14ac:dyDescent="0.25">
      <c r="A58" s="55" t="s">
        <v>853</v>
      </c>
      <c r="B58" s="57" t="s">
        <v>54</v>
      </c>
      <c r="C58" s="57" t="s">
        <v>776</v>
      </c>
      <c r="D58" s="19" t="s">
        <v>747</v>
      </c>
      <c r="E58" s="55" t="s">
        <v>747</v>
      </c>
      <c r="F58" s="19" t="s">
        <v>747</v>
      </c>
      <c r="G58" s="45">
        <v>3</v>
      </c>
      <c r="H58" s="57" t="s">
        <v>756</v>
      </c>
    </row>
    <row r="59" spans="1:10" x14ac:dyDescent="0.25">
      <c r="A59" s="55" t="s">
        <v>922</v>
      </c>
      <c r="B59" s="57" t="s">
        <v>15</v>
      </c>
      <c r="C59" s="57" t="s">
        <v>776</v>
      </c>
      <c r="D59" s="19" t="s">
        <v>747</v>
      </c>
      <c r="E59" s="55" t="s">
        <v>747</v>
      </c>
      <c r="F59" s="19" t="s">
        <v>747</v>
      </c>
      <c r="G59" s="45">
        <v>2</v>
      </c>
      <c r="H59" s="57" t="s">
        <v>756</v>
      </c>
    </row>
    <row r="60" spans="1:10" x14ac:dyDescent="0.25">
      <c r="A60" s="55" t="s">
        <v>804</v>
      </c>
      <c r="B60" s="57" t="s">
        <v>34</v>
      </c>
      <c r="C60" s="57" t="s">
        <v>776</v>
      </c>
      <c r="D60" s="19" t="s">
        <v>747</v>
      </c>
      <c r="E60" s="55" t="s">
        <v>747</v>
      </c>
      <c r="F60" s="19" t="s">
        <v>747</v>
      </c>
      <c r="G60" s="45">
        <v>1</v>
      </c>
      <c r="H60" s="57" t="s">
        <v>777</v>
      </c>
    </row>
    <row r="61" spans="1:10" x14ac:dyDescent="0.25">
      <c r="A61" s="55" t="s">
        <v>909</v>
      </c>
      <c r="B61" s="57" t="s">
        <v>41</v>
      </c>
      <c r="C61" s="57" t="s">
        <v>776</v>
      </c>
      <c r="D61" s="19" t="s">
        <v>747</v>
      </c>
      <c r="E61" s="55" t="s">
        <v>747</v>
      </c>
      <c r="F61" s="19" t="s">
        <v>747</v>
      </c>
      <c r="G61" s="45">
        <v>1</v>
      </c>
      <c r="H61" s="57" t="s">
        <v>777</v>
      </c>
    </row>
  </sheetData>
  <conditionalFormatting sqref="A1:A1048576">
    <cfRule type="notContainsBlanks" dxfId="451" priority="59">
      <formula>LEN(TRIM(A1))&gt;0</formula>
    </cfRule>
  </conditionalFormatting>
  <conditionalFormatting sqref="B2:B1048576">
    <cfRule type="containsText" dxfId="450" priority="40" operator="containsText" text="Flying">
      <formula>NOT(ISERROR(SEARCH("Flying",B2)))</formula>
    </cfRule>
    <cfRule type="containsText" dxfId="449" priority="41" operator="containsText" text="Fairy">
      <formula>NOT(ISERROR(SEARCH("Fairy",B2)))</formula>
    </cfRule>
    <cfRule type="containsText" dxfId="448" priority="42" operator="containsText" text="Steel">
      <formula>NOT(ISERROR(SEARCH("Steel",B2)))</formula>
    </cfRule>
    <cfRule type="containsText" dxfId="447" priority="43" operator="containsText" text="Dark">
      <formula>NOT(ISERROR(SEARCH("Dark",B2)))</formula>
    </cfRule>
    <cfRule type="containsText" dxfId="446" priority="44" operator="containsText" text="Dragon">
      <formula>NOT(ISERROR(SEARCH("Dragon",B2)))</formula>
    </cfRule>
    <cfRule type="containsText" dxfId="445" priority="45" operator="containsText" text="Ghost">
      <formula>NOT(ISERROR(SEARCH("Ghost",B2)))</formula>
    </cfRule>
    <cfRule type="containsText" dxfId="444" priority="46" operator="containsText" text="Rock">
      <formula>NOT(ISERROR(SEARCH("Rock",B2)))</formula>
    </cfRule>
    <cfRule type="containsText" dxfId="443" priority="47" operator="containsText" text="Bug">
      <formula>NOT(ISERROR(SEARCH("Bug",B2)))</formula>
    </cfRule>
    <cfRule type="containsText" dxfId="442" priority="48" operator="containsText" text="Psychic">
      <formula>NOT(ISERROR(SEARCH("Psychic",B2)))</formula>
    </cfRule>
    <cfRule type="containsText" dxfId="441" priority="49" operator="containsText" text="Ground">
      <formula>NOT(ISERROR(SEARCH("Ground",B2)))</formula>
    </cfRule>
    <cfRule type="containsText" dxfId="440" priority="50" operator="containsText" text="Poison">
      <formula>NOT(ISERROR(SEARCH("Poison",B2)))</formula>
    </cfRule>
    <cfRule type="containsText" dxfId="439" priority="51" operator="containsText" text="Fighting">
      <formula>NOT(ISERROR(SEARCH("Fighting",B2)))</formula>
    </cfRule>
    <cfRule type="containsText" dxfId="438" priority="52" operator="containsText" text="Ice">
      <formula>NOT(ISERROR(SEARCH("Ice",B2)))</formula>
    </cfRule>
    <cfRule type="containsText" dxfId="437" priority="53" operator="containsText" text="Electric">
      <formula>NOT(ISERROR(SEARCH("Electric",B2)))</formula>
    </cfRule>
    <cfRule type="containsText" dxfId="436" priority="54" operator="containsText" text="Water">
      <formula>NOT(ISERROR(SEARCH("Water",B2)))</formula>
    </cfRule>
    <cfRule type="containsText" dxfId="435" priority="55" operator="containsText" text="Fire">
      <formula>NOT(ISERROR(SEARCH("Fire",B2)))</formula>
    </cfRule>
    <cfRule type="containsText" dxfId="434" priority="56" operator="containsText" text="Normal">
      <formula>NOT(ISERROR(SEARCH("Normal",B2)))</formula>
    </cfRule>
    <cfRule type="containsText" dxfId="433" priority="57" operator="containsText" text="Grass">
      <formula>NOT(ISERROR(SEARCH("Grass",B2)))</formula>
    </cfRule>
  </conditionalFormatting>
  <conditionalFormatting sqref="C1:C1048576">
    <cfRule type="containsText" dxfId="432" priority="37" operator="containsText" text="Special">
      <formula>NOT(ISERROR(SEARCH("Special",C1)))</formula>
    </cfRule>
    <cfRule type="containsText" dxfId="431" priority="38" operator="containsText" text="Physical">
      <formula>NOT(ISERROR(SEARCH("Physical",C1)))</formula>
    </cfRule>
    <cfRule type="containsText" dxfId="430" priority="39" operator="containsText" text="Status">
      <formula>NOT(ISERROR(SEARCH("Status",C1)))</formula>
    </cfRule>
  </conditionalFormatting>
  <conditionalFormatting sqref="D1:D1048576">
    <cfRule type="cellIs" dxfId="429" priority="23" operator="equal">
      <formula>"N/A"</formula>
    </cfRule>
    <cfRule type="cellIs" dxfId="428" priority="29" operator="between">
      <formula>85</formula>
      <formula>99</formula>
    </cfRule>
    <cfRule type="cellIs" dxfId="427" priority="30" operator="between">
      <formula>41</formula>
      <formula>84</formula>
    </cfRule>
    <cfRule type="cellIs" dxfId="426" priority="31" operator="between">
      <formula>1</formula>
      <formula>40</formula>
    </cfRule>
  </conditionalFormatting>
  <conditionalFormatting sqref="D2:D499">
    <cfRule type="cellIs" dxfId="425" priority="28" operator="greaterThanOrEqual">
      <formula>100</formula>
    </cfRule>
  </conditionalFormatting>
  <conditionalFormatting sqref="D3">
    <cfRule type="expression" dxfId="424" priority="12">
      <formula>INDIRECT("MovesChanged!D"&amp;ROW())&lt;&gt;INDIRECT("MovesBase!D"&amp;ROW())</formula>
    </cfRule>
  </conditionalFormatting>
  <conditionalFormatting sqref="E1:E1048576">
    <cfRule type="notContainsBlanks" dxfId="423" priority="60">
      <formula>LEN(TRIM(E1))&gt;0</formula>
    </cfRule>
  </conditionalFormatting>
  <conditionalFormatting sqref="F2:F20 F22:F1048576">
    <cfRule type="cellIs" dxfId="421" priority="20" operator="between">
      <formula>85</formula>
      <formula>99</formula>
    </cfRule>
  </conditionalFormatting>
  <conditionalFormatting sqref="F2:F1048576">
    <cfRule type="cellIs" dxfId="420" priority="6" operator="equal">
      <formula>"N/A"</formula>
    </cfRule>
    <cfRule type="cellIs" dxfId="419" priority="7" operator="equal">
      <formula>100</formula>
    </cfRule>
    <cfRule type="cellIs" dxfId="418" priority="8" operator="between">
      <formula>85</formula>
      <formula>99</formula>
    </cfRule>
    <cfRule type="cellIs" dxfId="417" priority="9" operator="between">
      <formula>41</formula>
      <formula>84</formula>
    </cfRule>
    <cfRule type="cellIs" dxfId="416" priority="10" operator="between">
      <formula>1</formula>
      <formula>40</formula>
    </cfRule>
  </conditionalFormatting>
  <conditionalFormatting sqref="G1:G1048576">
    <cfRule type="notContainsBlanks" dxfId="415" priority="61">
      <formula>LEN(TRIM(G1))&gt;0</formula>
    </cfRule>
  </conditionalFormatting>
  <conditionalFormatting sqref="H2:H1048576">
    <cfRule type="containsText" dxfId="414" priority="4" operator="containsText" text="All but User">
      <formula>NOT(ISERROR(SEARCH("All but User",H2)))</formula>
    </cfRule>
    <cfRule type="containsText" dxfId="413" priority="5" operator="containsText" text="All">
      <formula>NOT(ISERROR(SEARCH("All",H2)))</formula>
    </cfRule>
    <cfRule type="containsText" dxfId="412" priority="14" operator="containsText" text="Self">
      <formula>NOT(ISERROR(SEARCH("Self",H2)))</formula>
    </cfRule>
    <cfRule type="containsText" dxfId="411" priority="15" operator="containsText" text="Both">
      <formula>NOT(ISERROR(SEARCH("Both",H2)))</formula>
    </cfRule>
    <cfRule type="containsText" dxfId="410" priority="16" operator="containsText" text="Single">
      <formula>NOT(ISERROR(SEARCH("Single",H2)))</formula>
    </cfRule>
  </conditionalFormatting>
  <hyperlinks>
    <hyperlink ref="K1" r:id="rId1" xr:uid="{05945532-4DF9-45B8-B9CD-D226BA2C8B5A}"/>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containsText" priority="11" operator="containsText" id="{95EF93CB-F65E-4404-BBC1-07CDC0B339F9}">
            <xm:f>NOT(ISERROR(SEARCH("N/A",E2)))</xm:f>
            <xm:f>"N/A"</xm:f>
            <x14:dxf>
              <font>
                <color theme="0" tint="-0.14996795556505021"/>
              </font>
              <fill>
                <patternFill>
                  <bgColor theme="0" tint="-0.499984740745262"/>
                </patternFill>
              </fill>
            </x14:dxf>
          </x14:cfRule>
          <xm:sqref>E2:E1048576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074E2-272D-4504-A756-14E1BED1B99D}">
  <sheetPr>
    <tabColor rgb="FF735940"/>
  </sheetPr>
  <dimension ref="A1:F6"/>
  <sheetViews>
    <sheetView workbookViewId="0">
      <selection activeCell="C8" sqref="C8"/>
    </sheetView>
  </sheetViews>
  <sheetFormatPr defaultRowHeight="15" x14ac:dyDescent="0.25"/>
  <cols>
    <col min="1" max="1" width="18.140625" style="6" bestFit="1" customWidth="1"/>
    <col min="2" max="2" width="25.140625" style="6" bestFit="1" customWidth="1"/>
    <col min="3" max="3" width="21.28515625" style="6" bestFit="1" customWidth="1"/>
    <col min="4" max="16384" width="9.140625" style="6"/>
  </cols>
  <sheetData>
    <row r="1" spans="1:6" ht="15.75" x14ac:dyDescent="0.2">
      <c r="A1" s="44" t="s">
        <v>1</v>
      </c>
      <c r="B1" s="44" t="s">
        <v>714</v>
      </c>
      <c r="C1" s="44" t="s">
        <v>1477</v>
      </c>
      <c r="F1" s="12" t="s">
        <v>1088</v>
      </c>
    </row>
    <row r="2" spans="1:6" x14ac:dyDescent="0.25">
      <c r="A2" s="6" t="s">
        <v>1470</v>
      </c>
      <c r="B2" s="6" t="s">
        <v>1471</v>
      </c>
    </row>
    <row r="3" spans="1:6" x14ac:dyDescent="0.25">
      <c r="A3" s="6" t="s">
        <v>832</v>
      </c>
      <c r="B3" s="6" t="s">
        <v>1472</v>
      </c>
    </row>
    <row r="4" spans="1:6" x14ac:dyDescent="0.25">
      <c r="A4" s="6" t="s">
        <v>947</v>
      </c>
      <c r="B4" s="6" t="s">
        <v>1473</v>
      </c>
    </row>
    <row r="5" spans="1:6" x14ac:dyDescent="0.25">
      <c r="A5" s="6" t="s">
        <v>1474</v>
      </c>
      <c r="B5" s="6" t="s">
        <v>1476</v>
      </c>
      <c r="C5" s="6" t="s">
        <v>1478</v>
      </c>
    </row>
    <row r="6" spans="1:6" x14ac:dyDescent="0.25">
      <c r="A6" s="6" t="s">
        <v>1475</v>
      </c>
      <c r="B6" s="6" t="s">
        <v>1480</v>
      </c>
      <c r="C6" s="6" t="s">
        <v>1479</v>
      </c>
    </row>
  </sheetData>
  <conditionalFormatting sqref="A1:A1048576">
    <cfRule type="notContainsBlanks" dxfId="409" priority="7">
      <formula>LEN(TRIM(A1))&gt;0</formula>
    </cfRule>
  </conditionalFormatting>
  <conditionalFormatting sqref="B1:B1048576">
    <cfRule type="notContainsBlanks" dxfId="408" priority="6">
      <formula>LEN(TRIM(B1))&gt;0</formula>
    </cfRule>
  </conditionalFormatting>
  <conditionalFormatting sqref="C1:C1048576">
    <cfRule type="notContainsBlanks" dxfId="407" priority="8">
      <formula>LEN(TRIM(C1))&gt;0</formula>
    </cfRule>
  </conditionalFormatting>
  <hyperlinks>
    <hyperlink ref="F1" r:id="rId1" xr:uid="{B2993D39-CED7-424E-8959-9C2A45AD2A2C}"/>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41DDC-1B50-4568-8DB6-C856517E8E7F}">
  <sheetPr>
    <tabColor rgb="FFFFDE9C"/>
  </sheetPr>
  <dimension ref="A1:F116"/>
  <sheetViews>
    <sheetView workbookViewId="0">
      <selection activeCell="B2" sqref="B2"/>
    </sheetView>
  </sheetViews>
  <sheetFormatPr defaultRowHeight="15" x14ac:dyDescent="0.25"/>
  <cols>
    <col min="1" max="1" width="21.5703125" style="266" customWidth="1"/>
    <col min="2" max="2" width="58" style="266" bestFit="1" customWidth="1"/>
    <col min="3" max="3" width="51.140625" style="267" bestFit="1" customWidth="1"/>
    <col min="4" max="4" width="11.85546875" style="266" bestFit="1" customWidth="1"/>
    <col min="5" max="5" width="9.28515625" customWidth="1"/>
    <col min="6" max="6" width="53.140625" bestFit="1" customWidth="1"/>
  </cols>
  <sheetData>
    <row r="1" spans="1:6" ht="15.75" x14ac:dyDescent="0.25">
      <c r="A1" s="56" t="s">
        <v>1</v>
      </c>
      <c r="B1" s="58" t="s">
        <v>714</v>
      </c>
      <c r="C1" s="264" t="s">
        <v>1387</v>
      </c>
      <c r="D1" s="265" t="s">
        <v>1457</v>
      </c>
      <c r="F1" s="12" t="s">
        <v>1088</v>
      </c>
    </row>
    <row r="2" spans="1:6" x14ac:dyDescent="0.25">
      <c r="A2" s="55" t="s">
        <v>542</v>
      </c>
      <c r="B2" s="55" t="s">
        <v>1411</v>
      </c>
      <c r="C2" s="57" t="s">
        <v>1412</v>
      </c>
    </row>
    <row r="3" spans="1:6" ht="15.75" x14ac:dyDescent="0.25">
      <c r="A3" s="54" t="s">
        <v>1454</v>
      </c>
      <c r="B3" s="55" t="s">
        <v>1455</v>
      </c>
      <c r="C3" s="57" t="s">
        <v>1456</v>
      </c>
      <c r="D3" s="55" t="s">
        <v>445</v>
      </c>
      <c r="F3" s="6" t="s">
        <v>1461</v>
      </c>
    </row>
    <row r="4" spans="1:6" ht="15.75" x14ac:dyDescent="0.25">
      <c r="A4" s="54" t="s">
        <v>1458</v>
      </c>
      <c r="B4" s="55" t="s">
        <v>1459</v>
      </c>
      <c r="C4" s="57" t="s">
        <v>1460</v>
      </c>
      <c r="D4" s="55" t="s">
        <v>81</v>
      </c>
    </row>
    <row r="5" spans="1:6" ht="15.75" x14ac:dyDescent="0.25">
      <c r="A5" s="54" t="s">
        <v>1497</v>
      </c>
      <c r="B5" s="55" t="s">
        <v>1502</v>
      </c>
      <c r="C5" s="57"/>
      <c r="D5" s="55" t="s">
        <v>392</v>
      </c>
    </row>
    <row r="6" spans="1:6" ht="15.75" x14ac:dyDescent="0.25">
      <c r="A6" s="54" t="s">
        <v>1500</v>
      </c>
      <c r="B6" s="55" t="s">
        <v>1501</v>
      </c>
      <c r="C6" s="57"/>
      <c r="D6" s="55" t="s">
        <v>139</v>
      </c>
    </row>
    <row r="7" spans="1:6" ht="15.75" x14ac:dyDescent="0.25">
      <c r="A7" s="54" t="s">
        <v>1503</v>
      </c>
      <c r="B7" s="55" t="s">
        <v>1504</v>
      </c>
      <c r="C7" s="57"/>
      <c r="D7" s="55" t="s">
        <v>279</v>
      </c>
    </row>
    <row r="8" spans="1:6" x14ac:dyDescent="0.25">
      <c r="A8" s="55" t="s">
        <v>548</v>
      </c>
      <c r="B8" s="55" t="s">
        <v>1498</v>
      </c>
      <c r="C8" s="57" t="s">
        <v>1462</v>
      </c>
      <c r="D8" s="55"/>
    </row>
    <row r="9" spans="1:6" x14ac:dyDescent="0.25">
      <c r="A9" s="55" t="s">
        <v>589</v>
      </c>
      <c r="B9" s="55" t="s">
        <v>1492</v>
      </c>
      <c r="C9" s="57"/>
      <c r="D9" s="55"/>
    </row>
    <row r="10" spans="1:6" x14ac:dyDescent="0.25">
      <c r="A10" s="55" t="s">
        <v>905</v>
      </c>
      <c r="B10" s="55" t="s">
        <v>1491</v>
      </c>
      <c r="C10" s="57"/>
      <c r="D10" s="55"/>
    </row>
    <row r="11" spans="1:6" x14ac:dyDescent="0.25">
      <c r="A11" s="55" t="s">
        <v>1463</v>
      </c>
      <c r="B11" s="55" t="s">
        <v>1464</v>
      </c>
      <c r="C11" s="57"/>
      <c r="D11" s="55" t="s">
        <v>370</v>
      </c>
    </row>
    <row r="12" spans="1:6" x14ac:dyDescent="0.25">
      <c r="A12" s="55" t="s">
        <v>597</v>
      </c>
      <c r="B12" s="55" t="s">
        <v>1465</v>
      </c>
      <c r="C12" s="57"/>
      <c r="D12" s="55"/>
    </row>
    <row r="13" spans="1:6" x14ac:dyDescent="0.25">
      <c r="A13" s="55" t="s">
        <v>538</v>
      </c>
      <c r="B13" s="55" t="s">
        <v>1466</v>
      </c>
      <c r="C13" s="57" t="s">
        <v>1495</v>
      </c>
      <c r="D13" s="55"/>
    </row>
    <row r="14" spans="1:6" x14ac:dyDescent="0.25">
      <c r="A14" s="55" t="s">
        <v>1467</v>
      </c>
      <c r="B14" s="55" t="s">
        <v>1468</v>
      </c>
      <c r="C14" s="57" t="s">
        <v>1496</v>
      </c>
      <c r="D14" s="55"/>
    </row>
    <row r="15" spans="1:6" x14ac:dyDescent="0.25">
      <c r="A15" s="55" t="s">
        <v>1481</v>
      </c>
      <c r="B15" s="55" t="s">
        <v>1493</v>
      </c>
      <c r="C15" s="57"/>
      <c r="D15" s="55"/>
    </row>
    <row r="16" spans="1:6" x14ac:dyDescent="0.25">
      <c r="A16" s="55" t="s">
        <v>657</v>
      </c>
      <c r="B16" s="55" t="s">
        <v>1486</v>
      </c>
      <c r="C16" s="57" t="s">
        <v>1499</v>
      </c>
      <c r="D16" s="55"/>
    </row>
    <row r="17" spans="1:4" x14ac:dyDescent="0.25">
      <c r="A17" s="55" t="s">
        <v>1489</v>
      </c>
      <c r="B17" s="55" t="s">
        <v>1490</v>
      </c>
      <c r="C17" s="57"/>
      <c r="D17" s="55"/>
    </row>
    <row r="18" spans="1:4" x14ac:dyDescent="0.25">
      <c r="A18" s="55" t="s">
        <v>543</v>
      </c>
      <c r="B18" s="55" t="s">
        <v>1494</v>
      </c>
      <c r="C18" s="57"/>
      <c r="D18" s="55"/>
    </row>
    <row r="19" spans="1:4" x14ac:dyDescent="0.25">
      <c r="A19" s="55"/>
      <c r="B19" s="55"/>
      <c r="C19" s="57"/>
      <c r="D19" s="55"/>
    </row>
    <row r="20" spans="1:4" x14ac:dyDescent="0.25">
      <c r="A20" s="55"/>
      <c r="B20" s="55"/>
      <c r="C20" s="57"/>
      <c r="D20" s="55"/>
    </row>
    <row r="21" spans="1:4" x14ac:dyDescent="0.25">
      <c r="A21" s="55"/>
      <c r="B21" s="55"/>
      <c r="C21" s="57"/>
      <c r="D21" s="55"/>
    </row>
    <row r="22" spans="1:4" x14ac:dyDescent="0.25">
      <c r="A22" s="55"/>
      <c r="B22" s="55"/>
      <c r="C22" s="57"/>
      <c r="D22" s="55"/>
    </row>
    <row r="23" spans="1:4" x14ac:dyDescent="0.25">
      <c r="A23" s="55"/>
      <c r="B23" s="55"/>
      <c r="C23" s="57"/>
      <c r="D23" s="55"/>
    </row>
    <row r="24" spans="1:4" x14ac:dyDescent="0.25">
      <c r="A24" s="55"/>
      <c r="B24" s="55"/>
      <c r="C24" s="57"/>
      <c r="D24" s="55"/>
    </row>
    <row r="25" spans="1:4" x14ac:dyDescent="0.25">
      <c r="A25" s="55"/>
      <c r="B25" s="55"/>
      <c r="C25" s="57"/>
      <c r="D25" s="55"/>
    </row>
    <row r="26" spans="1:4" x14ac:dyDescent="0.25">
      <c r="A26" s="55"/>
      <c r="B26" s="55"/>
      <c r="C26" s="57"/>
      <c r="D26" s="55"/>
    </row>
    <row r="27" spans="1:4" x14ac:dyDescent="0.25">
      <c r="A27" s="55"/>
      <c r="B27" s="55"/>
      <c r="C27" s="57"/>
      <c r="D27" s="55"/>
    </row>
    <row r="28" spans="1:4" x14ac:dyDescent="0.25">
      <c r="A28" s="55"/>
      <c r="B28" s="55"/>
      <c r="C28" s="57"/>
      <c r="D28" s="55"/>
    </row>
    <row r="29" spans="1:4" x14ac:dyDescent="0.25">
      <c r="A29" s="55"/>
      <c r="B29" s="55"/>
      <c r="C29" s="57"/>
      <c r="D29" s="55"/>
    </row>
    <row r="30" spans="1:4" x14ac:dyDescent="0.25">
      <c r="A30" s="55"/>
      <c r="B30" s="55"/>
      <c r="C30" s="57"/>
      <c r="D30" s="55"/>
    </row>
    <row r="31" spans="1:4" x14ac:dyDescent="0.25">
      <c r="A31" s="55"/>
      <c r="B31" s="55"/>
      <c r="C31" s="57"/>
      <c r="D31" s="55"/>
    </row>
    <row r="32" spans="1:4" x14ac:dyDescent="0.25">
      <c r="A32" s="55"/>
      <c r="B32" s="55"/>
      <c r="C32" s="57"/>
      <c r="D32" s="55"/>
    </row>
    <row r="33" spans="1:4" x14ac:dyDescent="0.25">
      <c r="A33" s="55"/>
      <c r="B33" s="55"/>
      <c r="C33" s="57"/>
      <c r="D33" s="55"/>
    </row>
    <row r="34" spans="1:4" x14ac:dyDescent="0.25">
      <c r="A34" s="55"/>
      <c r="B34" s="55"/>
      <c r="C34" s="57"/>
      <c r="D34" s="55"/>
    </row>
    <row r="35" spans="1:4" x14ac:dyDescent="0.25">
      <c r="A35" s="55"/>
      <c r="B35" s="55"/>
      <c r="C35" s="57"/>
      <c r="D35" s="55"/>
    </row>
    <row r="36" spans="1:4" x14ac:dyDescent="0.25">
      <c r="A36" s="55"/>
      <c r="B36" s="55"/>
      <c r="C36" s="57"/>
      <c r="D36" s="55"/>
    </row>
    <row r="37" spans="1:4" x14ac:dyDescent="0.25">
      <c r="A37" s="55"/>
      <c r="B37" s="55"/>
      <c r="C37" s="57"/>
      <c r="D37" s="55"/>
    </row>
    <row r="38" spans="1:4" x14ac:dyDescent="0.25">
      <c r="A38" s="55"/>
      <c r="B38" s="55"/>
      <c r="C38" s="57"/>
      <c r="D38" s="55"/>
    </row>
    <row r="39" spans="1:4" x14ac:dyDescent="0.25">
      <c r="A39" s="55"/>
      <c r="B39" s="55"/>
      <c r="C39" s="57"/>
      <c r="D39" s="55"/>
    </row>
    <row r="40" spans="1:4" x14ac:dyDescent="0.25">
      <c r="A40" s="55"/>
      <c r="B40" s="55"/>
      <c r="C40" s="57"/>
      <c r="D40" s="55"/>
    </row>
    <row r="41" spans="1:4" x14ac:dyDescent="0.25">
      <c r="A41" s="55"/>
      <c r="B41" s="55"/>
      <c r="C41" s="57"/>
      <c r="D41" s="55"/>
    </row>
    <row r="42" spans="1:4" x14ac:dyDescent="0.25">
      <c r="A42" s="55"/>
      <c r="B42" s="55"/>
      <c r="C42" s="57"/>
      <c r="D42" s="55"/>
    </row>
    <row r="43" spans="1:4" x14ac:dyDescent="0.25">
      <c r="A43" s="55"/>
      <c r="C43" s="57"/>
      <c r="D43" s="55"/>
    </row>
    <row r="44" spans="1:4" x14ac:dyDescent="0.25">
      <c r="A44" s="55"/>
      <c r="C44" s="57"/>
      <c r="D44" s="55"/>
    </row>
    <row r="45" spans="1:4" x14ac:dyDescent="0.25">
      <c r="A45" s="55"/>
      <c r="C45" s="57"/>
      <c r="D45" s="55"/>
    </row>
    <row r="46" spans="1:4" x14ac:dyDescent="0.25">
      <c r="A46" s="55"/>
      <c r="C46" s="57"/>
      <c r="D46" s="55"/>
    </row>
    <row r="47" spans="1:4" x14ac:dyDescent="0.25">
      <c r="A47" s="55"/>
      <c r="C47" s="57"/>
      <c r="D47" s="55"/>
    </row>
    <row r="48" spans="1:4" x14ac:dyDescent="0.25">
      <c r="A48" s="55"/>
      <c r="C48" s="57"/>
      <c r="D48" s="55"/>
    </row>
    <row r="49" spans="1:4" x14ac:dyDescent="0.25">
      <c r="A49" s="55"/>
      <c r="C49" s="57"/>
      <c r="D49" s="55"/>
    </row>
    <row r="50" spans="1:4" x14ac:dyDescent="0.25">
      <c r="A50" s="55"/>
      <c r="C50" s="57"/>
      <c r="D50" s="55"/>
    </row>
    <row r="51" spans="1:4" x14ac:dyDescent="0.25">
      <c r="A51" s="55"/>
      <c r="C51" s="57"/>
      <c r="D51" s="55"/>
    </row>
    <row r="52" spans="1:4" x14ac:dyDescent="0.25">
      <c r="A52" s="55"/>
      <c r="C52" s="57"/>
      <c r="D52" s="55"/>
    </row>
    <row r="53" spans="1:4" x14ac:dyDescent="0.25">
      <c r="A53" s="55"/>
      <c r="C53" s="57"/>
      <c r="D53" s="55"/>
    </row>
    <row r="54" spans="1:4" x14ac:dyDescent="0.25">
      <c r="A54" s="55"/>
      <c r="C54" s="57"/>
      <c r="D54" s="55"/>
    </row>
    <row r="55" spans="1:4" x14ac:dyDescent="0.25">
      <c r="A55" s="55"/>
      <c r="C55" s="57"/>
      <c r="D55" s="55"/>
    </row>
    <row r="56" spans="1:4" x14ac:dyDescent="0.25">
      <c r="A56" s="55"/>
      <c r="C56" s="57"/>
      <c r="D56" s="55"/>
    </row>
    <row r="57" spans="1:4" x14ac:dyDescent="0.25">
      <c r="A57" s="55"/>
      <c r="C57" s="57"/>
      <c r="D57" s="55"/>
    </row>
    <row r="58" spans="1:4" x14ac:dyDescent="0.25">
      <c r="A58" s="55"/>
      <c r="C58" s="57"/>
      <c r="D58" s="55"/>
    </row>
    <row r="59" spans="1:4" x14ac:dyDescent="0.25">
      <c r="A59" s="55"/>
      <c r="C59" s="57"/>
      <c r="D59" s="55"/>
    </row>
    <row r="60" spans="1:4" x14ac:dyDescent="0.25">
      <c r="A60" s="55"/>
      <c r="C60" s="57"/>
      <c r="D60" s="55"/>
    </row>
    <row r="61" spans="1:4" x14ac:dyDescent="0.25">
      <c r="A61" s="55"/>
      <c r="D61" s="55"/>
    </row>
    <row r="62" spans="1:4" x14ac:dyDescent="0.25">
      <c r="A62" s="55"/>
      <c r="D62" s="55"/>
    </row>
    <row r="63" spans="1:4" x14ac:dyDescent="0.25">
      <c r="A63" s="55"/>
      <c r="D63" s="55"/>
    </row>
    <row r="64" spans="1:4" x14ac:dyDescent="0.25">
      <c r="A64" s="55"/>
      <c r="D64" s="55"/>
    </row>
    <row r="65" spans="1:4" x14ac:dyDescent="0.25">
      <c r="A65" s="55"/>
      <c r="D65" s="55"/>
    </row>
    <row r="66" spans="1:4" x14ac:dyDescent="0.25">
      <c r="A66" s="55"/>
      <c r="D66" s="55"/>
    </row>
    <row r="67" spans="1:4" x14ac:dyDescent="0.25">
      <c r="A67" s="55"/>
      <c r="D67" s="55"/>
    </row>
    <row r="68" spans="1:4" x14ac:dyDescent="0.25">
      <c r="A68" s="55"/>
    </row>
    <row r="69" spans="1:4" x14ac:dyDescent="0.25">
      <c r="A69" s="55"/>
    </row>
    <row r="70" spans="1:4" x14ac:dyDescent="0.25">
      <c r="A70" s="55"/>
    </row>
    <row r="71" spans="1:4" x14ac:dyDescent="0.25">
      <c r="A71" s="55"/>
    </row>
    <row r="72" spans="1:4" x14ac:dyDescent="0.25">
      <c r="A72" s="55"/>
    </row>
    <row r="73" spans="1:4" x14ac:dyDescent="0.25">
      <c r="A73" s="55"/>
    </row>
    <row r="74" spans="1:4" x14ac:dyDescent="0.25">
      <c r="A74" s="55"/>
    </row>
    <row r="75" spans="1:4" x14ac:dyDescent="0.25">
      <c r="A75" s="55"/>
    </row>
    <row r="76" spans="1:4" x14ac:dyDescent="0.25">
      <c r="A76" s="55"/>
    </row>
    <row r="77" spans="1:4" x14ac:dyDescent="0.25">
      <c r="A77" s="55"/>
    </row>
    <row r="78" spans="1:4" x14ac:dyDescent="0.25">
      <c r="A78" s="55"/>
    </row>
    <row r="79" spans="1:4" x14ac:dyDescent="0.25">
      <c r="A79" s="55"/>
    </row>
    <row r="80" spans="1:4" x14ac:dyDescent="0.25">
      <c r="A80" s="55"/>
    </row>
    <row r="81" spans="1:1" x14ac:dyDescent="0.25">
      <c r="A81" s="55"/>
    </row>
    <row r="82" spans="1:1" x14ac:dyDescent="0.25">
      <c r="A82" s="55"/>
    </row>
    <row r="83" spans="1:1" x14ac:dyDescent="0.25">
      <c r="A83" s="55"/>
    </row>
    <row r="84" spans="1:1" x14ac:dyDescent="0.25">
      <c r="A84" s="55"/>
    </row>
    <row r="85" spans="1:1" x14ac:dyDescent="0.25">
      <c r="A85" s="55"/>
    </row>
    <row r="86" spans="1:1" x14ac:dyDescent="0.25">
      <c r="A86" s="55"/>
    </row>
    <row r="87" spans="1:1" x14ac:dyDescent="0.25">
      <c r="A87" s="55"/>
    </row>
    <row r="88" spans="1:1" x14ac:dyDescent="0.25">
      <c r="A88" s="55"/>
    </row>
    <row r="89" spans="1:1" x14ac:dyDescent="0.25">
      <c r="A89" s="55"/>
    </row>
    <row r="90" spans="1:1" x14ac:dyDescent="0.25">
      <c r="A90" s="55"/>
    </row>
    <row r="91" spans="1:1" x14ac:dyDescent="0.25">
      <c r="A91" s="55"/>
    </row>
    <row r="92" spans="1:1" x14ac:dyDescent="0.25">
      <c r="A92" s="55"/>
    </row>
    <row r="93" spans="1:1" x14ac:dyDescent="0.25">
      <c r="A93" s="55"/>
    </row>
    <row r="94" spans="1:1" x14ac:dyDescent="0.25">
      <c r="A94" s="55"/>
    </row>
    <row r="95" spans="1:1" x14ac:dyDescent="0.25">
      <c r="A95" s="55"/>
    </row>
    <row r="96" spans="1:1" x14ac:dyDescent="0.25">
      <c r="A96" s="55"/>
    </row>
    <row r="97" spans="1:1" x14ac:dyDescent="0.25">
      <c r="A97" s="55"/>
    </row>
    <row r="98" spans="1:1" x14ac:dyDescent="0.25">
      <c r="A98" s="55"/>
    </row>
    <row r="99" spans="1:1" x14ac:dyDescent="0.25">
      <c r="A99" s="55"/>
    </row>
    <row r="100" spans="1:1" x14ac:dyDescent="0.25">
      <c r="A100" s="55"/>
    </row>
    <row r="101" spans="1:1" x14ac:dyDescent="0.25">
      <c r="A101" s="55"/>
    </row>
    <row r="102" spans="1:1" x14ac:dyDescent="0.25">
      <c r="A102" s="55"/>
    </row>
    <row r="103" spans="1:1" x14ac:dyDescent="0.25">
      <c r="A103" s="55"/>
    </row>
    <row r="104" spans="1:1" x14ac:dyDescent="0.25">
      <c r="A104" s="55"/>
    </row>
    <row r="105" spans="1:1" x14ac:dyDescent="0.25">
      <c r="A105" s="55"/>
    </row>
    <row r="106" spans="1:1" x14ac:dyDescent="0.25">
      <c r="A106" s="55"/>
    </row>
    <row r="107" spans="1:1" x14ac:dyDescent="0.25">
      <c r="A107" s="55"/>
    </row>
    <row r="108" spans="1:1" x14ac:dyDescent="0.25">
      <c r="A108" s="55"/>
    </row>
    <row r="109" spans="1:1" x14ac:dyDescent="0.25">
      <c r="A109" s="55"/>
    </row>
    <row r="110" spans="1:1" x14ac:dyDescent="0.25">
      <c r="A110" s="55"/>
    </row>
    <row r="111" spans="1:1" x14ac:dyDescent="0.25">
      <c r="A111" s="55"/>
    </row>
    <row r="112" spans="1:1" x14ac:dyDescent="0.25">
      <c r="A112" s="55"/>
    </row>
    <row r="113" spans="1:1" x14ac:dyDescent="0.25">
      <c r="A113" s="55"/>
    </row>
    <row r="114" spans="1:1" x14ac:dyDescent="0.25">
      <c r="A114" s="55"/>
    </row>
    <row r="115" spans="1:1" x14ac:dyDescent="0.25">
      <c r="A115" s="55"/>
    </row>
    <row r="116" spans="1:1" x14ac:dyDescent="0.25">
      <c r="A116" s="55"/>
    </row>
  </sheetData>
  <phoneticPr fontId="15" type="noConversion"/>
  <conditionalFormatting sqref="A1:A1048576">
    <cfRule type="notContainsBlanks" dxfId="406" priority="8">
      <formula>LEN(TRIM(A1))&gt;0</formula>
    </cfRule>
  </conditionalFormatting>
  <conditionalFormatting sqref="B1:B1048576">
    <cfRule type="notContainsBlanks" dxfId="405" priority="9">
      <formula>LEN(TRIM(B1))&gt;0</formula>
    </cfRule>
  </conditionalFormatting>
  <conditionalFormatting sqref="C1:C1048576">
    <cfRule type="notContainsBlanks" dxfId="404" priority="10">
      <formula>LEN(TRIM(C1))&gt;0</formula>
    </cfRule>
  </conditionalFormatting>
  <conditionalFormatting sqref="D1:D1048576">
    <cfRule type="notContainsBlanks" dxfId="403" priority="11">
      <formula>LEN(TRIM(D1))&gt;0</formula>
    </cfRule>
  </conditionalFormatting>
  <hyperlinks>
    <hyperlink ref="F1" r:id="rId1" xr:uid="{BDE6151A-868F-4193-89E2-31738387AE9B}"/>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51106-26D1-4BA1-ACCB-4FC26B0D94C1}">
  <sheetPr>
    <tabColor rgb="FFB4CDF6"/>
  </sheetPr>
  <dimension ref="A1:G1"/>
  <sheetViews>
    <sheetView workbookViewId="0">
      <selection activeCell="G1" sqref="G1"/>
    </sheetView>
  </sheetViews>
  <sheetFormatPr defaultRowHeight="15" x14ac:dyDescent="0.25"/>
  <cols>
    <col min="1" max="1" width="10" style="45" bestFit="1" customWidth="1"/>
    <col min="2" max="2" width="9.140625" style="45" customWidth="1"/>
    <col min="3" max="3" width="10.85546875" style="6" bestFit="1" customWidth="1"/>
    <col min="4" max="6" width="9.140625" style="6"/>
    <col min="7" max="7" width="60.140625" style="6" customWidth="1"/>
    <col min="8" max="16384" width="9.140625" style="6"/>
  </cols>
  <sheetData>
    <row r="1" spans="1:7" ht="15.75" x14ac:dyDescent="0.2">
      <c r="A1" s="43" t="s">
        <v>718</v>
      </c>
      <c r="B1" s="199" t="s">
        <v>1</v>
      </c>
      <c r="C1" s="200" t="s">
        <v>719</v>
      </c>
      <c r="G1" s="12" t="s">
        <v>1088</v>
      </c>
    </row>
  </sheetData>
  <conditionalFormatting sqref="A1:A1048576">
    <cfRule type="notContainsBlanks" dxfId="402" priority="4">
      <formula>LEN(TRIM(A1))&gt;0</formula>
    </cfRule>
  </conditionalFormatting>
  <conditionalFormatting sqref="B1:B1048576">
    <cfRule type="notContainsBlanks" dxfId="401" priority="6">
      <formula>LEN(TRIM(B1))&gt;0</formula>
    </cfRule>
  </conditionalFormatting>
  <conditionalFormatting sqref="C1">
    <cfRule type="notContainsBlanks" dxfId="400" priority="7">
      <formula>LEN(TRIM(C1))&gt;0</formula>
    </cfRule>
  </conditionalFormatting>
  <hyperlinks>
    <hyperlink ref="G1" r:id="rId1" xr:uid="{199869A8-CB55-4401-8CF0-97BAAE46FB29}"/>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083C5-5818-4591-B4E3-C22BC1A42080}">
  <sheetPr>
    <tabColor rgb="FFF6C573"/>
  </sheetPr>
  <dimension ref="A1:C6"/>
  <sheetViews>
    <sheetView workbookViewId="0">
      <selection activeCell="B2" sqref="B2"/>
    </sheetView>
  </sheetViews>
  <sheetFormatPr defaultRowHeight="15" x14ac:dyDescent="0.25"/>
  <cols>
    <col min="1" max="1" width="16.7109375" customWidth="1"/>
    <col min="2" max="2" width="81" bestFit="1" customWidth="1"/>
  </cols>
  <sheetData>
    <row r="1" spans="1:3" ht="15.75" x14ac:dyDescent="0.25">
      <c r="A1" s="44" t="s">
        <v>1</v>
      </c>
      <c r="B1" s="44" t="s">
        <v>1484</v>
      </c>
      <c r="C1" s="44"/>
    </row>
    <row r="2" spans="1:3" x14ac:dyDescent="0.25">
      <c r="A2" s="6" t="s">
        <v>1483</v>
      </c>
      <c r="B2" s="6" t="s">
        <v>1485</v>
      </c>
      <c r="C2" s="6"/>
    </row>
    <row r="3" spans="1:3" x14ac:dyDescent="0.25">
      <c r="A3" s="6"/>
      <c r="B3" s="6"/>
      <c r="C3" s="6"/>
    </row>
    <row r="4" spans="1:3" x14ac:dyDescent="0.25">
      <c r="A4" s="6"/>
      <c r="B4" s="6"/>
      <c r="C4" s="6"/>
    </row>
    <row r="5" spans="1:3" x14ac:dyDescent="0.25">
      <c r="A5" s="6"/>
      <c r="B5" s="6"/>
      <c r="C5" s="6"/>
    </row>
    <row r="6" spans="1:3" x14ac:dyDescent="0.25">
      <c r="A6" s="6"/>
      <c r="B6" s="6"/>
      <c r="C6" s="6"/>
    </row>
  </sheetData>
  <conditionalFormatting sqref="A1:A6">
    <cfRule type="notContainsBlanks" dxfId="399" priority="4">
      <formula>LEN(TRIM(A1))&gt;0</formula>
    </cfRule>
  </conditionalFormatting>
  <conditionalFormatting sqref="B1:B1048576">
    <cfRule type="notContainsBlanks" dxfId="398" priority="5">
      <formula>LEN(TRIM(B1))&gt;0</formula>
    </cfRule>
  </conditionalFormatting>
  <conditionalFormatting sqref="C1:C6">
    <cfRule type="notContainsBlanks" dxfId="397" priority="3">
      <formula>LEN(TRIM(C1))&gt;0</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5D609-7E83-4B88-8D33-CED72E8CFAA9}">
  <sheetPr>
    <tabColor rgb="FFB24542"/>
  </sheetPr>
  <dimension ref="A1:V28"/>
  <sheetViews>
    <sheetView workbookViewId="0">
      <selection activeCell="C25" sqref="C25"/>
    </sheetView>
  </sheetViews>
  <sheetFormatPr defaultColWidth="16.7109375" defaultRowHeight="15" x14ac:dyDescent="0.2"/>
  <cols>
    <col min="1" max="1" width="14.7109375" style="40" customWidth="1"/>
    <col min="2" max="2" width="14.140625" style="40" customWidth="1"/>
    <col min="3" max="20" width="12.7109375" style="40" customWidth="1"/>
    <col min="21" max="21" width="16.7109375" style="40"/>
    <col min="22" max="22" width="27.5703125" style="40" customWidth="1"/>
    <col min="23" max="16384" width="16.7109375" style="40"/>
  </cols>
  <sheetData>
    <row r="1" spans="1:22" ht="33" customHeight="1" thickBot="1" x14ac:dyDescent="0.25">
      <c r="A1" s="286"/>
      <c r="B1" s="287"/>
      <c r="C1" s="290" t="s">
        <v>687</v>
      </c>
      <c r="D1" s="291"/>
      <c r="E1" s="291"/>
      <c r="F1" s="291"/>
      <c r="G1" s="291"/>
      <c r="H1" s="291"/>
      <c r="I1" s="291"/>
      <c r="J1" s="291"/>
      <c r="K1" s="291"/>
      <c r="L1" s="291"/>
      <c r="M1" s="291"/>
      <c r="N1" s="291"/>
      <c r="O1" s="291"/>
      <c r="P1" s="291"/>
      <c r="Q1" s="291"/>
      <c r="R1" s="291"/>
      <c r="S1" s="291"/>
      <c r="T1" s="211"/>
      <c r="V1" s="41" t="s">
        <v>688</v>
      </c>
    </row>
    <row r="2" spans="1:22" ht="32.25" thickBot="1" x14ac:dyDescent="0.25">
      <c r="A2" s="288"/>
      <c r="B2" s="289"/>
      <c r="C2" s="20" t="s">
        <v>689</v>
      </c>
      <c r="D2" s="21" t="s">
        <v>690</v>
      </c>
      <c r="E2" s="22" t="s">
        <v>691</v>
      </c>
      <c r="F2" s="23" t="s">
        <v>692</v>
      </c>
      <c r="G2" s="24" t="s">
        <v>693</v>
      </c>
      <c r="H2" s="25" t="s">
        <v>694</v>
      </c>
      <c r="I2" s="26" t="s">
        <v>695</v>
      </c>
      <c r="J2" s="27" t="s">
        <v>696</v>
      </c>
      <c r="K2" s="28" t="s">
        <v>697</v>
      </c>
      <c r="L2" s="29" t="s">
        <v>698</v>
      </c>
      <c r="M2" s="30" t="s">
        <v>699</v>
      </c>
      <c r="N2" s="31" t="s">
        <v>700</v>
      </c>
      <c r="O2" s="32" t="s">
        <v>701</v>
      </c>
      <c r="P2" s="33" t="s">
        <v>702</v>
      </c>
      <c r="Q2" s="34" t="s">
        <v>703</v>
      </c>
      <c r="R2" s="35" t="s">
        <v>704</v>
      </c>
      <c r="S2" s="206" t="s">
        <v>705</v>
      </c>
      <c r="T2" s="211"/>
      <c r="V2" s="42"/>
    </row>
    <row r="3" spans="1:22" ht="16.5" customHeight="1" thickBot="1" x14ac:dyDescent="0.25">
      <c r="A3" s="292" t="s">
        <v>706</v>
      </c>
      <c r="B3" s="20" t="s">
        <v>689</v>
      </c>
      <c r="C3" s="36" t="s">
        <v>707</v>
      </c>
      <c r="D3" s="36" t="s">
        <v>707</v>
      </c>
      <c r="E3" s="36" t="s">
        <v>707</v>
      </c>
      <c r="F3" s="36" t="s">
        <v>707</v>
      </c>
      <c r="G3" s="36" t="s">
        <v>707</v>
      </c>
      <c r="H3" s="37" t="s">
        <v>708</v>
      </c>
      <c r="I3" s="36" t="s">
        <v>707</v>
      </c>
      <c r="J3" s="38" t="s">
        <v>709</v>
      </c>
      <c r="K3" s="37" t="s">
        <v>708</v>
      </c>
      <c r="L3" s="36" t="s">
        <v>707</v>
      </c>
      <c r="M3" s="36" t="s">
        <v>707</v>
      </c>
      <c r="N3" s="36" t="s">
        <v>707</v>
      </c>
      <c r="O3" s="36" t="s">
        <v>707</v>
      </c>
      <c r="P3" s="36" t="s">
        <v>707</v>
      </c>
      <c r="Q3" s="36" t="s">
        <v>707</v>
      </c>
      <c r="R3" s="36" t="s">
        <v>707</v>
      </c>
      <c r="S3" s="207" t="s">
        <v>707</v>
      </c>
      <c r="T3" s="212"/>
    </row>
    <row r="4" spans="1:22" ht="16.5" thickBot="1" x14ac:dyDescent="0.25">
      <c r="A4" s="293"/>
      <c r="B4" s="21" t="s">
        <v>690</v>
      </c>
      <c r="C4" s="39" t="s">
        <v>710</v>
      </c>
      <c r="D4" s="36" t="s">
        <v>707</v>
      </c>
      <c r="E4" s="37" t="s">
        <v>708</v>
      </c>
      <c r="F4" s="37" t="s">
        <v>708</v>
      </c>
      <c r="G4" s="36" t="s">
        <v>707</v>
      </c>
      <c r="H4" s="39" t="s">
        <v>710</v>
      </c>
      <c r="I4" s="37" t="s">
        <v>708</v>
      </c>
      <c r="J4" s="38" t="s">
        <v>709</v>
      </c>
      <c r="K4" s="39" t="s">
        <v>710</v>
      </c>
      <c r="L4" s="36" t="s">
        <v>707</v>
      </c>
      <c r="M4" s="36" t="s">
        <v>707</v>
      </c>
      <c r="N4" s="36" t="s">
        <v>707</v>
      </c>
      <c r="O4" s="36" t="s">
        <v>707</v>
      </c>
      <c r="P4" s="37" t="s">
        <v>708</v>
      </c>
      <c r="Q4" s="39" t="s">
        <v>710</v>
      </c>
      <c r="R4" s="36" t="s">
        <v>707</v>
      </c>
      <c r="S4" s="208" t="s">
        <v>710</v>
      </c>
      <c r="T4" s="212"/>
    </row>
    <row r="5" spans="1:22" ht="16.5" thickBot="1" x14ac:dyDescent="0.25">
      <c r="A5" s="293"/>
      <c r="B5" s="22" t="s">
        <v>691</v>
      </c>
      <c r="C5" s="36" t="s">
        <v>707</v>
      </c>
      <c r="D5" s="39" t="s">
        <v>710</v>
      </c>
      <c r="E5" s="36" t="s">
        <v>707</v>
      </c>
      <c r="F5" s="36" t="s">
        <v>707</v>
      </c>
      <c r="G5" s="36" t="s">
        <v>707</v>
      </c>
      <c r="H5" s="37" t="s">
        <v>708</v>
      </c>
      <c r="I5" s="39" t="s">
        <v>710</v>
      </c>
      <c r="J5" s="36" t="s">
        <v>707</v>
      </c>
      <c r="K5" s="37" t="s">
        <v>708</v>
      </c>
      <c r="L5" s="36" t="s">
        <v>707</v>
      </c>
      <c r="M5" s="36" t="s">
        <v>707</v>
      </c>
      <c r="N5" s="39" t="s">
        <v>710</v>
      </c>
      <c r="O5" s="37" t="s">
        <v>708</v>
      </c>
      <c r="P5" s="36" t="s">
        <v>707</v>
      </c>
      <c r="Q5" s="36" t="s">
        <v>707</v>
      </c>
      <c r="R5" s="36" t="s">
        <v>707</v>
      </c>
      <c r="S5" s="207" t="s">
        <v>707</v>
      </c>
      <c r="T5" s="212"/>
    </row>
    <row r="6" spans="1:22" ht="16.5" thickBot="1" x14ac:dyDescent="0.25">
      <c r="A6" s="293"/>
      <c r="B6" s="23" t="s">
        <v>692</v>
      </c>
      <c r="C6" s="36" t="s">
        <v>707</v>
      </c>
      <c r="D6" s="36" t="s">
        <v>707</v>
      </c>
      <c r="E6" s="36" t="s">
        <v>707</v>
      </c>
      <c r="F6" s="37" t="s">
        <v>708</v>
      </c>
      <c r="G6" s="37" t="s">
        <v>708</v>
      </c>
      <c r="H6" s="37" t="s">
        <v>708</v>
      </c>
      <c r="I6" s="36" t="s">
        <v>707</v>
      </c>
      <c r="J6" s="37" t="s">
        <v>708</v>
      </c>
      <c r="K6" s="38" t="s">
        <v>709</v>
      </c>
      <c r="L6" s="36" t="s">
        <v>707</v>
      </c>
      <c r="M6" s="39" t="s">
        <v>710</v>
      </c>
      <c r="N6" s="39" t="s">
        <v>710</v>
      </c>
      <c r="O6" s="36" t="s">
        <v>707</v>
      </c>
      <c r="P6" s="36" t="s">
        <v>707</v>
      </c>
      <c r="Q6" s="36" t="s">
        <v>707</v>
      </c>
      <c r="R6" s="36" t="s">
        <v>707</v>
      </c>
      <c r="S6" s="207" t="s">
        <v>707</v>
      </c>
      <c r="T6" s="212"/>
    </row>
    <row r="7" spans="1:22" ht="16.5" thickBot="1" x14ac:dyDescent="0.25">
      <c r="A7" s="293"/>
      <c r="B7" s="24" t="s">
        <v>693</v>
      </c>
      <c r="C7" s="36" t="s">
        <v>707</v>
      </c>
      <c r="D7" s="36" t="s">
        <v>707</v>
      </c>
      <c r="E7" s="38" t="s">
        <v>709</v>
      </c>
      <c r="F7" s="39" t="s">
        <v>710</v>
      </c>
      <c r="G7" s="36" t="s">
        <v>707</v>
      </c>
      <c r="H7" s="39" t="s">
        <v>710</v>
      </c>
      <c r="I7" s="37" t="s">
        <v>708</v>
      </c>
      <c r="J7" s="36" t="s">
        <v>707</v>
      </c>
      <c r="K7" s="39" t="s">
        <v>710</v>
      </c>
      <c r="L7" s="39" t="s">
        <v>710</v>
      </c>
      <c r="M7" s="36" t="s">
        <v>707</v>
      </c>
      <c r="N7" s="37" t="s">
        <v>708</v>
      </c>
      <c r="O7" s="39" t="s">
        <v>710</v>
      </c>
      <c r="P7" s="36" t="s">
        <v>707</v>
      </c>
      <c r="Q7" s="36" t="s">
        <v>707</v>
      </c>
      <c r="R7" s="36" t="s">
        <v>707</v>
      </c>
      <c r="S7" s="207" t="s">
        <v>707</v>
      </c>
      <c r="T7" s="212"/>
    </row>
    <row r="8" spans="1:22" ht="16.5" thickBot="1" x14ac:dyDescent="0.25">
      <c r="A8" s="293"/>
      <c r="B8" s="25" t="s">
        <v>694</v>
      </c>
      <c r="C8" s="36" t="s">
        <v>707</v>
      </c>
      <c r="D8" s="37" t="s">
        <v>708</v>
      </c>
      <c r="E8" s="39" t="s">
        <v>710</v>
      </c>
      <c r="F8" s="36" t="s">
        <v>707</v>
      </c>
      <c r="G8" s="37" t="s">
        <v>708</v>
      </c>
      <c r="H8" s="36" t="s">
        <v>707</v>
      </c>
      <c r="I8" s="39" t="s">
        <v>710</v>
      </c>
      <c r="J8" s="36"/>
      <c r="K8" s="37" t="s">
        <v>708</v>
      </c>
      <c r="L8" s="39" t="s">
        <v>710</v>
      </c>
      <c r="M8" s="36" t="s">
        <v>707</v>
      </c>
      <c r="N8" s="36" t="s">
        <v>707</v>
      </c>
      <c r="O8" s="36" t="s">
        <v>707</v>
      </c>
      <c r="P8" s="36" t="s">
        <v>707</v>
      </c>
      <c r="Q8" s="39" t="s">
        <v>710</v>
      </c>
      <c r="R8" s="36" t="s">
        <v>707</v>
      </c>
      <c r="S8" s="207" t="s">
        <v>707</v>
      </c>
      <c r="T8" s="212"/>
    </row>
    <row r="9" spans="1:22" ht="16.5" thickBot="1" x14ac:dyDescent="0.25">
      <c r="A9" s="293"/>
      <c r="B9" s="26" t="s">
        <v>695</v>
      </c>
      <c r="C9" s="36" t="s">
        <v>707</v>
      </c>
      <c r="D9" s="37" t="s">
        <v>708</v>
      </c>
      <c r="E9" s="37" t="s">
        <v>708</v>
      </c>
      <c r="F9" s="37" t="s">
        <v>708</v>
      </c>
      <c r="G9" s="36" t="s">
        <v>707</v>
      </c>
      <c r="H9" s="36" t="s">
        <v>707</v>
      </c>
      <c r="I9" s="36" t="s">
        <v>707</v>
      </c>
      <c r="J9" s="37" t="s">
        <v>708</v>
      </c>
      <c r="K9" s="37" t="s">
        <v>708</v>
      </c>
      <c r="L9" s="37" t="s">
        <v>708</v>
      </c>
      <c r="M9" s="36" t="s">
        <v>707</v>
      </c>
      <c r="N9" s="39" t="s">
        <v>710</v>
      </c>
      <c r="O9" s="36" t="s">
        <v>707</v>
      </c>
      <c r="P9" s="39" t="s">
        <v>710</v>
      </c>
      <c r="Q9" s="36" t="s">
        <v>707</v>
      </c>
      <c r="R9" s="36" t="s">
        <v>707</v>
      </c>
      <c r="S9" s="208" t="s">
        <v>710</v>
      </c>
      <c r="T9" s="212"/>
    </row>
    <row r="10" spans="1:22" ht="16.5" thickBot="1" x14ac:dyDescent="0.25">
      <c r="A10" s="293"/>
      <c r="B10" s="27" t="s">
        <v>696</v>
      </c>
      <c r="C10" s="38" t="s">
        <v>709</v>
      </c>
      <c r="D10" s="36" t="s">
        <v>707</v>
      </c>
      <c r="E10" s="36" t="s">
        <v>707</v>
      </c>
      <c r="F10" s="36" t="s">
        <v>707</v>
      </c>
      <c r="G10" s="36" t="s">
        <v>707</v>
      </c>
      <c r="H10" s="36" t="s">
        <v>707</v>
      </c>
      <c r="I10" s="36" t="s">
        <v>707</v>
      </c>
      <c r="J10" s="39" t="s">
        <v>710</v>
      </c>
      <c r="K10" s="36" t="s">
        <v>707</v>
      </c>
      <c r="L10" s="36" t="s">
        <v>707</v>
      </c>
      <c r="M10" s="36" t="s">
        <v>707</v>
      </c>
      <c r="N10" s="36" t="s">
        <v>707</v>
      </c>
      <c r="O10" s="36" t="s">
        <v>707</v>
      </c>
      <c r="P10" s="39" t="s">
        <v>710</v>
      </c>
      <c r="Q10" s="36" t="s">
        <v>707</v>
      </c>
      <c r="R10" s="36" t="s">
        <v>707</v>
      </c>
      <c r="S10" s="209" t="s">
        <v>708</v>
      </c>
      <c r="T10" s="212"/>
    </row>
    <row r="11" spans="1:22" ht="16.5" thickBot="1" x14ac:dyDescent="0.25">
      <c r="A11" s="293"/>
      <c r="B11" s="28" t="s">
        <v>697</v>
      </c>
      <c r="C11" s="36" t="s">
        <v>707</v>
      </c>
      <c r="D11" s="36" t="s">
        <v>707</v>
      </c>
      <c r="E11" s="36" t="s">
        <v>707</v>
      </c>
      <c r="F11" s="36" t="s">
        <v>707</v>
      </c>
      <c r="G11" s="36" t="s">
        <v>707</v>
      </c>
      <c r="H11" s="39" t="s">
        <v>710</v>
      </c>
      <c r="I11" s="36" t="s">
        <v>707</v>
      </c>
      <c r="J11" s="36" t="s">
        <v>707</v>
      </c>
      <c r="K11" s="37" t="s">
        <v>708</v>
      </c>
      <c r="L11" s="37" t="s">
        <v>708</v>
      </c>
      <c r="M11" s="37" t="s">
        <v>708</v>
      </c>
      <c r="N11" s="36" t="s">
        <v>707</v>
      </c>
      <c r="O11" s="37" t="s">
        <v>708</v>
      </c>
      <c r="P11" s="36" t="s">
        <v>707</v>
      </c>
      <c r="Q11" s="39" t="s">
        <v>710</v>
      </c>
      <c r="R11" s="36" t="s">
        <v>707</v>
      </c>
      <c r="S11" s="207" t="s">
        <v>707</v>
      </c>
      <c r="T11" s="212"/>
    </row>
    <row r="12" spans="1:22" ht="16.5" thickBot="1" x14ac:dyDescent="0.25">
      <c r="A12" s="293"/>
      <c r="B12" s="29" t="s">
        <v>698</v>
      </c>
      <c r="C12" s="36" t="s">
        <v>707</v>
      </c>
      <c r="D12" s="36" t="s">
        <v>707</v>
      </c>
      <c r="E12" s="36" t="s">
        <v>707</v>
      </c>
      <c r="F12" s="36" t="s">
        <v>707</v>
      </c>
      <c r="G12" s="36" t="s">
        <v>707</v>
      </c>
      <c r="H12" s="37" t="s">
        <v>708</v>
      </c>
      <c r="I12" s="39" t="s">
        <v>710</v>
      </c>
      <c r="J12" s="36" t="s">
        <v>707</v>
      </c>
      <c r="K12" s="39" t="s">
        <v>710</v>
      </c>
      <c r="L12" s="37" t="s">
        <v>708</v>
      </c>
      <c r="M12" s="37" t="s">
        <v>708</v>
      </c>
      <c r="N12" s="39" t="s">
        <v>710</v>
      </c>
      <c r="O12" s="36" t="s">
        <v>707</v>
      </c>
      <c r="P12" s="36" t="s">
        <v>707</v>
      </c>
      <c r="Q12" s="39" t="s">
        <v>710</v>
      </c>
      <c r="R12" s="37" t="s">
        <v>708</v>
      </c>
      <c r="S12" s="207" t="s">
        <v>707</v>
      </c>
      <c r="T12" s="212"/>
    </row>
    <row r="13" spans="1:22" ht="16.5" thickBot="1" x14ac:dyDescent="0.25">
      <c r="A13" s="293"/>
      <c r="B13" s="30" t="s">
        <v>699</v>
      </c>
      <c r="C13" s="36" t="s">
        <v>707</v>
      </c>
      <c r="D13" s="36" t="s">
        <v>707</v>
      </c>
      <c r="E13" s="36" t="s">
        <v>707</v>
      </c>
      <c r="F13" s="36" t="s">
        <v>707</v>
      </c>
      <c r="G13" s="39" t="s">
        <v>710</v>
      </c>
      <c r="H13" s="39" t="s">
        <v>710</v>
      </c>
      <c r="I13" s="36" t="s">
        <v>707</v>
      </c>
      <c r="J13" s="36" t="s">
        <v>707</v>
      </c>
      <c r="K13" s="36" t="s">
        <v>707</v>
      </c>
      <c r="L13" s="39" t="s">
        <v>710</v>
      </c>
      <c r="M13" s="37" t="s">
        <v>708</v>
      </c>
      <c r="N13" s="37" t="s">
        <v>708</v>
      </c>
      <c r="O13" s="36" t="s">
        <v>707</v>
      </c>
      <c r="P13" s="36" t="s">
        <v>707</v>
      </c>
      <c r="Q13" s="37" t="s">
        <v>708</v>
      </c>
      <c r="R13" s="37" t="s">
        <v>708</v>
      </c>
      <c r="S13" s="207" t="s">
        <v>707</v>
      </c>
      <c r="T13" s="212"/>
    </row>
    <row r="14" spans="1:22" ht="16.5" thickBot="1" x14ac:dyDescent="0.25">
      <c r="A14" s="293"/>
      <c r="B14" s="31" t="s">
        <v>700</v>
      </c>
      <c r="C14" s="36" t="s">
        <v>707</v>
      </c>
      <c r="D14" s="36" t="s">
        <v>707</v>
      </c>
      <c r="E14" s="37" t="s">
        <v>708</v>
      </c>
      <c r="F14" s="37" t="s">
        <v>708</v>
      </c>
      <c r="G14" s="39" t="s">
        <v>710</v>
      </c>
      <c r="H14" s="39" t="s">
        <v>710</v>
      </c>
      <c r="I14" s="37" t="s">
        <v>708</v>
      </c>
      <c r="J14" s="36" t="s">
        <v>707</v>
      </c>
      <c r="K14" s="37" t="s">
        <v>708</v>
      </c>
      <c r="L14" s="37" t="s">
        <v>708</v>
      </c>
      <c r="M14" s="39" t="s">
        <v>710</v>
      </c>
      <c r="N14" s="37" t="s">
        <v>708</v>
      </c>
      <c r="O14" s="36" t="s">
        <v>707</v>
      </c>
      <c r="P14" s="36" t="s">
        <v>707</v>
      </c>
      <c r="Q14" s="36" t="s">
        <v>707</v>
      </c>
      <c r="R14" s="37" t="s">
        <v>708</v>
      </c>
      <c r="S14" s="207" t="s">
        <v>707</v>
      </c>
      <c r="T14" s="212"/>
    </row>
    <row r="15" spans="1:22" ht="16.5" thickBot="1" x14ac:dyDescent="0.25">
      <c r="A15" s="293"/>
      <c r="B15" s="32" t="s">
        <v>701</v>
      </c>
      <c r="C15" s="36" t="s">
        <v>707</v>
      </c>
      <c r="D15" s="36" t="s">
        <v>707</v>
      </c>
      <c r="E15" s="39" t="s">
        <v>710</v>
      </c>
      <c r="F15" s="36" t="s">
        <v>707</v>
      </c>
      <c r="G15" s="38" t="s">
        <v>709</v>
      </c>
      <c r="H15" s="36" t="s">
        <v>707</v>
      </c>
      <c r="I15" s="36" t="s">
        <v>707</v>
      </c>
      <c r="J15" s="36" t="s">
        <v>707</v>
      </c>
      <c r="K15" s="36" t="s">
        <v>707</v>
      </c>
      <c r="L15" s="36" t="s">
        <v>707</v>
      </c>
      <c r="M15" s="39" t="s">
        <v>710</v>
      </c>
      <c r="N15" s="37" t="s">
        <v>708</v>
      </c>
      <c r="O15" s="37" t="s">
        <v>708</v>
      </c>
      <c r="P15" s="36" t="s">
        <v>707</v>
      </c>
      <c r="Q15" s="36" t="s">
        <v>707</v>
      </c>
      <c r="R15" s="37" t="s">
        <v>708</v>
      </c>
      <c r="S15" s="207" t="s">
        <v>707</v>
      </c>
      <c r="T15" s="212"/>
    </row>
    <row r="16" spans="1:22" ht="16.5" thickBot="1" x14ac:dyDescent="0.25">
      <c r="A16" s="293"/>
      <c r="B16" s="33" t="s">
        <v>702</v>
      </c>
      <c r="C16" s="36" t="s">
        <v>707</v>
      </c>
      <c r="D16" s="39" t="s">
        <v>710</v>
      </c>
      <c r="E16" s="36" t="s">
        <v>707</v>
      </c>
      <c r="F16" s="39" t="s">
        <v>710</v>
      </c>
      <c r="G16" s="36" t="s">
        <v>707</v>
      </c>
      <c r="H16" s="36" t="s">
        <v>707</v>
      </c>
      <c r="I16" s="36" t="s">
        <v>707</v>
      </c>
      <c r="J16" s="36"/>
      <c r="K16" s="37" t="s">
        <v>708</v>
      </c>
      <c r="L16" s="36" t="s">
        <v>707</v>
      </c>
      <c r="M16" s="36" t="s">
        <v>707</v>
      </c>
      <c r="N16" s="36" t="s">
        <v>707</v>
      </c>
      <c r="O16" s="36" t="s">
        <v>707</v>
      </c>
      <c r="P16" s="37" t="s">
        <v>708</v>
      </c>
      <c r="Q16" s="36" t="s">
        <v>707</v>
      </c>
      <c r="R16" s="36" t="s">
        <v>707</v>
      </c>
      <c r="S16" s="210" t="s">
        <v>709</v>
      </c>
      <c r="T16" s="212"/>
    </row>
    <row r="17" spans="1:20" ht="16.5" thickBot="1" x14ac:dyDescent="0.25">
      <c r="A17" s="293"/>
      <c r="B17" s="34" t="s">
        <v>703</v>
      </c>
      <c r="C17" s="36" t="s">
        <v>707</v>
      </c>
      <c r="D17" s="36" t="s">
        <v>707</v>
      </c>
      <c r="E17" s="39" t="s">
        <v>710</v>
      </c>
      <c r="F17" s="36" t="s">
        <v>707</v>
      </c>
      <c r="G17" s="39" t="s">
        <v>710</v>
      </c>
      <c r="H17" s="37" t="s">
        <v>708</v>
      </c>
      <c r="I17" s="36" t="s">
        <v>707</v>
      </c>
      <c r="J17" s="36" t="s">
        <v>707</v>
      </c>
      <c r="K17" s="37" t="s">
        <v>708</v>
      </c>
      <c r="L17" s="37" t="s">
        <v>708</v>
      </c>
      <c r="M17" s="37" t="s">
        <v>708</v>
      </c>
      <c r="N17" s="39" t="s">
        <v>710</v>
      </c>
      <c r="O17" s="36" t="s">
        <v>707</v>
      </c>
      <c r="P17" s="36" t="s">
        <v>707</v>
      </c>
      <c r="Q17" s="37" t="s">
        <v>708</v>
      </c>
      <c r="R17" s="39" t="s">
        <v>710</v>
      </c>
      <c r="S17" s="207" t="s">
        <v>707</v>
      </c>
      <c r="T17" s="212"/>
    </row>
    <row r="18" spans="1:20" ht="16.5" thickBot="1" x14ac:dyDescent="0.25">
      <c r="A18" s="293"/>
      <c r="B18" s="35" t="s">
        <v>704</v>
      </c>
      <c r="C18" s="36" t="s">
        <v>707</v>
      </c>
      <c r="D18" s="36" t="s">
        <v>707</v>
      </c>
      <c r="E18" s="36" t="s">
        <v>707</v>
      </c>
      <c r="F18" s="36" t="s">
        <v>707</v>
      </c>
      <c r="G18" s="36" t="s">
        <v>707</v>
      </c>
      <c r="H18" s="36" t="s">
        <v>707</v>
      </c>
      <c r="I18" s="36" t="s">
        <v>707</v>
      </c>
      <c r="J18" s="36" t="s">
        <v>707</v>
      </c>
      <c r="K18" s="37" t="s">
        <v>708</v>
      </c>
      <c r="L18" s="36" t="s">
        <v>707</v>
      </c>
      <c r="M18" s="36" t="s">
        <v>707</v>
      </c>
      <c r="N18" s="36" t="s">
        <v>707</v>
      </c>
      <c r="O18" s="36" t="s">
        <v>707</v>
      </c>
      <c r="P18" s="36" t="s">
        <v>707</v>
      </c>
      <c r="Q18" s="37" t="s">
        <v>708</v>
      </c>
      <c r="R18" s="39" t="s">
        <v>710</v>
      </c>
      <c r="S18" s="207" t="s">
        <v>707</v>
      </c>
      <c r="T18" s="212"/>
    </row>
    <row r="19" spans="1:20" ht="15.75" x14ac:dyDescent="0.2">
      <c r="A19" s="293"/>
      <c r="B19" s="213" t="s">
        <v>705</v>
      </c>
      <c r="C19" s="214" t="s">
        <v>707</v>
      </c>
      <c r="D19" s="215" t="s">
        <v>708</v>
      </c>
      <c r="E19" s="214" t="s">
        <v>707</v>
      </c>
      <c r="F19" s="214" t="s">
        <v>707</v>
      </c>
      <c r="G19" s="214" t="s">
        <v>707</v>
      </c>
      <c r="H19" s="214" t="s">
        <v>707</v>
      </c>
      <c r="I19" s="214" t="s">
        <v>707</v>
      </c>
      <c r="J19" s="216" t="s">
        <v>710</v>
      </c>
      <c r="K19" s="214" t="s">
        <v>707</v>
      </c>
      <c r="L19" s="214" t="s">
        <v>707</v>
      </c>
      <c r="M19" s="214" t="s">
        <v>707</v>
      </c>
      <c r="N19" s="214" t="s">
        <v>707</v>
      </c>
      <c r="O19" s="214" t="s">
        <v>707</v>
      </c>
      <c r="P19" s="216" t="s">
        <v>710</v>
      </c>
      <c r="Q19" s="214" t="s">
        <v>707</v>
      </c>
      <c r="R19" s="214" t="s">
        <v>707</v>
      </c>
      <c r="S19" s="217" t="s">
        <v>708</v>
      </c>
      <c r="T19" s="212"/>
    </row>
    <row r="20" spans="1:20" ht="15.75" x14ac:dyDescent="0.2">
      <c r="A20" s="211"/>
      <c r="B20" s="211"/>
      <c r="C20" s="212"/>
      <c r="D20" s="212"/>
      <c r="E20" s="212"/>
      <c r="F20" s="212"/>
      <c r="G20" s="212"/>
      <c r="H20" s="212"/>
      <c r="I20" s="212"/>
      <c r="J20" s="212"/>
      <c r="K20" s="212"/>
      <c r="L20" s="212"/>
      <c r="M20" s="212"/>
      <c r="N20" s="212"/>
      <c r="O20" s="212"/>
      <c r="P20" s="212"/>
      <c r="Q20" s="212"/>
      <c r="R20" s="212"/>
      <c r="S20" s="212"/>
      <c r="T20" s="212"/>
    </row>
    <row r="22" spans="1:20" ht="21.75" customHeight="1" x14ac:dyDescent="0.2">
      <c r="A22" s="285" t="s">
        <v>1126</v>
      </c>
      <c r="B22" s="285"/>
      <c r="C22" s="285"/>
    </row>
    <row r="23" spans="1:20" ht="16.5" thickBot="1" x14ac:dyDescent="0.25">
      <c r="A23" s="44" t="s">
        <v>1127</v>
      </c>
      <c r="B23" s="44" t="s">
        <v>1128</v>
      </c>
      <c r="C23" s="44" t="s">
        <v>1129</v>
      </c>
    </row>
    <row r="24" spans="1:20" ht="16.5" thickBot="1" x14ac:dyDescent="0.25">
      <c r="A24" s="23" t="s">
        <v>692</v>
      </c>
      <c r="B24" s="30" t="s">
        <v>699</v>
      </c>
      <c r="C24" s="39" t="s">
        <v>710</v>
      </c>
    </row>
    <row r="25" spans="1:20" ht="16.5" thickBot="1" x14ac:dyDescent="0.25">
      <c r="A25" s="30" t="s">
        <v>699</v>
      </c>
      <c r="B25" s="261" t="s">
        <v>703</v>
      </c>
      <c r="C25" s="215" t="s">
        <v>708</v>
      </c>
    </row>
    <row r="26" spans="1:20" ht="16.5" thickBot="1" x14ac:dyDescent="0.25">
      <c r="A26" s="35" t="s">
        <v>704</v>
      </c>
      <c r="B26" s="34" t="s">
        <v>703</v>
      </c>
      <c r="C26" s="37" t="s">
        <v>708</v>
      </c>
    </row>
    <row r="27" spans="1:20" ht="15.75" x14ac:dyDescent="0.2">
      <c r="A27" s="261" t="s">
        <v>703</v>
      </c>
      <c r="B27" s="262" t="s">
        <v>694</v>
      </c>
      <c r="C27" s="215" t="s">
        <v>708</v>
      </c>
    </row>
    <row r="28" spans="1:20" ht="15.75" x14ac:dyDescent="0.2">
      <c r="A28" s="211"/>
      <c r="B28" s="211"/>
      <c r="C28" s="212"/>
    </row>
  </sheetData>
  <mergeCells count="4">
    <mergeCell ref="A22:C22"/>
    <mergeCell ref="A1:B2"/>
    <mergeCell ref="C1:S1"/>
    <mergeCell ref="A3:A19"/>
  </mergeCells>
  <hyperlinks>
    <hyperlink ref="V1" r:id="rId1" xr:uid="{567B31AB-E91F-478B-91E8-702D25DFEB7B}"/>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containsText" priority="43" operator="containsText" id="{1B7ABAA8-E5E2-4401-AEF2-9EF6085916FB}">
            <xm:f>NOT(ISERROR(SEARCH(½,A1)))</xm:f>
            <xm:f>½</xm:f>
            <x14:dxf>
              <fill>
                <patternFill patternType="solid">
                  <bgColor rgb="FFEE1E1E"/>
                </patternFill>
              </fill>
            </x14:dxf>
          </x14:cfRule>
          <x14:cfRule type="containsText" priority="44" operator="containsText" id="{785B9696-F12F-4E73-860E-A07980AB69EE}">
            <xm:f>NOT(ISERROR(SEARCH(0,A1)))</xm:f>
            <xm:f>0</xm:f>
            <x14:dxf>
              <fill>
                <patternFill>
                  <bgColor theme="1"/>
                </patternFill>
              </fill>
            </x14:dxf>
          </x14:cfRule>
          <x14:cfRule type="containsText" priority="45" operator="containsText" id="{79D8AA21-5521-4934-8614-FF0CE3F169A1}">
            <xm:f>NOT(ISERROR(SEARCH(2,A1)))</xm:f>
            <xm:f>2</xm:f>
            <x14:dxf>
              <fill>
                <patternFill>
                  <bgColor rgb="FF1BCB5E"/>
                </patternFill>
              </fill>
            </x14:dxf>
          </x14:cfRule>
          <xm:sqref>A1:C1 T1 A2:T3 B4:T19 A20:T20 A24:C28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09EB9-9F7F-4523-97E0-FA8EBF309D13}">
  <sheetPr>
    <tabColor rgb="FFAC8B41"/>
  </sheetPr>
  <dimension ref="A1:B20"/>
  <sheetViews>
    <sheetView zoomScale="175" zoomScaleNormal="175" workbookViewId="0">
      <selection activeCell="B13" sqref="B13"/>
    </sheetView>
  </sheetViews>
  <sheetFormatPr defaultRowHeight="15" x14ac:dyDescent="0.25"/>
  <cols>
    <col min="1" max="1" width="13.7109375" bestFit="1" customWidth="1"/>
    <col min="2" max="2" width="4.85546875" bestFit="1" customWidth="1"/>
  </cols>
  <sheetData>
    <row r="1" spans="1:2" x14ac:dyDescent="0.25">
      <c r="A1" s="14" t="s">
        <v>1</v>
      </c>
      <c r="B1" s="14" t="s">
        <v>737</v>
      </c>
    </row>
    <row r="2" spans="1:2" x14ac:dyDescent="0.25">
      <c r="A2" s="14" t="s">
        <v>1193</v>
      </c>
      <c r="B2" s="14" t="e" vm="14">
        <v>#VALUE!</v>
      </c>
    </row>
    <row r="3" spans="1:2" x14ac:dyDescent="0.25">
      <c r="A3" s="14" t="s">
        <v>1194</v>
      </c>
      <c r="B3" s="14" t="e" vm="15">
        <v>#VALUE!</v>
      </c>
    </row>
    <row r="4" spans="1:2" x14ac:dyDescent="0.25">
      <c r="A4" s="14" t="s">
        <v>1195</v>
      </c>
      <c r="B4" s="14" t="e" vm="16">
        <v>#VALUE!</v>
      </c>
    </row>
    <row r="5" spans="1:2" x14ac:dyDescent="0.25">
      <c r="A5" s="14" t="s">
        <v>1196</v>
      </c>
      <c r="B5" s="14" t="e" vm="17">
        <v>#VALUE!</v>
      </c>
    </row>
    <row r="6" spans="1:2" x14ac:dyDescent="0.25">
      <c r="A6" s="14" t="s">
        <v>1197</v>
      </c>
      <c r="B6" s="14" t="e" vm="18">
        <v>#VALUE!</v>
      </c>
    </row>
    <row r="7" spans="1:2" x14ac:dyDescent="0.25">
      <c r="A7" s="14" t="s">
        <v>1198</v>
      </c>
      <c r="B7" s="14" t="e" vm="19">
        <v>#VALUE!</v>
      </c>
    </row>
    <row r="8" spans="1:2" x14ac:dyDescent="0.25">
      <c r="A8" s="14" t="s">
        <v>1199</v>
      </c>
      <c r="B8" s="14" t="e" vm="20">
        <v>#VALUE!</v>
      </c>
    </row>
    <row r="9" spans="1:2" x14ac:dyDescent="0.25">
      <c r="A9" s="14" t="s">
        <v>1200</v>
      </c>
      <c r="B9" s="14" t="e" vm="21">
        <v>#VALUE!</v>
      </c>
    </row>
    <row r="10" spans="1:2" x14ac:dyDescent="0.25">
      <c r="A10" s="14" t="s">
        <v>1201</v>
      </c>
      <c r="B10" s="14" t="e" vm="22">
        <v>#VALUE!</v>
      </c>
    </row>
    <row r="11" spans="1:2" x14ac:dyDescent="0.25">
      <c r="A11" s="14" t="s">
        <v>1202</v>
      </c>
      <c r="B11" s="14" t="e" vm="23">
        <v>#VALUE!</v>
      </c>
    </row>
    <row r="12" spans="1:2" x14ac:dyDescent="0.25">
      <c r="A12" s="14" t="s">
        <v>1203</v>
      </c>
      <c r="B12" s="14" t="e" vm="24">
        <v>#VALUE!</v>
      </c>
    </row>
    <row r="13" spans="1:2" x14ac:dyDescent="0.25">
      <c r="A13" s="14" t="s">
        <v>1204</v>
      </c>
      <c r="B13" s="14" t="e" vm="25">
        <v>#VALUE!</v>
      </c>
    </row>
    <row r="14" spans="1:2" x14ac:dyDescent="0.25">
      <c r="A14" s="14" t="s">
        <v>1205</v>
      </c>
      <c r="B14" s="14" t="e" vm="26">
        <v>#VALUE!</v>
      </c>
    </row>
    <row r="15" spans="1:2" x14ac:dyDescent="0.25">
      <c r="A15" s="14" t="s">
        <v>1206</v>
      </c>
      <c r="B15" s="14" t="e" vm="27">
        <v>#VALUE!</v>
      </c>
    </row>
    <row r="16" spans="1:2" x14ac:dyDescent="0.25">
      <c r="A16" s="14" t="s">
        <v>1207</v>
      </c>
      <c r="B16" s="14" t="e" vm="28">
        <v>#VALUE!</v>
      </c>
    </row>
    <row r="17" spans="1:2" x14ac:dyDescent="0.25">
      <c r="A17" s="14" t="s">
        <v>1209</v>
      </c>
      <c r="B17" s="14" t="e" vm="29">
        <v>#VALUE!</v>
      </c>
    </row>
    <row r="18" spans="1:2" x14ac:dyDescent="0.25">
      <c r="A18" s="14" t="s">
        <v>1210</v>
      </c>
      <c r="B18" s="14" t="e" vm="30">
        <v>#VALUE!</v>
      </c>
    </row>
    <row r="19" spans="1:2" x14ac:dyDescent="0.25">
      <c r="A19" s="14" t="s">
        <v>1211</v>
      </c>
      <c r="B19" s="14" t="e" vm="31">
        <v>#VALUE!</v>
      </c>
    </row>
    <row r="20" spans="1:2" x14ac:dyDescent="0.25">
      <c r="A20" s="14" t="s">
        <v>1213</v>
      </c>
      <c r="B20" s="14" t="e" vm="32">
        <v>#VALUE!</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5FBB-B710-4F00-BECE-F0EBAE21712D}">
  <sheetPr>
    <tabColor rgb="FFFFDE9C"/>
  </sheetPr>
  <dimension ref="A1:T594"/>
  <sheetViews>
    <sheetView tabSelected="1" topLeftCell="B554" workbookViewId="0">
      <selection activeCell="I585" sqref="I585"/>
    </sheetView>
  </sheetViews>
  <sheetFormatPr defaultRowHeight="15.75" customHeight="1" x14ac:dyDescent="0.25"/>
  <cols>
    <col min="1" max="1" width="15" style="15" bestFit="1" customWidth="1"/>
    <col min="2" max="2" width="20.140625" style="5" bestFit="1" customWidth="1"/>
    <col min="3" max="4" width="12.85546875" style="17" customWidth="1"/>
    <col min="5" max="5" width="24.85546875" style="14" customWidth="1"/>
    <col min="6" max="6" width="24.85546875" style="6" customWidth="1"/>
    <col min="7" max="7" width="9.28515625" style="18" customWidth="1"/>
    <col min="8" max="8" width="6.42578125" style="18" customWidth="1"/>
    <col min="9" max="9" width="11" style="18" customWidth="1"/>
    <col min="10" max="10" width="13.140625" style="18" customWidth="1"/>
    <col min="11" max="11" width="15.140625" style="18" customWidth="1"/>
    <col min="12" max="12" width="17.28515625" style="18" customWidth="1"/>
    <col min="13" max="13" width="10.28515625" style="18" customWidth="1"/>
    <col min="14" max="14" width="9.140625" style="6" customWidth="1"/>
    <col min="15" max="16384" width="9.140625" style="14"/>
  </cols>
  <sheetData>
    <row r="1" spans="1:14" s="17" customFormat="1" ht="15.75" customHeight="1" x14ac:dyDescent="0.25">
      <c r="A1" s="1" t="s">
        <v>0</v>
      </c>
      <c r="B1" s="2" t="s">
        <v>1</v>
      </c>
      <c r="C1" s="11" t="s">
        <v>2</v>
      </c>
      <c r="D1" s="11" t="s">
        <v>3</v>
      </c>
      <c r="E1" s="11" t="s">
        <v>4</v>
      </c>
      <c r="F1" s="11" t="s">
        <v>5</v>
      </c>
      <c r="G1" s="3" t="s">
        <v>12</v>
      </c>
      <c r="H1" s="3" t="s">
        <v>6</v>
      </c>
      <c r="I1" s="3" t="s">
        <v>7</v>
      </c>
      <c r="J1" s="3" t="s">
        <v>8</v>
      </c>
      <c r="K1" s="3" t="s">
        <v>9</v>
      </c>
      <c r="L1" s="3" t="s">
        <v>10</v>
      </c>
      <c r="M1" s="3" t="s">
        <v>11</v>
      </c>
      <c r="N1" s="6"/>
    </row>
    <row r="2" spans="1:14" s="17" customFormat="1" ht="15.75" customHeight="1" x14ac:dyDescent="0.25">
      <c r="A2" s="4">
        <v>1</v>
      </c>
      <c r="B2" s="5" t="s">
        <v>13</v>
      </c>
      <c r="C2" s="6" t="s">
        <v>14</v>
      </c>
      <c r="D2" s="6" t="s">
        <v>15</v>
      </c>
      <c r="E2" s="6" t="s">
        <v>17</v>
      </c>
      <c r="F2" s="6" t="s">
        <v>1215</v>
      </c>
      <c r="G2" s="7">
        <f t="shared" ref="G2:G65" si="0">SUM(H2:M2)</f>
        <v>318</v>
      </c>
      <c r="H2" s="7">
        <v>45</v>
      </c>
      <c r="I2" s="13">
        <v>49</v>
      </c>
      <c r="J2" s="7">
        <v>49</v>
      </c>
      <c r="K2" s="7">
        <v>65</v>
      </c>
      <c r="L2" s="7">
        <v>65</v>
      </c>
      <c r="M2" s="7">
        <v>45</v>
      </c>
      <c r="N2" s="6"/>
    </row>
    <row r="3" spans="1:14" s="17" customFormat="1" ht="15.75" customHeight="1" x14ac:dyDescent="0.25">
      <c r="A3" s="4">
        <v>2</v>
      </c>
      <c r="B3" s="5" t="s">
        <v>18</v>
      </c>
      <c r="C3" s="6" t="s">
        <v>14</v>
      </c>
      <c r="D3" s="6" t="s">
        <v>15</v>
      </c>
      <c r="E3" s="6" t="s">
        <v>17</v>
      </c>
      <c r="F3" s="6" t="s">
        <v>1215</v>
      </c>
      <c r="G3" s="7">
        <f t="shared" si="0"/>
        <v>405</v>
      </c>
      <c r="H3" s="7">
        <v>60</v>
      </c>
      <c r="I3" s="7">
        <v>62</v>
      </c>
      <c r="J3" s="7">
        <v>63</v>
      </c>
      <c r="K3" s="7">
        <v>80</v>
      </c>
      <c r="L3" s="7">
        <v>80</v>
      </c>
      <c r="M3" s="7">
        <v>60</v>
      </c>
      <c r="N3" s="47"/>
    </row>
    <row r="4" spans="1:14" s="17" customFormat="1" ht="15.75" customHeight="1" x14ac:dyDescent="0.25">
      <c r="A4" s="4">
        <v>3</v>
      </c>
      <c r="B4" s="5" t="s">
        <v>19</v>
      </c>
      <c r="C4" s="6" t="s">
        <v>14</v>
      </c>
      <c r="D4" s="6" t="s">
        <v>15</v>
      </c>
      <c r="E4" s="6" t="s">
        <v>17</v>
      </c>
      <c r="F4" s="6" t="s">
        <v>1215</v>
      </c>
      <c r="G4" s="7">
        <f t="shared" si="0"/>
        <v>525</v>
      </c>
      <c r="H4" s="7">
        <v>80</v>
      </c>
      <c r="I4" s="7">
        <v>82</v>
      </c>
      <c r="J4" s="7">
        <v>83</v>
      </c>
      <c r="K4" s="7">
        <v>100</v>
      </c>
      <c r="L4" s="7">
        <v>100</v>
      </c>
      <c r="M4" s="7">
        <v>80</v>
      </c>
      <c r="N4" s="6"/>
    </row>
    <row r="5" spans="1:14" s="17" customFormat="1" ht="15.75" customHeight="1" x14ac:dyDescent="0.25">
      <c r="A5" s="4">
        <v>4</v>
      </c>
      <c r="B5" s="5" t="s">
        <v>20</v>
      </c>
      <c r="C5" s="6" t="s">
        <v>21</v>
      </c>
      <c r="D5" s="6"/>
      <c r="E5" s="6" t="s">
        <v>22</v>
      </c>
      <c r="F5" s="6" t="s">
        <v>611</v>
      </c>
      <c r="G5" s="7">
        <f t="shared" si="0"/>
        <v>309</v>
      </c>
      <c r="H5" s="7">
        <v>39</v>
      </c>
      <c r="I5" s="7">
        <v>52</v>
      </c>
      <c r="J5" s="7">
        <v>43</v>
      </c>
      <c r="K5" s="7">
        <v>60</v>
      </c>
      <c r="L5" s="7">
        <v>50</v>
      </c>
      <c r="M5" s="7">
        <v>65</v>
      </c>
      <c r="N5" s="6"/>
    </row>
    <row r="6" spans="1:14" s="17" customFormat="1" ht="15.75" customHeight="1" x14ac:dyDescent="0.25">
      <c r="A6" s="4">
        <v>5</v>
      </c>
      <c r="B6" s="5" t="s">
        <v>24</v>
      </c>
      <c r="C6" s="6" t="s">
        <v>21</v>
      </c>
      <c r="D6" s="6"/>
      <c r="E6" s="6" t="s">
        <v>22</v>
      </c>
      <c r="F6" s="6" t="s">
        <v>611</v>
      </c>
      <c r="G6" s="7">
        <f t="shared" si="0"/>
        <v>405</v>
      </c>
      <c r="H6" s="7">
        <v>58</v>
      </c>
      <c r="I6" s="7">
        <v>64</v>
      </c>
      <c r="J6" s="7">
        <v>58</v>
      </c>
      <c r="K6" s="7">
        <v>80</v>
      </c>
      <c r="L6" s="7">
        <v>65</v>
      </c>
      <c r="M6" s="7">
        <v>80</v>
      </c>
      <c r="N6" s="6"/>
    </row>
    <row r="7" spans="1:14" s="17" customFormat="1" ht="15.75" customHeight="1" x14ac:dyDescent="0.25">
      <c r="A7" s="4">
        <v>6</v>
      </c>
      <c r="B7" s="8" t="s">
        <v>25</v>
      </c>
      <c r="C7" s="6" t="s">
        <v>21</v>
      </c>
      <c r="D7" s="6" t="s">
        <v>26</v>
      </c>
      <c r="E7" s="6" t="s">
        <v>22</v>
      </c>
      <c r="F7" s="6" t="s">
        <v>611</v>
      </c>
      <c r="G7" s="7">
        <f t="shared" si="0"/>
        <v>534</v>
      </c>
      <c r="H7" s="7">
        <v>78</v>
      </c>
      <c r="I7" s="7">
        <v>84</v>
      </c>
      <c r="J7" s="7">
        <v>78</v>
      </c>
      <c r="K7" s="7">
        <v>109</v>
      </c>
      <c r="L7" s="7">
        <v>85</v>
      </c>
      <c r="M7" s="7">
        <v>100</v>
      </c>
      <c r="N7" s="6"/>
    </row>
    <row r="8" spans="1:14" s="17" customFormat="1" ht="15.75" customHeight="1" x14ac:dyDescent="0.25">
      <c r="A8" s="4">
        <v>7</v>
      </c>
      <c r="B8" s="5" t="s">
        <v>27</v>
      </c>
      <c r="C8" s="6" t="s">
        <v>28</v>
      </c>
      <c r="D8" s="6"/>
      <c r="E8" s="6" t="s">
        <v>29</v>
      </c>
      <c r="F8" s="6" t="s">
        <v>946</v>
      </c>
      <c r="G8" s="7">
        <f t="shared" si="0"/>
        <v>314</v>
      </c>
      <c r="H8" s="7">
        <v>44</v>
      </c>
      <c r="I8" s="7">
        <v>48</v>
      </c>
      <c r="J8" s="7">
        <v>65</v>
      </c>
      <c r="K8" s="7">
        <v>50</v>
      </c>
      <c r="L8" s="7">
        <v>64</v>
      </c>
      <c r="M8" s="7">
        <v>43</v>
      </c>
      <c r="N8" s="6"/>
    </row>
    <row r="9" spans="1:14" s="17" customFormat="1" ht="15.75" customHeight="1" x14ac:dyDescent="0.25">
      <c r="A9" s="4">
        <v>8</v>
      </c>
      <c r="B9" s="5" t="s">
        <v>31</v>
      </c>
      <c r="C9" s="6" t="s">
        <v>28</v>
      </c>
      <c r="D9" s="6"/>
      <c r="E9" s="6" t="s">
        <v>29</v>
      </c>
      <c r="F9" s="6" t="s">
        <v>946</v>
      </c>
      <c r="G9" s="7">
        <f t="shared" si="0"/>
        <v>405</v>
      </c>
      <c r="H9" s="7">
        <v>59</v>
      </c>
      <c r="I9" s="7">
        <v>63</v>
      </c>
      <c r="J9" s="7">
        <v>80</v>
      </c>
      <c r="K9" s="7">
        <v>65</v>
      </c>
      <c r="L9" s="7">
        <v>80</v>
      </c>
      <c r="M9" s="7">
        <v>58</v>
      </c>
      <c r="N9" s="6"/>
    </row>
    <row r="10" spans="1:14" s="17" customFormat="1" ht="15.75" customHeight="1" x14ac:dyDescent="0.25">
      <c r="A10" s="4">
        <v>9</v>
      </c>
      <c r="B10" s="5" t="s">
        <v>32</v>
      </c>
      <c r="C10" s="6" t="s">
        <v>28</v>
      </c>
      <c r="D10" s="6"/>
      <c r="E10" s="6" t="s">
        <v>29</v>
      </c>
      <c r="F10" s="6" t="s">
        <v>946</v>
      </c>
      <c r="G10" s="7">
        <f t="shared" si="0"/>
        <v>530</v>
      </c>
      <c r="H10" s="7">
        <v>79</v>
      </c>
      <c r="I10" s="7">
        <v>83</v>
      </c>
      <c r="J10" s="7">
        <v>100</v>
      </c>
      <c r="K10" s="7">
        <v>85</v>
      </c>
      <c r="L10" s="7">
        <v>105</v>
      </c>
      <c r="M10" s="7">
        <v>78</v>
      </c>
      <c r="N10" s="6"/>
    </row>
    <row r="11" spans="1:14" s="17" customFormat="1" ht="15.75" customHeight="1" x14ac:dyDescent="0.25">
      <c r="A11" s="4">
        <v>10</v>
      </c>
      <c r="B11" s="5" t="s">
        <v>33</v>
      </c>
      <c r="C11" s="6" t="s">
        <v>34</v>
      </c>
      <c r="D11" s="6"/>
      <c r="E11" s="6" t="s">
        <v>536</v>
      </c>
      <c r="F11" s="6"/>
      <c r="G11" s="7">
        <f t="shared" si="0"/>
        <v>195</v>
      </c>
      <c r="H11" s="7">
        <v>45</v>
      </c>
      <c r="I11" s="7">
        <v>30</v>
      </c>
      <c r="J11" s="7">
        <v>35</v>
      </c>
      <c r="K11" s="7">
        <v>20</v>
      </c>
      <c r="L11" s="7">
        <v>20</v>
      </c>
      <c r="M11" s="7">
        <v>45</v>
      </c>
      <c r="N11" s="6"/>
    </row>
    <row r="12" spans="1:14" s="17" customFormat="1" ht="15.75" customHeight="1" x14ac:dyDescent="0.25">
      <c r="A12" s="4">
        <v>11</v>
      </c>
      <c r="B12" s="5" t="s">
        <v>35</v>
      </c>
      <c r="C12" s="6" t="s">
        <v>34</v>
      </c>
      <c r="D12" s="6"/>
      <c r="E12" s="6" t="s">
        <v>537</v>
      </c>
      <c r="F12" s="6"/>
      <c r="G12" s="7">
        <f t="shared" si="0"/>
        <v>205</v>
      </c>
      <c r="H12" s="7">
        <v>50</v>
      </c>
      <c r="I12" s="7">
        <v>20</v>
      </c>
      <c r="J12" s="7">
        <v>55</v>
      </c>
      <c r="K12" s="7">
        <v>25</v>
      </c>
      <c r="L12" s="7">
        <v>25</v>
      </c>
      <c r="M12" s="7">
        <v>30</v>
      </c>
      <c r="N12" s="6"/>
    </row>
    <row r="13" spans="1:14" s="17" customFormat="1" ht="15.75" customHeight="1" x14ac:dyDescent="0.25">
      <c r="A13" s="4">
        <v>12</v>
      </c>
      <c r="B13" s="5" t="s">
        <v>36</v>
      </c>
      <c r="C13" s="6" t="s">
        <v>34</v>
      </c>
      <c r="D13" s="6" t="s">
        <v>92</v>
      </c>
      <c r="E13" s="6" t="s">
        <v>538</v>
      </c>
      <c r="F13" s="6"/>
      <c r="G13" s="7">
        <f t="shared" si="0"/>
        <v>402</v>
      </c>
      <c r="H13" s="7">
        <v>60</v>
      </c>
      <c r="I13" s="7">
        <v>45</v>
      </c>
      <c r="J13" s="7">
        <v>50</v>
      </c>
      <c r="K13" s="7">
        <v>97</v>
      </c>
      <c r="L13" s="7">
        <v>80</v>
      </c>
      <c r="M13" s="7">
        <v>70</v>
      </c>
      <c r="N13" s="6"/>
    </row>
    <row r="14" spans="1:14" s="17" customFormat="1" ht="15.75" customHeight="1" x14ac:dyDescent="0.25">
      <c r="A14" s="4">
        <v>13</v>
      </c>
      <c r="B14" s="5" t="s">
        <v>37</v>
      </c>
      <c r="C14" s="6" t="s">
        <v>34</v>
      </c>
      <c r="D14" s="6" t="s">
        <v>15</v>
      </c>
      <c r="E14" s="6" t="s">
        <v>536</v>
      </c>
      <c r="F14" s="6"/>
      <c r="G14" s="7">
        <f t="shared" si="0"/>
        <v>195</v>
      </c>
      <c r="H14" s="7">
        <v>40</v>
      </c>
      <c r="I14" s="7">
        <v>35</v>
      </c>
      <c r="J14" s="7">
        <v>30</v>
      </c>
      <c r="K14" s="7">
        <v>20</v>
      </c>
      <c r="L14" s="7">
        <v>20</v>
      </c>
      <c r="M14" s="7">
        <v>50</v>
      </c>
      <c r="N14" s="6"/>
    </row>
    <row r="15" spans="1:14" s="17" customFormat="1" ht="15.75" customHeight="1" x14ac:dyDescent="0.25">
      <c r="A15" s="4">
        <v>14</v>
      </c>
      <c r="B15" s="5" t="s">
        <v>38</v>
      </c>
      <c r="C15" s="6" t="s">
        <v>34</v>
      </c>
      <c r="D15" s="6" t="s">
        <v>15</v>
      </c>
      <c r="E15" s="6" t="s">
        <v>537</v>
      </c>
      <c r="F15" s="6"/>
      <c r="G15" s="7">
        <f t="shared" si="0"/>
        <v>205</v>
      </c>
      <c r="H15" s="7">
        <v>45</v>
      </c>
      <c r="I15" s="7">
        <v>25</v>
      </c>
      <c r="J15" s="7">
        <v>50</v>
      </c>
      <c r="K15" s="7">
        <v>25</v>
      </c>
      <c r="L15" s="7">
        <v>25</v>
      </c>
      <c r="M15" s="7">
        <v>35</v>
      </c>
      <c r="N15" s="6"/>
    </row>
    <row r="16" spans="1:14" s="17" customFormat="1" ht="15.75" customHeight="1" x14ac:dyDescent="0.25">
      <c r="A16" s="4">
        <v>15</v>
      </c>
      <c r="B16" s="5" t="s">
        <v>39</v>
      </c>
      <c r="C16" s="6" t="s">
        <v>34</v>
      </c>
      <c r="D16" s="6" t="s">
        <v>15</v>
      </c>
      <c r="E16" s="6" t="s">
        <v>539</v>
      </c>
      <c r="F16" s="6" t="s">
        <v>905</v>
      </c>
      <c r="G16" s="7">
        <f t="shared" si="0"/>
        <v>412</v>
      </c>
      <c r="H16" s="7">
        <v>65</v>
      </c>
      <c r="I16" s="7">
        <v>92</v>
      </c>
      <c r="J16" s="7">
        <v>40</v>
      </c>
      <c r="K16" s="7">
        <v>45</v>
      </c>
      <c r="L16" s="7">
        <v>80</v>
      </c>
      <c r="M16" s="7">
        <v>90</v>
      </c>
      <c r="N16" s="6"/>
    </row>
    <row r="17" spans="1:14" s="17" customFormat="1" ht="15.75" customHeight="1" x14ac:dyDescent="0.25">
      <c r="A17" s="4">
        <v>16</v>
      </c>
      <c r="B17" s="5" t="s">
        <v>40</v>
      </c>
      <c r="C17" s="6" t="s">
        <v>26</v>
      </c>
      <c r="D17" s="6" t="s">
        <v>1136</v>
      </c>
      <c r="E17" s="6" t="s">
        <v>540</v>
      </c>
      <c r="F17" s="6" t="s">
        <v>541</v>
      </c>
      <c r="G17" s="7">
        <f t="shared" si="0"/>
        <v>251</v>
      </c>
      <c r="H17" s="7">
        <v>40</v>
      </c>
      <c r="I17" s="7">
        <v>45</v>
      </c>
      <c r="J17" s="7">
        <v>40</v>
      </c>
      <c r="K17" s="7">
        <v>35</v>
      </c>
      <c r="L17" s="7">
        <v>35</v>
      </c>
      <c r="M17" s="7">
        <v>56</v>
      </c>
      <c r="N17" s="6"/>
    </row>
    <row r="18" spans="1:14" s="17" customFormat="1" ht="15.75" customHeight="1" x14ac:dyDescent="0.25">
      <c r="A18" s="4">
        <v>17</v>
      </c>
      <c r="B18" s="5" t="s">
        <v>42</v>
      </c>
      <c r="C18" s="6" t="s">
        <v>26</v>
      </c>
      <c r="D18" s="6" t="s">
        <v>1136</v>
      </c>
      <c r="E18" s="6" t="s">
        <v>540</v>
      </c>
      <c r="F18" s="6" t="s">
        <v>541</v>
      </c>
      <c r="G18" s="7">
        <f t="shared" si="0"/>
        <v>349</v>
      </c>
      <c r="H18" s="7">
        <v>63</v>
      </c>
      <c r="I18" s="7">
        <v>60</v>
      </c>
      <c r="J18" s="7">
        <v>55</v>
      </c>
      <c r="K18" s="7">
        <v>50</v>
      </c>
      <c r="L18" s="7">
        <v>50</v>
      </c>
      <c r="M18" s="7">
        <v>71</v>
      </c>
      <c r="N18" s="6"/>
    </row>
    <row r="19" spans="1:14" s="17" customFormat="1" ht="15.75" customHeight="1" x14ac:dyDescent="0.25">
      <c r="A19" s="4">
        <v>18</v>
      </c>
      <c r="B19" s="5" t="s">
        <v>43</v>
      </c>
      <c r="C19" s="6" t="s">
        <v>26</v>
      </c>
      <c r="D19" s="6" t="s">
        <v>1136</v>
      </c>
      <c r="E19" s="6" t="s">
        <v>1425</v>
      </c>
      <c r="F19" s="6" t="s">
        <v>541</v>
      </c>
      <c r="G19" s="7">
        <f t="shared" si="0"/>
        <v>479</v>
      </c>
      <c r="H19" s="7">
        <v>83</v>
      </c>
      <c r="I19" s="7">
        <v>80</v>
      </c>
      <c r="J19" s="7">
        <v>75</v>
      </c>
      <c r="K19" s="7">
        <v>70</v>
      </c>
      <c r="L19" s="7">
        <v>70</v>
      </c>
      <c r="M19" s="7">
        <v>101</v>
      </c>
      <c r="N19" s="6"/>
    </row>
    <row r="20" spans="1:14" s="17" customFormat="1" ht="15.75" customHeight="1" x14ac:dyDescent="0.25">
      <c r="A20" s="4">
        <v>19</v>
      </c>
      <c r="B20" s="5" t="s">
        <v>44</v>
      </c>
      <c r="C20" s="6" t="s">
        <v>41</v>
      </c>
      <c r="D20" s="6"/>
      <c r="E20" s="6" t="s">
        <v>542</v>
      </c>
      <c r="F20" s="6" t="s">
        <v>543</v>
      </c>
      <c r="G20" s="7">
        <f t="shared" si="0"/>
        <v>253</v>
      </c>
      <c r="H20" s="7">
        <v>30</v>
      </c>
      <c r="I20" s="7">
        <v>56</v>
      </c>
      <c r="J20" s="7">
        <v>35</v>
      </c>
      <c r="K20" s="7">
        <v>25</v>
      </c>
      <c r="L20" s="7">
        <v>35</v>
      </c>
      <c r="M20" s="7">
        <v>72</v>
      </c>
      <c r="N20" s="6"/>
    </row>
    <row r="21" spans="1:14" s="17" customFormat="1" ht="15.75" customHeight="1" x14ac:dyDescent="0.25">
      <c r="A21" s="4">
        <v>20</v>
      </c>
      <c r="B21" s="5" t="s">
        <v>45</v>
      </c>
      <c r="C21" s="6" t="s">
        <v>41</v>
      </c>
      <c r="D21" s="6"/>
      <c r="E21" s="6" t="s">
        <v>1233</v>
      </c>
      <c r="F21" s="6" t="s">
        <v>543</v>
      </c>
      <c r="G21" s="7">
        <f t="shared" si="0"/>
        <v>420</v>
      </c>
      <c r="H21" s="7">
        <v>55</v>
      </c>
      <c r="I21" s="7">
        <v>81</v>
      </c>
      <c r="J21" s="7">
        <v>60</v>
      </c>
      <c r="K21" s="7">
        <v>50</v>
      </c>
      <c r="L21" s="7">
        <v>70</v>
      </c>
      <c r="M21" s="7">
        <v>104</v>
      </c>
      <c r="N21" s="6"/>
    </row>
    <row r="22" spans="1:14" s="17" customFormat="1" ht="15.75" customHeight="1" x14ac:dyDescent="0.25">
      <c r="A22" s="4">
        <v>21</v>
      </c>
      <c r="B22" s="5" t="s">
        <v>48</v>
      </c>
      <c r="C22" s="6" t="s">
        <v>15</v>
      </c>
      <c r="D22" s="6"/>
      <c r="E22" s="6" t="s">
        <v>544</v>
      </c>
      <c r="F22" s="6" t="s">
        <v>537</v>
      </c>
      <c r="G22" s="7">
        <f t="shared" si="0"/>
        <v>288</v>
      </c>
      <c r="H22" s="7">
        <v>35</v>
      </c>
      <c r="I22" s="7">
        <v>60</v>
      </c>
      <c r="J22" s="7">
        <v>44</v>
      </c>
      <c r="K22" s="7">
        <v>40</v>
      </c>
      <c r="L22" s="7">
        <v>54</v>
      </c>
      <c r="M22" s="7">
        <v>55</v>
      </c>
      <c r="N22" s="6"/>
    </row>
    <row r="23" spans="1:14" s="17" customFormat="1" ht="15.75" customHeight="1" x14ac:dyDescent="0.25">
      <c r="A23" s="4">
        <v>22</v>
      </c>
      <c r="B23" s="5" t="s">
        <v>49</v>
      </c>
      <c r="C23" s="6" t="s">
        <v>15</v>
      </c>
      <c r="D23" s="6" t="s">
        <v>181</v>
      </c>
      <c r="E23" s="6" t="s">
        <v>544</v>
      </c>
      <c r="F23" s="6" t="s">
        <v>537</v>
      </c>
      <c r="G23" s="7">
        <f t="shared" si="0"/>
        <v>448</v>
      </c>
      <c r="H23" s="7">
        <v>60</v>
      </c>
      <c r="I23" s="7">
        <v>95</v>
      </c>
      <c r="J23" s="7">
        <v>69</v>
      </c>
      <c r="K23" s="7">
        <v>65</v>
      </c>
      <c r="L23" s="7">
        <v>79</v>
      </c>
      <c r="M23" s="7">
        <v>80</v>
      </c>
      <c r="N23" s="6"/>
    </row>
    <row r="24" spans="1:14" s="17" customFormat="1" ht="15.75" customHeight="1" x14ac:dyDescent="0.25">
      <c r="A24" s="4">
        <v>23</v>
      </c>
      <c r="B24" s="5" t="s">
        <v>206</v>
      </c>
      <c r="C24" s="6" t="s">
        <v>51</v>
      </c>
      <c r="D24" s="6"/>
      <c r="E24" s="6" t="s">
        <v>545</v>
      </c>
      <c r="F24" s="6" t="s">
        <v>1135</v>
      </c>
      <c r="G24" s="7">
        <f t="shared" si="0"/>
        <v>205</v>
      </c>
      <c r="H24" s="7">
        <v>20</v>
      </c>
      <c r="I24" s="7">
        <v>40</v>
      </c>
      <c r="J24" s="7">
        <v>15</v>
      </c>
      <c r="K24" s="7">
        <v>35</v>
      </c>
      <c r="L24" s="7">
        <v>35</v>
      </c>
      <c r="M24" s="7">
        <v>60</v>
      </c>
      <c r="N24" s="6"/>
    </row>
    <row r="25" spans="1:14" s="17" customFormat="1" ht="15.75" customHeight="1" x14ac:dyDescent="0.25">
      <c r="A25" s="4">
        <v>24</v>
      </c>
      <c r="B25" s="5" t="s">
        <v>50</v>
      </c>
      <c r="C25" s="6" t="s">
        <v>51</v>
      </c>
      <c r="D25" s="6"/>
      <c r="E25" s="6" t="s">
        <v>545</v>
      </c>
      <c r="F25" s="6" t="s">
        <v>1135</v>
      </c>
      <c r="G25" s="7">
        <f t="shared" si="0"/>
        <v>300</v>
      </c>
      <c r="H25" s="7">
        <v>35</v>
      </c>
      <c r="I25" s="7">
        <v>55</v>
      </c>
      <c r="J25" s="7">
        <v>30</v>
      </c>
      <c r="K25" s="7">
        <v>50</v>
      </c>
      <c r="L25" s="7">
        <v>40</v>
      </c>
      <c r="M25" s="7">
        <v>90</v>
      </c>
      <c r="N25" s="6"/>
    </row>
    <row r="26" spans="1:14" s="17" customFormat="1" ht="15.75" customHeight="1" x14ac:dyDescent="0.25">
      <c r="A26" s="4">
        <v>25</v>
      </c>
      <c r="B26" s="5" t="s">
        <v>52</v>
      </c>
      <c r="C26" s="6" t="s">
        <v>51</v>
      </c>
      <c r="D26" s="6"/>
      <c r="E26" s="6" t="s">
        <v>545</v>
      </c>
      <c r="F26" s="6" t="s">
        <v>1135</v>
      </c>
      <c r="G26" s="7">
        <f t="shared" si="0"/>
        <v>475</v>
      </c>
      <c r="H26" s="7">
        <v>60</v>
      </c>
      <c r="I26" s="7">
        <v>70</v>
      </c>
      <c r="J26" s="7">
        <v>65</v>
      </c>
      <c r="K26" s="7">
        <v>95</v>
      </c>
      <c r="L26" s="7">
        <v>85</v>
      </c>
      <c r="M26" s="7">
        <v>100</v>
      </c>
      <c r="N26" s="6"/>
    </row>
    <row r="27" spans="1:14" s="17" customFormat="1" ht="15.75" customHeight="1" x14ac:dyDescent="0.25">
      <c r="A27" s="4">
        <v>26</v>
      </c>
      <c r="B27" s="5" t="s">
        <v>53</v>
      </c>
      <c r="C27" s="6" t="s">
        <v>54</v>
      </c>
      <c r="D27" s="6"/>
      <c r="E27" s="6" t="s">
        <v>1234</v>
      </c>
      <c r="F27" s="6" t="s">
        <v>905</v>
      </c>
      <c r="G27" s="7">
        <f t="shared" si="0"/>
        <v>300</v>
      </c>
      <c r="H27" s="7">
        <v>50</v>
      </c>
      <c r="I27" s="7">
        <v>75</v>
      </c>
      <c r="J27" s="7">
        <v>85</v>
      </c>
      <c r="K27" s="7">
        <v>20</v>
      </c>
      <c r="L27" s="7">
        <v>30</v>
      </c>
      <c r="M27" s="7">
        <v>40</v>
      </c>
      <c r="N27" s="6"/>
    </row>
    <row r="28" spans="1:14" s="17" customFormat="1" ht="15.75" customHeight="1" x14ac:dyDescent="0.25">
      <c r="A28" s="4">
        <v>27</v>
      </c>
      <c r="B28" s="5" t="s">
        <v>55</v>
      </c>
      <c r="C28" s="6" t="s">
        <v>54</v>
      </c>
      <c r="D28" s="6"/>
      <c r="E28" s="6" t="s">
        <v>1234</v>
      </c>
      <c r="F28" s="6" t="s">
        <v>905</v>
      </c>
      <c r="G28" s="7">
        <f t="shared" si="0"/>
        <v>450</v>
      </c>
      <c r="H28" s="7">
        <v>75</v>
      </c>
      <c r="I28" s="7">
        <v>100</v>
      </c>
      <c r="J28" s="7">
        <v>110</v>
      </c>
      <c r="K28" s="7">
        <v>45</v>
      </c>
      <c r="L28" s="7">
        <v>55</v>
      </c>
      <c r="M28" s="7">
        <v>65</v>
      </c>
      <c r="N28" s="6"/>
    </row>
    <row r="29" spans="1:14" s="17" customFormat="1" ht="15.75" customHeight="1" x14ac:dyDescent="0.25">
      <c r="A29" s="4">
        <v>28</v>
      </c>
      <c r="B29" s="5" t="s">
        <v>56</v>
      </c>
      <c r="C29" s="6" t="s">
        <v>15</v>
      </c>
      <c r="D29" s="6"/>
      <c r="E29" s="6" t="s">
        <v>547</v>
      </c>
      <c r="F29" s="6" t="s">
        <v>548</v>
      </c>
      <c r="G29" s="7">
        <f t="shared" si="0"/>
        <v>275</v>
      </c>
      <c r="H29" s="7">
        <v>55</v>
      </c>
      <c r="I29" s="7">
        <v>47</v>
      </c>
      <c r="J29" s="7">
        <v>52</v>
      </c>
      <c r="K29" s="7">
        <v>40</v>
      </c>
      <c r="L29" s="7">
        <v>40</v>
      </c>
      <c r="M29" s="7">
        <v>41</v>
      </c>
      <c r="N29" s="6"/>
    </row>
    <row r="30" spans="1:14" s="17" customFormat="1" ht="15.75" customHeight="1" x14ac:dyDescent="0.25">
      <c r="A30" s="4">
        <v>29</v>
      </c>
      <c r="B30" s="5" t="s">
        <v>57</v>
      </c>
      <c r="C30" s="6" t="s">
        <v>15</v>
      </c>
      <c r="D30" s="6"/>
      <c r="E30" s="6" t="s">
        <v>547</v>
      </c>
      <c r="F30" s="6" t="s">
        <v>548</v>
      </c>
      <c r="G30" s="7">
        <f t="shared" si="0"/>
        <v>365</v>
      </c>
      <c r="H30" s="7">
        <v>70</v>
      </c>
      <c r="I30" s="7">
        <v>62</v>
      </c>
      <c r="J30" s="7">
        <v>67</v>
      </c>
      <c r="K30" s="7">
        <v>55</v>
      </c>
      <c r="L30" s="7">
        <v>55</v>
      </c>
      <c r="M30" s="7">
        <v>56</v>
      </c>
      <c r="N30" s="6"/>
    </row>
    <row r="31" spans="1:14" s="17" customFormat="1" ht="15.75" customHeight="1" x14ac:dyDescent="0.25">
      <c r="A31" s="4">
        <v>30</v>
      </c>
      <c r="B31" s="5" t="s">
        <v>58</v>
      </c>
      <c r="C31" s="6" t="s">
        <v>15</v>
      </c>
      <c r="D31" s="6" t="s">
        <v>119</v>
      </c>
      <c r="E31" s="6" t="s">
        <v>547</v>
      </c>
      <c r="F31" s="6" t="s">
        <v>548</v>
      </c>
      <c r="G31" s="7">
        <f t="shared" si="0"/>
        <v>505</v>
      </c>
      <c r="H31" s="7">
        <v>81</v>
      </c>
      <c r="I31" s="7">
        <v>92</v>
      </c>
      <c r="J31" s="7">
        <v>87</v>
      </c>
      <c r="K31" s="7">
        <v>84</v>
      </c>
      <c r="L31" s="7">
        <v>85</v>
      </c>
      <c r="M31" s="7">
        <v>76</v>
      </c>
      <c r="N31" s="6"/>
    </row>
    <row r="32" spans="1:14" s="17" customFormat="1" ht="15.75" customHeight="1" x14ac:dyDescent="0.25">
      <c r="A32" s="4">
        <v>31</v>
      </c>
      <c r="B32" s="5" t="s">
        <v>59</v>
      </c>
      <c r="C32" s="6" t="s">
        <v>15</v>
      </c>
      <c r="D32" s="6"/>
      <c r="E32" s="6" t="s">
        <v>547</v>
      </c>
      <c r="F32" s="6" t="s">
        <v>548</v>
      </c>
      <c r="G32" s="7">
        <f t="shared" si="0"/>
        <v>273</v>
      </c>
      <c r="H32" s="7">
        <v>46</v>
      </c>
      <c r="I32" s="7">
        <v>57</v>
      </c>
      <c r="J32" s="7">
        <v>40</v>
      </c>
      <c r="K32" s="7">
        <v>40</v>
      </c>
      <c r="L32" s="7">
        <v>40</v>
      </c>
      <c r="M32" s="7">
        <v>50</v>
      </c>
      <c r="N32" s="6"/>
    </row>
    <row r="33" spans="1:14" s="17" customFormat="1" ht="15.75" customHeight="1" x14ac:dyDescent="0.25">
      <c r="A33" s="4">
        <v>32</v>
      </c>
      <c r="B33" s="5" t="s">
        <v>60</v>
      </c>
      <c r="C33" s="6" t="s">
        <v>15</v>
      </c>
      <c r="D33" s="6"/>
      <c r="E33" s="6" t="s">
        <v>547</v>
      </c>
      <c r="F33" s="6" t="s">
        <v>548</v>
      </c>
      <c r="G33" s="7">
        <f t="shared" si="0"/>
        <v>365</v>
      </c>
      <c r="H33" s="7">
        <v>61</v>
      </c>
      <c r="I33" s="7">
        <v>72</v>
      </c>
      <c r="J33" s="7">
        <v>57</v>
      </c>
      <c r="K33" s="7">
        <v>55</v>
      </c>
      <c r="L33" s="7">
        <v>55</v>
      </c>
      <c r="M33" s="7">
        <v>65</v>
      </c>
      <c r="N33" s="6"/>
    </row>
    <row r="34" spans="1:14" s="17" customFormat="1" ht="15.75" customHeight="1" x14ac:dyDescent="0.25">
      <c r="A34" s="4">
        <v>33</v>
      </c>
      <c r="B34" s="5" t="s">
        <v>61</v>
      </c>
      <c r="C34" s="6" t="s">
        <v>15</v>
      </c>
      <c r="D34" s="6" t="s">
        <v>54</v>
      </c>
      <c r="E34" s="6" t="s">
        <v>547</v>
      </c>
      <c r="F34" s="6" t="s">
        <v>548</v>
      </c>
      <c r="G34" s="7">
        <f t="shared" si="0"/>
        <v>505</v>
      </c>
      <c r="H34" s="7">
        <v>81</v>
      </c>
      <c r="I34" s="7">
        <v>102</v>
      </c>
      <c r="J34" s="7">
        <v>77</v>
      </c>
      <c r="K34" s="7">
        <v>85</v>
      </c>
      <c r="L34" s="7">
        <v>75</v>
      </c>
      <c r="M34" s="7">
        <v>85</v>
      </c>
      <c r="N34" s="6"/>
    </row>
    <row r="35" spans="1:14" s="17" customFormat="1" ht="15.75" customHeight="1" x14ac:dyDescent="0.25">
      <c r="A35" s="4">
        <v>34</v>
      </c>
      <c r="B35" s="5" t="s">
        <v>207</v>
      </c>
      <c r="C35" s="6" t="s">
        <v>41</v>
      </c>
      <c r="D35" s="6"/>
      <c r="E35" s="6" t="s">
        <v>549</v>
      </c>
      <c r="F35" s="6" t="s">
        <v>550</v>
      </c>
      <c r="G35" s="7">
        <f t="shared" si="0"/>
        <v>218</v>
      </c>
      <c r="H35" s="7">
        <v>50</v>
      </c>
      <c r="I35" s="7">
        <v>25</v>
      </c>
      <c r="J35" s="7">
        <v>28</v>
      </c>
      <c r="K35" s="7">
        <v>45</v>
      </c>
      <c r="L35" s="7">
        <v>55</v>
      </c>
      <c r="M35" s="7">
        <v>15</v>
      </c>
      <c r="N35" s="6"/>
    </row>
    <row r="36" spans="1:14" s="17" customFormat="1" ht="15.75" customHeight="1" x14ac:dyDescent="0.25">
      <c r="A36" s="4">
        <v>35</v>
      </c>
      <c r="B36" s="5" t="s">
        <v>62</v>
      </c>
      <c r="C36" s="6" t="s">
        <v>41</v>
      </c>
      <c r="D36" s="6"/>
      <c r="E36" s="6" t="s">
        <v>549</v>
      </c>
      <c r="F36" s="6" t="s">
        <v>550</v>
      </c>
      <c r="G36" s="7">
        <f t="shared" si="0"/>
        <v>323</v>
      </c>
      <c r="H36" s="7">
        <v>70</v>
      </c>
      <c r="I36" s="7">
        <v>45</v>
      </c>
      <c r="J36" s="7">
        <v>48</v>
      </c>
      <c r="K36" s="7">
        <v>60</v>
      </c>
      <c r="L36" s="7">
        <v>65</v>
      </c>
      <c r="M36" s="7">
        <v>35</v>
      </c>
      <c r="N36" s="6"/>
    </row>
    <row r="37" spans="1:14" s="17" customFormat="1" ht="15.75" customHeight="1" x14ac:dyDescent="0.25">
      <c r="A37" s="4">
        <v>36</v>
      </c>
      <c r="B37" s="5" t="s">
        <v>63</v>
      </c>
      <c r="C37" s="6" t="s">
        <v>41</v>
      </c>
      <c r="D37" s="6"/>
      <c r="E37" s="6" t="s">
        <v>549</v>
      </c>
      <c r="F37" s="6" t="s">
        <v>550</v>
      </c>
      <c r="G37" s="7">
        <f t="shared" si="0"/>
        <v>473</v>
      </c>
      <c r="H37" s="7">
        <v>95</v>
      </c>
      <c r="I37" s="7">
        <v>70</v>
      </c>
      <c r="J37" s="7">
        <v>73</v>
      </c>
      <c r="K37" s="7">
        <v>85</v>
      </c>
      <c r="L37" s="7">
        <v>90</v>
      </c>
      <c r="M37" s="7">
        <v>60</v>
      </c>
      <c r="N37" s="6"/>
    </row>
    <row r="38" spans="1:14" s="17" customFormat="1" ht="15.75" customHeight="1" x14ac:dyDescent="0.25">
      <c r="A38" s="4">
        <v>37</v>
      </c>
      <c r="B38" s="5" t="s">
        <v>64</v>
      </c>
      <c r="C38" s="6" t="s">
        <v>21</v>
      </c>
      <c r="D38" s="6"/>
      <c r="E38" s="6" t="s">
        <v>551</v>
      </c>
      <c r="F38" s="6" t="s">
        <v>23</v>
      </c>
      <c r="G38" s="7">
        <f t="shared" si="0"/>
        <v>299</v>
      </c>
      <c r="H38" s="7">
        <v>38</v>
      </c>
      <c r="I38" s="7">
        <v>41</v>
      </c>
      <c r="J38" s="7">
        <v>40</v>
      </c>
      <c r="K38" s="7">
        <v>50</v>
      </c>
      <c r="L38" s="7">
        <v>65</v>
      </c>
      <c r="M38" s="7">
        <v>65</v>
      </c>
      <c r="N38" s="6"/>
    </row>
    <row r="39" spans="1:14" s="17" customFormat="1" ht="15.75" customHeight="1" x14ac:dyDescent="0.25">
      <c r="A39" s="4">
        <v>38</v>
      </c>
      <c r="B39" s="5" t="s">
        <v>65</v>
      </c>
      <c r="C39" s="6" t="s">
        <v>21</v>
      </c>
      <c r="D39" s="6" t="s">
        <v>92</v>
      </c>
      <c r="E39" s="6" t="s">
        <v>551</v>
      </c>
      <c r="F39" s="6" t="s">
        <v>23</v>
      </c>
      <c r="G39" s="7">
        <f t="shared" si="0"/>
        <v>505</v>
      </c>
      <c r="H39" s="7">
        <v>73</v>
      </c>
      <c r="I39" s="7">
        <v>76</v>
      </c>
      <c r="J39" s="7">
        <v>75</v>
      </c>
      <c r="K39" s="7">
        <v>81</v>
      </c>
      <c r="L39" s="7">
        <v>100</v>
      </c>
      <c r="M39" s="7">
        <v>100</v>
      </c>
      <c r="N39" s="6"/>
    </row>
    <row r="40" spans="1:14" s="17" customFormat="1" ht="15.75" customHeight="1" x14ac:dyDescent="0.25">
      <c r="A40" s="4">
        <v>39</v>
      </c>
      <c r="B40" s="5" t="s">
        <v>208</v>
      </c>
      <c r="C40" s="6" t="s">
        <v>41</v>
      </c>
      <c r="D40" s="6"/>
      <c r="E40" s="6" t="s">
        <v>549</v>
      </c>
      <c r="F40" s="6" t="s">
        <v>1235</v>
      </c>
      <c r="G40" s="7">
        <f t="shared" si="0"/>
        <v>210</v>
      </c>
      <c r="H40" s="7">
        <v>90</v>
      </c>
      <c r="I40" s="7">
        <v>30</v>
      </c>
      <c r="J40" s="7">
        <v>15</v>
      </c>
      <c r="K40" s="7">
        <v>40</v>
      </c>
      <c r="L40" s="7">
        <v>20</v>
      </c>
      <c r="M40" s="7">
        <v>15</v>
      </c>
      <c r="N40" s="6"/>
    </row>
    <row r="41" spans="1:14" s="17" customFormat="1" ht="15.75" customHeight="1" x14ac:dyDescent="0.25">
      <c r="A41" s="4">
        <v>40</v>
      </c>
      <c r="B41" s="5" t="s">
        <v>66</v>
      </c>
      <c r="C41" s="6" t="s">
        <v>41</v>
      </c>
      <c r="D41" s="6"/>
      <c r="E41" s="6" t="s">
        <v>549</v>
      </c>
      <c r="F41" s="6" t="s">
        <v>1235</v>
      </c>
      <c r="G41" s="7">
        <f t="shared" si="0"/>
        <v>310</v>
      </c>
      <c r="H41" s="7">
        <v>115</v>
      </c>
      <c r="I41" s="7">
        <v>45</v>
      </c>
      <c r="J41" s="7">
        <v>40</v>
      </c>
      <c r="K41" s="7">
        <v>45</v>
      </c>
      <c r="L41" s="7">
        <v>45</v>
      </c>
      <c r="M41" s="7">
        <v>20</v>
      </c>
      <c r="N41" s="6"/>
    </row>
    <row r="42" spans="1:14" s="17" customFormat="1" ht="15.75" customHeight="1" x14ac:dyDescent="0.25">
      <c r="A42" s="4">
        <v>41</v>
      </c>
      <c r="B42" s="5" t="s">
        <v>67</v>
      </c>
      <c r="C42" s="6" t="s">
        <v>41</v>
      </c>
      <c r="D42" s="6"/>
      <c r="E42" s="6" t="s">
        <v>549</v>
      </c>
      <c r="F42" s="6" t="s">
        <v>1235</v>
      </c>
      <c r="G42" s="7">
        <f t="shared" si="0"/>
        <v>455</v>
      </c>
      <c r="H42" s="7">
        <v>140</v>
      </c>
      <c r="I42" s="7">
        <v>100</v>
      </c>
      <c r="J42" s="7">
        <v>45</v>
      </c>
      <c r="K42" s="7">
        <v>75</v>
      </c>
      <c r="L42" s="7">
        <v>50</v>
      </c>
      <c r="M42" s="7">
        <v>45</v>
      </c>
      <c r="N42" s="6"/>
    </row>
    <row r="43" spans="1:14" s="17" customFormat="1" ht="15.75" customHeight="1" x14ac:dyDescent="0.25">
      <c r="A43" s="4">
        <v>42</v>
      </c>
      <c r="B43" s="5" t="s">
        <v>68</v>
      </c>
      <c r="C43" s="6" t="s">
        <v>15</v>
      </c>
      <c r="D43" s="6" t="s">
        <v>26</v>
      </c>
      <c r="E43" s="6" t="s">
        <v>552</v>
      </c>
      <c r="F43" s="6" t="s">
        <v>1236</v>
      </c>
      <c r="G43" s="7">
        <f t="shared" si="0"/>
        <v>245</v>
      </c>
      <c r="H43" s="7">
        <v>40</v>
      </c>
      <c r="I43" s="7">
        <v>45</v>
      </c>
      <c r="J43" s="7">
        <v>35</v>
      </c>
      <c r="K43" s="7">
        <v>30</v>
      </c>
      <c r="L43" s="7">
        <v>40</v>
      </c>
      <c r="M43" s="7">
        <v>55</v>
      </c>
      <c r="N43" s="6"/>
    </row>
    <row r="44" spans="1:14" s="17" customFormat="1" ht="15.75" customHeight="1" x14ac:dyDescent="0.25">
      <c r="A44" s="4">
        <v>43</v>
      </c>
      <c r="B44" s="5" t="s">
        <v>69</v>
      </c>
      <c r="C44" s="6" t="s">
        <v>15</v>
      </c>
      <c r="D44" s="6" t="s">
        <v>26</v>
      </c>
      <c r="E44" s="6" t="s">
        <v>552</v>
      </c>
      <c r="F44" s="6" t="s">
        <v>1236</v>
      </c>
      <c r="G44" s="7">
        <f t="shared" si="0"/>
        <v>455</v>
      </c>
      <c r="H44" s="7">
        <v>75</v>
      </c>
      <c r="I44" s="7">
        <v>80</v>
      </c>
      <c r="J44" s="7">
        <v>70</v>
      </c>
      <c r="K44" s="7">
        <v>65</v>
      </c>
      <c r="L44" s="7">
        <v>75</v>
      </c>
      <c r="M44" s="7">
        <v>90</v>
      </c>
      <c r="N44" s="6"/>
    </row>
    <row r="45" spans="1:14" s="17" customFormat="1" ht="15.75" customHeight="1" x14ac:dyDescent="0.25">
      <c r="A45" s="4">
        <v>44</v>
      </c>
      <c r="B45" s="5" t="s">
        <v>203</v>
      </c>
      <c r="C45" s="6" t="s">
        <v>15</v>
      </c>
      <c r="D45" s="6" t="s">
        <v>26</v>
      </c>
      <c r="E45" s="6" t="s">
        <v>552</v>
      </c>
      <c r="F45" s="6" t="s">
        <v>1236</v>
      </c>
      <c r="G45" s="7">
        <f t="shared" si="0"/>
        <v>535</v>
      </c>
      <c r="H45" s="7">
        <v>85</v>
      </c>
      <c r="I45" s="7">
        <v>90</v>
      </c>
      <c r="J45" s="7">
        <v>80</v>
      </c>
      <c r="K45" s="7">
        <v>70</v>
      </c>
      <c r="L45" s="7">
        <v>80</v>
      </c>
      <c r="M45" s="7">
        <v>130</v>
      </c>
      <c r="N45" s="6"/>
    </row>
    <row r="46" spans="1:14" s="17" customFormat="1" ht="15.75" customHeight="1" x14ac:dyDescent="0.25">
      <c r="A46" s="4">
        <v>45</v>
      </c>
      <c r="B46" s="5" t="s">
        <v>70</v>
      </c>
      <c r="C46" s="6" t="s">
        <v>14</v>
      </c>
      <c r="D46" s="6" t="s">
        <v>15</v>
      </c>
      <c r="E46" s="6" t="s">
        <v>553</v>
      </c>
      <c r="F46" s="6" t="s">
        <v>1507</v>
      </c>
      <c r="G46" s="7">
        <f t="shared" si="0"/>
        <v>320</v>
      </c>
      <c r="H46" s="7">
        <v>45</v>
      </c>
      <c r="I46" s="7">
        <v>50</v>
      </c>
      <c r="J46" s="7">
        <v>55</v>
      </c>
      <c r="K46" s="7">
        <v>75</v>
      </c>
      <c r="L46" s="7">
        <v>65</v>
      </c>
      <c r="M46" s="7">
        <v>30</v>
      </c>
      <c r="N46" s="6"/>
    </row>
    <row r="47" spans="1:14" s="17" customFormat="1" ht="15.75" customHeight="1" x14ac:dyDescent="0.25">
      <c r="A47" s="4">
        <v>46</v>
      </c>
      <c r="B47" s="5" t="s">
        <v>71</v>
      </c>
      <c r="C47" s="6" t="s">
        <v>14</v>
      </c>
      <c r="D47" s="6" t="s">
        <v>15</v>
      </c>
      <c r="E47" s="6" t="s">
        <v>553</v>
      </c>
      <c r="F47" s="6" t="s">
        <v>1507</v>
      </c>
      <c r="G47" s="7">
        <f t="shared" si="0"/>
        <v>395</v>
      </c>
      <c r="H47" s="7">
        <v>60</v>
      </c>
      <c r="I47" s="7">
        <v>65</v>
      </c>
      <c r="J47" s="7">
        <v>70</v>
      </c>
      <c r="K47" s="7">
        <v>85</v>
      </c>
      <c r="L47" s="7">
        <v>75</v>
      </c>
      <c r="M47" s="7">
        <v>40</v>
      </c>
      <c r="N47" s="6"/>
    </row>
    <row r="48" spans="1:14" s="17" customFormat="1" ht="15.75" customHeight="1" x14ac:dyDescent="0.25">
      <c r="A48" s="4">
        <v>47</v>
      </c>
      <c r="B48" s="5" t="s">
        <v>72</v>
      </c>
      <c r="C48" s="6" t="s">
        <v>14</v>
      </c>
      <c r="D48" s="6" t="s">
        <v>15</v>
      </c>
      <c r="E48" s="6" t="s">
        <v>553</v>
      </c>
      <c r="F48" s="6" t="s">
        <v>1507</v>
      </c>
      <c r="G48" s="7">
        <f t="shared" si="0"/>
        <v>490</v>
      </c>
      <c r="H48" s="7">
        <v>75</v>
      </c>
      <c r="I48" s="7">
        <v>80</v>
      </c>
      <c r="J48" s="7">
        <v>95</v>
      </c>
      <c r="K48" s="7">
        <v>100</v>
      </c>
      <c r="L48" s="7">
        <v>90</v>
      </c>
      <c r="M48" s="7">
        <v>50</v>
      </c>
      <c r="N48" s="6"/>
    </row>
    <row r="49" spans="1:14" s="17" customFormat="1" ht="15.75" customHeight="1" x14ac:dyDescent="0.25">
      <c r="A49" s="4">
        <v>48</v>
      </c>
      <c r="B49" s="5" t="s">
        <v>216</v>
      </c>
      <c r="C49" s="6" t="s">
        <v>14</v>
      </c>
      <c r="D49" s="6"/>
      <c r="E49" s="6" t="s">
        <v>1237</v>
      </c>
      <c r="F49" s="6" t="s">
        <v>17</v>
      </c>
      <c r="G49" s="7">
        <f t="shared" si="0"/>
        <v>490</v>
      </c>
      <c r="H49" s="7">
        <v>75</v>
      </c>
      <c r="I49" s="7">
        <v>60</v>
      </c>
      <c r="J49" s="7">
        <v>95</v>
      </c>
      <c r="K49" s="7">
        <v>90</v>
      </c>
      <c r="L49" s="7">
        <v>100</v>
      </c>
      <c r="M49" s="7">
        <v>70</v>
      </c>
      <c r="N49" s="6"/>
    </row>
    <row r="50" spans="1:14" s="17" customFormat="1" ht="15.75" customHeight="1" x14ac:dyDescent="0.25">
      <c r="A50" s="4">
        <v>49</v>
      </c>
      <c r="B50" s="5" t="s">
        <v>73</v>
      </c>
      <c r="C50" s="6" t="s">
        <v>34</v>
      </c>
      <c r="D50" s="6" t="s">
        <v>1136</v>
      </c>
      <c r="E50" s="6" t="s">
        <v>553</v>
      </c>
      <c r="F50" s="6" t="s">
        <v>554</v>
      </c>
      <c r="G50" s="7">
        <f t="shared" si="0"/>
        <v>285</v>
      </c>
      <c r="H50" s="7">
        <v>35</v>
      </c>
      <c r="I50" s="7">
        <v>70</v>
      </c>
      <c r="J50" s="7">
        <v>55</v>
      </c>
      <c r="K50" s="7">
        <v>45</v>
      </c>
      <c r="L50" s="7">
        <v>55</v>
      </c>
      <c r="M50" s="7">
        <v>25</v>
      </c>
      <c r="N50" s="6"/>
    </row>
    <row r="51" spans="1:14" s="17" customFormat="1" ht="15.75" customHeight="1" x14ac:dyDescent="0.25">
      <c r="A51" s="4">
        <v>50</v>
      </c>
      <c r="B51" s="5" t="s">
        <v>74</v>
      </c>
      <c r="C51" s="6" t="s">
        <v>34</v>
      </c>
      <c r="D51" s="6" t="s">
        <v>125</v>
      </c>
      <c r="E51" s="6" t="s">
        <v>553</v>
      </c>
      <c r="F51" s="6" t="s">
        <v>554</v>
      </c>
      <c r="G51" s="7">
        <f t="shared" si="0"/>
        <v>430</v>
      </c>
      <c r="H51" s="7">
        <v>40</v>
      </c>
      <c r="I51" s="7">
        <v>95</v>
      </c>
      <c r="J51" s="7">
        <v>105</v>
      </c>
      <c r="K51" s="7">
        <v>60</v>
      </c>
      <c r="L51" s="7">
        <v>100</v>
      </c>
      <c r="M51" s="7">
        <v>30</v>
      </c>
      <c r="N51" s="6"/>
    </row>
    <row r="52" spans="1:14" s="17" customFormat="1" ht="15.75" customHeight="1" x14ac:dyDescent="0.25">
      <c r="A52" s="4">
        <v>51</v>
      </c>
      <c r="B52" s="5" t="s">
        <v>75</v>
      </c>
      <c r="C52" s="6" t="s">
        <v>34</v>
      </c>
      <c r="D52" s="6" t="s">
        <v>15</v>
      </c>
      <c r="E52" s="6" t="s">
        <v>538</v>
      </c>
      <c r="F52" s="6" t="s">
        <v>555</v>
      </c>
      <c r="G52" s="7">
        <f t="shared" si="0"/>
        <v>305</v>
      </c>
      <c r="H52" s="7">
        <v>60</v>
      </c>
      <c r="I52" s="7">
        <v>55</v>
      </c>
      <c r="J52" s="7">
        <v>50</v>
      </c>
      <c r="K52" s="7">
        <v>40</v>
      </c>
      <c r="L52" s="7">
        <v>55</v>
      </c>
      <c r="M52" s="7">
        <v>45</v>
      </c>
      <c r="N52" s="6"/>
    </row>
    <row r="53" spans="1:14" s="17" customFormat="1" ht="15.75" customHeight="1" x14ac:dyDescent="0.25">
      <c r="A53" s="4">
        <v>52</v>
      </c>
      <c r="B53" s="5" t="s">
        <v>76</v>
      </c>
      <c r="C53" s="6" t="s">
        <v>34</v>
      </c>
      <c r="D53" s="6" t="s">
        <v>15</v>
      </c>
      <c r="E53" s="6" t="s">
        <v>536</v>
      </c>
      <c r="F53" s="6" t="s">
        <v>555</v>
      </c>
      <c r="G53" s="7">
        <f t="shared" si="0"/>
        <v>455</v>
      </c>
      <c r="H53" s="7">
        <v>70</v>
      </c>
      <c r="I53" s="7">
        <v>65</v>
      </c>
      <c r="J53" s="7">
        <v>60</v>
      </c>
      <c r="K53" s="7">
        <v>100</v>
      </c>
      <c r="L53" s="7">
        <v>70</v>
      </c>
      <c r="M53" s="7">
        <v>90</v>
      </c>
      <c r="N53" s="6"/>
    </row>
    <row r="54" spans="1:14" s="17" customFormat="1" ht="15.75" customHeight="1" x14ac:dyDescent="0.25">
      <c r="A54" s="4">
        <v>53</v>
      </c>
      <c r="B54" s="5" t="s">
        <v>77</v>
      </c>
      <c r="C54" s="6" t="s">
        <v>54</v>
      </c>
      <c r="D54" s="6"/>
      <c r="E54" s="6" t="s">
        <v>1148</v>
      </c>
      <c r="F54" s="6" t="s">
        <v>556</v>
      </c>
      <c r="G54" s="7">
        <f t="shared" si="0"/>
        <v>265</v>
      </c>
      <c r="H54" s="7">
        <v>10</v>
      </c>
      <c r="I54" s="7">
        <v>55</v>
      </c>
      <c r="J54" s="7">
        <v>25</v>
      </c>
      <c r="K54" s="7">
        <v>35</v>
      </c>
      <c r="L54" s="7">
        <v>45</v>
      </c>
      <c r="M54" s="7">
        <v>95</v>
      </c>
      <c r="N54" s="6"/>
    </row>
    <row r="55" spans="1:14" s="17" customFormat="1" ht="15.75" customHeight="1" x14ac:dyDescent="0.25">
      <c r="A55" s="4">
        <v>54</v>
      </c>
      <c r="B55" s="5" t="s">
        <v>78</v>
      </c>
      <c r="C55" s="6" t="s">
        <v>54</v>
      </c>
      <c r="D55" s="6"/>
      <c r="E55" s="6" t="s">
        <v>1148</v>
      </c>
      <c r="F55" s="6" t="s">
        <v>556</v>
      </c>
      <c r="G55" s="7">
        <f t="shared" si="0"/>
        <v>425</v>
      </c>
      <c r="H55" s="7">
        <v>35</v>
      </c>
      <c r="I55" s="7">
        <v>100</v>
      </c>
      <c r="J55" s="7">
        <v>50</v>
      </c>
      <c r="K55" s="7">
        <v>50</v>
      </c>
      <c r="L55" s="7">
        <v>70</v>
      </c>
      <c r="M55" s="7">
        <v>120</v>
      </c>
      <c r="N55" s="6"/>
    </row>
    <row r="56" spans="1:14" s="17" customFormat="1" ht="15.75" customHeight="1" x14ac:dyDescent="0.25">
      <c r="A56" s="4">
        <v>55</v>
      </c>
      <c r="B56" s="5" t="s">
        <v>79</v>
      </c>
      <c r="C56" s="6" t="s">
        <v>41</v>
      </c>
      <c r="D56" s="6"/>
      <c r="E56" s="6" t="s">
        <v>557</v>
      </c>
      <c r="F56" s="6" t="s">
        <v>558</v>
      </c>
      <c r="G56" s="7">
        <f t="shared" si="0"/>
        <v>290</v>
      </c>
      <c r="H56" s="7">
        <v>40</v>
      </c>
      <c r="I56" s="7">
        <v>45</v>
      </c>
      <c r="J56" s="7">
        <v>35</v>
      </c>
      <c r="K56" s="7">
        <v>40</v>
      </c>
      <c r="L56" s="7">
        <v>40</v>
      </c>
      <c r="M56" s="7">
        <v>90</v>
      </c>
      <c r="N56" s="6"/>
    </row>
    <row r="57" spans="1:14" s="17" customFormat="1" ht="15.75" customHeight="1" x14ac:dyDescent="0.25">
      <c r="A57" s="4">
        <v>56</v>
      </c>
      <c r="B57" s="5" t="s">
        <v>80</v>
      </c>
      <c r="C57" s="6" t="s">
        <v>41</v>
      </c>
      <c r="D57" s="6"/>
      <c r="E57" s="6" t="s">
        <v>559</v>
      </c>
      <c r="F57" s="6" t="s">
        <v>558</v>
      </c>
      <c r="G57" s="7">
        <f t="shared" si="0"/>
        <v>440</v>
      </c>
      <c r="H57" s="7">
        <v>65</v>
      </c>
      <c r="I57" s="7">
        <v>70</v>
      </c>
      <c r="J57" s="7">
        <v>60</v>
      </c>
      <c r="K57" s="7">
        <v>65</v>
      </c>
      <c r="L57" s="7">
        <v>65</v>
      </c>
      <c r="M57" s="7">
        <v>115</v>
      </c>
      <c r="N57" s="6"/>
    </row>
    <row r="58" spans="1:14" s="17" customFormat="1" ht="15.75" customHeight="1" x14ac:dyDescent="0.25">
      <c r="A58" s="4">
        <v>57</v>
      </c>
      <c r="B58" s="5" t="s">
        <v>81</v>
      </c>
      <c r="C58" s="6" t="s">
        <v>28</v>
      </c>
      <c r="D58" s="6"/>
      <c r="E58" s="6" t="s">
        <v>1458</v>
      </c>
      <c r="F58" s="6" t="s">
        <v>561</v>
      </c>
      <c r="G58" s="7">
        <f t="shared" si="0"/>
        <v>320</v>
      </c>
      <c r="H58" s="7">
        <v>50</v>
      </c>
      <c r="I58" s="7">
        <v>72</v>
      </c>
      <c r="J58" s="7">
        <v>48</v>
      </c>
      <c r="K58" s="7">
        <v>45</v>
      </c>
      <c r="L58" s="7">
        <v>50</v>
      </c>
      <c r="M58" s="7">
        <v>55</v>
      </c>
      <c r="N58" s="6"/>
    </row>
    <row r="59" spans="1:14" s="17" customFormat="1" ht="15.75" customHeight="1" x14ac:dyDescent="0.25">
      <c r="A59" s="4">
        <v>58</v>
      </c>
      <c r="B59" s="5" t="s">
        <v>82</v>
      </c>
      <c r="C59" s="6" t="s">
        <v>28</v>
      </c>
      <c r="D59" s="6"/>
      <c r="E59" s="6" t="s">
        <v>1458</v>
      </c>
      <c r="F59" s="6" t="s">
        <v>561</v>
      </c>
      <c r="G59" s="7">
        <f t="shared" si="0"/>
        <v>500</v>
      </c>
      <c r="H59" s="7">
        <v>80</v>
      </c>
      <c r="I59" s="7">
        <v>112</v>
      </c>
      <c r="J59" s="7">
        <v>78</v>
      </c>
      <c r="K59" s="7">
        <v>65</v>
      </c>
      <c r="L59" s="7">
        <v>80</v>
      </c>
      <c r="M59" s="7">
        <v>85</v>
      </c>
      <c r="N59" s="6"/>
    </row>
    <row r="60" spans="1:14" s="17" customFormat="1" ht="15.75" customHeight="1" x14ac:dyDescent="0.25">
      <c r="A60" s="4">
        <v>59</v>
      </c>
      <c r="B60" s="5" t="s">
        <v>83</v>
      </c>
      <c r="C60" s="6" t="s">
        <v>84</v>
      </c>
      <c r="D60" s="6"/>
      <c r="E60" s="6" t="s">
        <v>562</v>
      </c>
      <c r="F60" s="6" t="s">
        <v>563</v>
      </c>
      <c r="G60" s="7">
        <f t="shared" si="0"/>
        <v>305</v>
      </c>
      <c r="H60" s="7">
        <v>40</v>
      </c>
      <c r="I60" s="7">
        <v>80</v>
      </c>
      <c r="J60" s="7">
        <v>35</v>
      </c>
      <c r="K60" s="7">
        <v>35</v>
      </c>
      <c r="L60" s="7">
        <v>45</v>
      </c>
      <c r="M60" s="7">
        <v>70</v>
      </c>
      <c r="N60" s="6"/>
    </row>
    <row r="61" spans="1:14" s="17" customFormat="1" ht="15.75" customHeight="1" x14ac:dyDescent="0.25">
      <c r="A61" s="4">
        <v>60</v>
      </c>
      <c r="B61" s="5" t="s">
        <v>85</v>
      </c>
      <c r="C61" s="6" t="s">
        <v>84</v>
      </c>
      <c r="D61" s="6"/>
      <c r="E61" s="6" t="s">
        <v>562</v>
      </c>
      <c r="F61" s="6" t="s">
        <v>563</v>
      </c>
      <c r="G61" s="7">
        <f t="shared" si="0"/>
        <v>455</v>
      </c>
      <c r="H61" s="7">
        <v>65</v>
      </c>
      <c r="I61" s="7">
        <v>105</v>
      </c>
      <c r="J61" s="7">
        <v>60</v>
      </c>
      <c r="K61" s="7">
        <v>60</v>
      </c>
      <c r="L61" s="7">
        <v>70</v>
      </c>
      <c r="M61" s="7">
        <v>95</v>
      </c>
      <c r="N61" s="6"/>
    </row>
    <row r="62" spans="1:14" s="17" customFormat="1" ht="15.75" customHeight="1" x14ac:dyDescent="0.25">
      <c r="A62" s="4">
        <v>61</v>
      </c>
      <c r="B62" s="5" t="s">
        <v>958</v>
      </c>
      <c r="C62" s="6" t="s">
        <v>84</v>
      </c>
      <c r="D62" s="6" t="s">
        <v>125</v>
      </c>
      <c r="E62" s="6" t="s">
        <v>562</v>
      </c>
      <c r="F62" s="6" t="s">
        <v>552</v>
      </c>
      <c r="G62" s="7">
        <f t="shared" si="0"/>
        <v>530</v>
      </c>
      <c r="H62" s="7">
        <v>110</v>
      </c>
      <c r="I62" s="7">
        <v>115</v>
      </c>
      <c r="J62" s="7">
        <v>80</v>
      </c>
      <c r="K62" s="7">
        <v>50</v>
      </c>
      <c r="L62" s="7">
        <v>90</v>
      </c>
      <c r="M62" s="7">
        <v>85</v>
      </c>
      <c r="N62" s="6"/>
    </row>
    <row r="63" spans="1:14" s="17" customFormat="1" ht="15.75" customHeight="1" x14ac:dyDescent="0.25">
      <c r="A63" s="4">
        <v>62</v>
      </c>
      <c r="B63" s="5" t="s">
        <v>86</v>
      </c>
      <c r="C63" s="6" t="s">
        <v>21</v>
      </c>
      <c r="D63" s="6"/>
      <c r="E63" s="6" t="s">
        <v>544</v>
      </c>
      <c r="F63" s="6" t="s">
        <v>551</v>
      </c>
      <c r="G63" s="7">
        <f t="shared" si="0"/>
        <v>350</v>
      </c>
      <c r="H63" s="7">
        <v>55</v>
      </c>
      <c r="I63" s="7">
        <v>70</v>
      </c>
      <c r="J63" s="7">
        <v>45</v>
      </c>
      <c r="K63" s="7">
        <v>70</v>
      </c>
      <c r="L63" s="7">
        <v>50</v>
      </c>
      <c r="M63" s="7">
        <v>60</v>
      </c>
      <c r="N63" s="6"/>
    </row>
    <row r="64" spans="1:14" s="17" customFormat="1" ht="15.75" customHeight="1" x14ac:dyDescent="0.25">
      <c r="A64" s="4">
        <v>63</v>
      </c>
      <c r="B64" s="5" t="s">
        <v>87</v>
      </c>
      <c r="C64" s="6" t="s">
        <v>21</v>
      </c>
      <c r="D64" s="6"/>
      <c r="E64" s="6" t="s">
        <v>544</v>
      </c>
      <c r="F64" s="6" t="s">
        <v>551</v>
      </c>
      <c r="G64" s="7">
        <f t="shared" si="0"/>
        <v>555</v>
      </c>
      <c r="H64" s="7">
        <v>90</v>
      </c>
      <c r="I64" s="7">
        <v>110</v>
      </c>
      <c r="J64" s="7">
        <v>80</v>
      </c>
      <c r="K64" s="7">
        <v>100</v>
      </c>
      <c r="L64" s="7">
        <v>80</v>
      </c>
      <c r="M64" s="7">
        <v>95</v>
      </c>
      <c r="N64" s="6"/>
    </row>
    <row r="65" spans="1:14" s="17" customFormat="1" ht="15.75" customHeight="1" x14ac:dyDescent="0.25">
      <c r="A65" s="4">
        <v>64</v>
      </c>
      <c r="B65" s="5" t="s">
        <v>88</v>
      </c>
      <c r="C65" s="6" t="s">
        <v>28</v>
      </c>
      <c r="D65" s="6"/>
      <c r="E65" s="6" t="s">
        <v>564</v>
      </c>
      <c r="F65" s="6" t="s">
        <v>594</v>
      </c>
      <c r="G65" s="7">
        <f t="shared" si="0"/>
        <v>300</v>
      </c>
      <c r="H65" s="7">
        <v>40</v>
      </c>
      <c r="I65" s="7">
        <v>50</v>
      </c>
      <c r="J65" s="7">
        <v>40</v>
      </c>
      <c r="K65" s="7">
        <v>40</v>
      </c>
      <c r="L65" s="7">
        <v>40</v>
      </c>
      <c r="M65" s="7">
        <v>90</v>
      </c>
      <c r="N65" s="6"/>
    </row>
    <row r="66" spans="1:14" s="17" customFormat="1" ht="15.75" customHeight="1" x14ac:dyDescent="0.25">
      <c r="A66" s="4">
        <v>65</v>
      </c>
      <c r="B66" s="5" t="s">
        <v>89</v>
      </c>
      <c r="C66" s="6" t="s">
        <v>28</v>
      </c>
      <c r="D66" s="6"/>
      <c r="E66" s="6" t="s">
        <v>564</v>
      </c>
      <c r="F66" s="6" t="s">
        <v>594</v>
      </c>
      <c r="G66" s="7">
        <f t="shared" ref="G66:G129" si="1">SUM(H66:M66)</f>
        <v>385</v>
      </c>
      <c r="H66" s="7">
        <v>65</v>
      </c>
      <c r="I66" s="7">
        <v>65</v>
      </c>
      <c r="J66" s="7">
        <v>65</v>
      </c>
      <c r="K66" s="7">
        <v>50</v>
      </c>
      <c r="L66" s="7">
        <v>50</v>
      </c>
      <c r="M66" s="7">
        <v>90</v>
      </c>
      <c r="N66" s="6"/>
    </row>
    <row r="67" spans="1:14" s="17" customFormat="1" ht="15.75" customHeight="1" x14ac:dyDescent="0.25">
      <c r="A67" s="4">
        <v>66</v>
      </c>
      <c r="B67" s="5" t="s">
        <v>90</v>
      </c>
      <c r="C67" s="6" t="s">
        <v>28</v>
      </c>
      <c r="D67" s="6" t="s">
        <v>84</v>
      </c>
      <c r="E67" s="6" t="s">
        <v>564</v>
      </c>
      <c r="F67" s="6" t="s">
        <v>594</v>
      </c>
      <c r="G67" s="7">
        <f t="shared" si="1"/>
        <v>505</v>
      </c>
      <c r="H67" s="7">
        <v>90</v>
      </c>
      <c r="I67" s="7">
        <v>95</v>
      </c>
      <c r="J67" s="7">
        <v>95</v>
      </c>
      <c r="K67" s="7">
        <v>60</v>
      </c>
      <c r="L67" s="7">
        <v>95</v>
      </c>
      <c r="M67" s="7">
        <v>70</v>
      </c>
      <c r="N67" s="6"/>
    </row>
    <row r="68" spans="1:14" s="17" customFormat="1" ht="15.75" customHeight="1" x14ac:dyDescent="0.25">
      <c r="A68" s="4">
        <v>67</v>
      </c>
      <c r="B68" s="5" t="s">
        <v>220</v>
      </c>
      <c r="C68" s="6" t="s">
        <v>28</v>
      </c>
      <c r="D68" s="6"/>
      <c r="E68" s="6" t="s">
        <v>564</v>
      </c>
      <c r="F68" s="6" t="s">
        <v>644</v>
      </c>
      <c r="G68" s="7">
        <f t="shared" si="1"/>
        <v>495</v>
      </c>
      <c r="H68" s="7">
        <v>90</v>
      </c>
      <c r="I68" s="7">
        <v>65</v>
      </c>
      <c r="J68" s="7">
        <v>80</v>
      </c>
      <c r="K68" s="7">
        <v>90</v>
      </c>
      <c r="L68" s="7">
        <v>100</v>
      </c>
      <c r="M68" s="7">
        <v>70</v>
      </c>
      <c r="N68" s="6"/>
    </row>
    <row r="69" spans="1:14" s="17" customFormat="1" ht="15.75" customHeight="1" x14ac:dyDescent="0.25">
      <c r="A69" s="4">
        <v>68</v>
      </c>
      <c r="B69" s="5" t="s">
        <v>91</v>
      </c>
      <c r="C69" s="6" t="s">
        <v>92</v>
      </c>
      <c r="D69" s="6"/>
      <c r="E69" s="6" t="s">
        <v>565</v>
      </c>
      <c r="F69" s="6" t="s">
        <v>552</v>
      </c>
      <c r="G69" s="7">
        <f t="shared" si="1"/>
        <v>310</v>
      </c>
      <c r="H69" s="7">
        <v>25</v>
      </c>
      <c r="I69" s="7">
        <v>20</v>
      </c>
      <c r="J69" s="7">
        <v>15</v>
      </c>
      <c r="K69" s="7">
        <v>105</v>
      </c>
      <c r="L69" s="7">
        <v>55</v>
      </c>
      <c r="M69" s="7">
        <v>90</v>
      </c>
      <c r="N69" s="6"/>
    </row>
    <row r="70" spans="1:14" s="17" customFormat="1" ht="15.75" customHeight="1" x14ac:dyDescent="0.25">
      <c r="A70" s="4">
        <v>69</v>
      </c>
      <c r="B70" s="5" t="s">
        <v>93</v>
      </c>
      <c r="C70" s="6" t="s">
        <v>92</v>
      </c>
      <c r="D70" s="6"/>
      <c r="E70" s="6" t="s">
        <v>565</v>
      </c>
      <c r="F70" s="6" t="s">
        <v>552</v>
      </c>
      <c r="G70" s="7">
        <f t="shared" si="1"/>
        <v>400</v>
      </c>
      <c r="H70" s="7">
        <v>40</v>
      </c>
      <c r="I70" s="7">
        <v>35</v>
      </c>
      <c r="J70" s="7">
        <v>30</v>
      </c>
      <c r="K70" s="7">
        <v>120</v>
      </c>
      <c r="L70" s="7">
        <v>70</v>
      </c>
      <c r="M70" s="7">
        <v>105</v>
      </c>
      <c r="N70" s="6"/>
    </row>
    <row r="71" spans="1:14" s="17" customFormat="1" ht="15.75" customHeight="1" x14ac:dyDescent="0.25">
      <c r="A71" s="4">
        <v>70</v>
      </c>
      <c r="B71" s="5" t="s">
        <v>94</v>
      </c>
      <c r="C71" s="6" t="s">
        <v>92</v>
      </c>
      <c r="D71" s="6"/>
      <c r="E71" s="6" t="s">
        <v>565</v>
      </c>
      <c r="F71" s="6" t="s">
        <v>552</v>
      </c>
      <c r="G71" s="7">
        <f t="shared" si="1"/>
        <v>490</v>
      </c>
      <c r="H71" s="7">
        <v>55</v>
      </c>
      <c r="I71" s="7">
        <v>50</v>
      </c>
      <c r="J71" s="7">
        <v>45</v>
      </c>
      <c r="K71" s="7">
        <v>135</v>
      </c>
      <c r="L71" s="7">
        <v>85</v>
      </c>
      <c r="M71" s="7">
        <v>120</v>
      </c>
      <c r="N71" s="6"/>
    </row>
    <row r="72" spans="1:14" s="17" customFormat="1" ht="15.75" customHeight="1" x14ac:dyDescent="0.25">
      <c r="A72" s="4">
        <v>71</v>
      </c>
      <c r="B72" s="5" t="s">
        <v>95</v>
      </c>
      <c r="C72" s="6" t="s">
        <v>84</v>
      </c>
      <c r="D72" s="6"/>
      <c r="E72" s="6" t="s">
        <v>543</v>
      </c>
      <c r="F72" s="6" t="s">
        <v>566</v>
      </c>
      <c r="G72" s="7">
        <f t="shared" si="1"/>
        <v>305</v>
      </c>
      <c r="H72" s="7">
        <v>70</v>
      </c>
      <c r="I72" s="7">
        <v>80</v>
      </c>
      <c r="J72" s="7">
        <v>50</v>
      </c>
      <c r="K72" s="7">
        <v>35</v>
      </c>
      <c r="L72" s="7">
        <v>35</v>
      </c>
      <c r="M72" s="7">
        <v>35</v>
      </c>
      <c r="N72" s="6"/>
    </row>
    <row r="73" spans="1:14" s="17" customFormat="1" ht="15.75" customHeight="1" x14ac:dyDescent="0.25">
      <c r="A73" s="4">
        <v>72</v>
      </c>
      <c r="B73" s="5" t="s">
        <v>96</v>
      </c>
      <c r="C73" s="6" t="s">
        <v>84</v>
      </c>
      <c r="D73" s="6"/>
      <c r="E73" s="6" t="s">
        <v>543</v>
      </c>
      <c r="F73" s="6" t="s">
        <v>566</v>
      </c>
      <c r="G73" s="7">
        <f t="shared" si="1"/>
        <v>405</v>
      </c>
      <c r="H73" s="7">
        <v>80</v>
      </c>
      <c r="I73" s="7">
        <v>100</v>
      </c>
      <c r="J73" s="7">
        <v>70</v>
      </c>
      <c r="K73" s="7">
        <v>50</v>
      </c>
      <c r="L73" s="7">
        <v>60</v>
      </c>
      <c r="M73" s="7">
        <v>45</v>
      </c>
      <c r="N73" s="6"/>
    </row>
    <row r="74" spans="1:14" s="17" customFormat="1" ht="15.75" customHeight="1" x14ac:dyDescent="0.25">
      <c r="A74" s="4">
        <v>73</v>
      </c>
      <c r="B74" s="5" t="s">
        <v>97</v>
      </c>
      <c r="C74" s="6" t="s">
        <v>84</v>
      </c>
      <c r="D74" s="6"/>
      <c r="E74" s="6" t="s">
        <v>543</v>
      </c>
      <c r="F74" s="6" t="s">
        <v>566</v>
      </c>
      <c r="G74" s="7">
        <f t="shared" si="1"/>
        <v>505</v>
      </c>
      <c r="H74" s="7">
        <v>90</v>
      </c>
      <c r="I74" s="7">
        <v>130</v>
      </c>
      <c r="J74" s="7">
        <v>80</v>
      </c>
      <c r="K74" s="7">
        <v>65</v>
      </c>
      <c r="L74" s="7">
        <v>85</v>
      </c>
      <c r="M74" s="7">
        <v>55</v>
      </c>
      <c r="N74" s="6"/>
    </row>
    <row r="75" spans="1:14" s="17" customFormat="1" ht="15.75" customHeight="1" x14ac:dyDescent="0.25">
      <c r="A75" s="4">
        <v>74</v>
      </c>
      <c r="B75" s="5" t="s">
        <v>98</v>
      </c>
      <c r="C75" s="6" t="s">
        <v>14</v>
      </c>
      <c r="D75" s="6" t="s">
        <v>15</v>
      </c>
      <c r="E75" s="6" t="s">
        <v>17</v>
      </c>
      <c r="F75" s="6" t="s">
        <v>617</v>
      </c>
      <c r="G75" s="7">
        <f t="shared" si="1"/>
        <v>300</v>
      </c>
      <c r="H75" s="7">
        <v>50</v>
      </c>
      <c r="I75" s="7">
        <v>75</v>
      </c>
      <c r="J75" s="7">
        <v>35</v>
      </c>
      <c r="K75" s="7">
        <v>70</v>
      </c>
      <c r="L75" s="7">
        <v>30</v>
      </c>
      <c r="M75" s="7">
        <v>40</v>
      </c>
      <c r="N75" s="6"/>
    </row>
    <row r="76" spans="1:14" s="17" customFormat="1" ht="15.75" customHeight="1" x14ac:dyDescent="0.25">
      <c r="A76" s="4">
        <v>75</v>
      </c>
      <c r="B76" s="5" t="s">
        <v>99</v>
      </c>
      <c r="C76" s="6" t="s">
        <v>14</v>
      </c>
      <c r="D76" s="6" t="s">
        <v>15</v>
      </c>
      <c r="E76" s="6" t="s">
        <v>17</v>
      </c>
      <c r="F76" s="6" t="s">
        <v>617</v>
      </c>
      <c r="G76" s="7">
        <f t="shared" si="1"/>
        <v>390</v>
      </c>
      <c r="H76" s="7">
        <v>65</v>
      </c>
      <c r="I76" s="7">
        <v>90</v>
      </c>
      <c r="J76" s="7">
        <v>50</v>
      </c>
      <c r="K76" s="7">
        <v>85</v>
      </c>
      <c r="L76" s="7">
        <v>45</v>
      </c>
      <c r="M76" s="7">
        <v>55</v>
      </c>
      <c r="N76" s="6"/>
    </row>
    <row r="77" spans="1:14" s="17" customFormat="1" ht="15.75" customHeight="1" x14ac:dyDescent="0.25">
      <c r="A77" s="4">
        <v>76</v>
      </c>
      <c r="B77" s="5" t="s">
        <v>100</v>
      </c>
      <c r="C77" s="6" t="s">
        <v>14</v>
      </c>
      <c r="D77" s="6" t="s">
        <v>15</v>
      </c>
      <c r="E77" s="6" t="s">
        <v>17</v>
      </c>
      <c r="F77" s="6" t="s">
        <v>1239</v>
      </c>
      <c r="G77" s="7">
        <f t="shared" si="1"/>
        <v>500</v>
      </c>
      <c r="H77" s="7">
        <v>80</v>
      </c>
      <c r="I77" s="7">
        <v>105</v>
      </c>
      <c r="J77" s="7">
        <v>70</v>
      </c>
      <c r="K77" s="7">
        <v>105</v>
      </c>
      <c r="L77" s="7">
        <v>70</v>
      </c>
      <c r="M77" s="7">
        <v>70</v>
      </c>
      <c r="N77" s="6"/>
    </row>
    <row r="78" spans="1:14" s="17" customFormat="1" ht="15.75" customHeight="1" x14ac:dyDescent="0.25">
      <c r="A78" s="4">
        <v>77</v>
      </c>
      <c r="B78" s="5" t="s">
        <v>101</v>
      </c>
      <c r="C78" s="6" t="s">
        <v>28</v>
      </c>
      <c r="D78" s="6" t="s">
        <v>15</v>
      </c>
      <c r="E78" s="6" t="s">
        <v>624</v>
      </c>
      <c r="F78" s="6" t="s">
        <v>568</v>
      </c>
      <c r="G78" s="7">
        <f t="shared" si="1"/>
        <v>335</v>
      </c>
      <c r="H78" s="7">
        <v>40</v>
      </c>
      <c r="I78" s="7">
        <v>40</v>
      </c>
      <c r="J78" s="7">
        <v>35</v>
      </c>
      <c r="K78" s="7">
        <v>50</v>
      </c>
      <c r="L78" s="7">
        <v>100</v>
      </c>
      <c r="M78" s="7">
        <v>70</v>
      </c>
      <c r="N78" s="6"/>
    </row>
    <row r="79" spans="1:14" s="17" customFormat="1" ht="15.75" customHeight="1" x14ac:dyDescent="0.25">
      <c r="A79" s="4">
        <v>78</v>
      </c>
      <c r="B79" s="5" t="s">
        <v>102</v>
      </c>
      <c r="C79" s="6" t="s">
        <v>28</v>
      </c>
      <c r="D79" s="6" t="s">
        <v>15</v>
      </c>
      <c r="E79" s="6" t="s">
        <v>624</v>
      </c>
      <c r="F79" s="6" t="s">
        <v>568</v>
      </c>
      <c r="G79" s="7">
        <f t="shared" si="1"/>
        <v>535</v>
      </c>
      <c r="H79" s="7">
        <v>80</v>
      </c>
      <c r="I79" s="7">
        <v>90</v>
      </c>
      <c r="J79" s="7">
        <v>65</v>
      </c>
      <c r="K79" s="7">
        <v>80</v>
      </c>
      <c r="L79" s="7">
        <v>120</v>
      </c>
      <c r="M79" s="7">
        <v>100</v>
      </c>
      <c r="N79" s="6"/>
    </row>
    <row r="80" spans="1:14" s="17" customFormat="1" ht="15.75" customHeight="1" x14ac:dyDescent="0.25">
      <c r="A80" s="4">
        <v>79</v>
      </c>
      <c r="B80" s="5" t="s">
        <v>103</v>
      </c>
      <c r="C80" s="6" t="s">
        <v>104</v>
      </c>
      <c r="D80" s="6"/>
      <c r="E80" s="6" t="s">
        <v>569</v>
      </c>
      <c r="F80" s="6" t="s">
        <v>1238</v>
      </c>
      <c r="G80" s="7">
        <f t="shared" si="1"/>
        <v>300</v>
      </c>
      <c r="H80" s="7">
        <v>40</v>
      </c>
      <c r="I80" s="7">
        <v>80</v>
      </c>
      <c r="J80" s="7">
        <v>100</v>
      </c>
      <c r="K80" s="7">
        <v>30</v>
      </c>
      <c r="L80" s="7">
        <v>30</v>
      </c>
      <c r="M80" s="7">
        <v>20</v>
      </c>
      <c r="N80" s="6"/>
    </row>
    <row r="81" spans="1:14" s="17" customFormat="1" ht="15.75" customHeight="1" x14ac:dyDescent="0.25">
      <c r="A81" s="4">
        <v>80</v>
      </c>
      <c r="B81" s="5" t="s">
        <v>105</v>
      </c>
      <c r="C81" s="6" t="s">
        <v>104</v>
      </c>
      <c r="D81" s="6"/>
      <c r="E81" s="6" t="s">
        <v>569</v>
      </c>
      <c r="F81" s="6" t="s">
        <v>1238</v>
      </c>
      <c r="G81" s="7">
        <f t="shared" si="1"/>
        <v>390</v>
      </c>
      <c r="H81" s="7">
        <v>55</v>
      </c>
      <c r="I81" s="7">
        <v>95</v>
      </c>
      <c r="J81" s="7">
        <v>115</v>
      </c>
      <c r="K81" s="7">
        <v>45</v>
      </c>
      <c r="L81" s="7">
        <v>45</v>
      </c>
      <c r="M81" s="7">
        <v>35</v>
      </c>
      <c r="N81" s="6"/>
    </row>
    <row r="82" spans="1:14" s="17" customFormat="1" ht="15.75" customHeight="1" x14ac:dyDescent="0.25">
      <c r="A82" s="4">
        <v>81</v>
      </c>
      <c r="B82" s="5" t="s">
        <v>106</v>
      </c>
      <c r="C82" s="6" t="s">
        <v>104</v>
      </c>
      <c r="D82" s="6"/>
      <c r="E82" s="6" t="s">
        <v>569</v>
      </c>
      <c r="F82" s="6" t="s">
        <v>1238</v>
      </c>
      <c r="G82" s="7">
        <f t="shared" si="1"/>
        <v>485</v>
      </c>
      <c r="H82" s="7">
        <v>80</v>
      </c>
      <c r="I82" s="7">
        <v>110</v>
      </c>
      <c r="J82" s="7">
        <v>130</v>
      </c>
      <c r="K82" s="7">
        <v>55</v>
      </c>
      <c r="L82" s="7">
        <v>65</v>
      </c>
      <c r="M82" s="7">
        <v>45</v>
      </c>
      <c r="N82" s="6"/>
    </row>
    <row r="83" spans="1:14" s="17" customFormat="1" ht="15.75" customHeight="1" x14ac:dyDescent="0.25">
      <c r="A83" s="4">
        <v>82</v>
      </c>
      <c r="B83" s="5" t="s">
        <v>107</v>
      </c>
      <c r="C83" s="6" t="s">
        <v>21</v>
      </c>
      <c r="D83" s="6"/>
      <c r="E83" s="6" t="s">
        <v>542</v>
      </c>
      <c r="F83" s="6" t="s">
        <v>551</v>
      </c>
      <c r="G83" s="7">
        <f t="shared" si="1"/>
        <v>410</v>
      </c>
      <c r="H83" s="7">
        <v>50</v>
      </c>
      <c r="I83" s="7">
        <v>85</v>
      </c>
      <c r="J83" s="7">
        <v>55</v>
      </c>
      <c r="K83" s="7">
        <v>65</v>
      </c>
      <c r="L83" s="7">
        <v>65</v>
      </c>
      <c r="M83" s="7">
        <v>90</v>
      </c>
      <c r="N83" s="6"/>
    </row>
    <row r="84" spans="1:14" s="17" customFormat="1" ht="15.75" customHeight="1" x14ac:dyDescent="0.25">
      <c r="A84" s="4">
        <v>83</v>
      </c>
      <c r="B84" s="5" t="s">
        <v>108</v>
      </c>
      <c r="C84" s="6" t="s">
        <v>21</v>
      </c>
      <c r="D84" s="6"/>
      <c r="E84" s="6" t="s">
        <v>542</v>
      </c>
      <c r="F84" s="6" t="s">
        <v>551</v>
      </c>
      <c r="G84" s="7">
        <f t="shared" si="1"/>
        <v>500</v>
      </c>
      <c r="H84" s="7">
        <v>65</v>
      </c>
      <c r="I84" s="7">
        <v>100</v>
      </c>
      <c r="J84" s="7">
        <v>70</v>
      </c>
      <c r="K84" s="7">
        <v>80</v>
      </c>
      <c r="L84" s="7">
        <v>80</v>
      </c>
      <c r="M84" s="7">
        <v>105</v>
      </c>
      <c r="N84" s="6"/>
    </row>
    <row r="85" spans="1:14" s="17" customFormat="1" ht="15.75" customHeight="1" x14ac:dyDescent="0.25">
      <c r="A85" s="4">
        <v>84</v>
      </c>
      <c r="B85" s="5" t="s">
        <v>109</v>
      </c>
      <c r="C85" s="6" t="s">
        <v>28</v>
      </c>
      <c r="D85" s="6" t="s">
        <v>92</v>
      </c>
      <c r="E85" s="6" t="s">
        <v>571</v>
      </c>
      <c r="F85" s="6" t="s">
        <v>572</v>
      </c>
      <c r="G85" s="7">
        <f t="shared" si="1"/>
        <v>315</v>
      </c>
      <c r="H85" s="7">
        <v>90</v>
      </c>
      <c r="I85" s="7">
        <v>65</v>
      </c>
      <c r="J85" s="7">
        <v>65</v>
      </c>
      <c r="K85" s="7">
        <v>40</v>
      </c>
      <c r="L85" s="7">
        <v>40</v>
      </c>
      <c r="M85" s="7">
        <v>15</v>
      </c>
      <c r="N85" s="6"/>
    </row>
    <row r="86" spans="1:14" s="17" customFormat="1" ht="15.75" customHeight="1" x14ac:dyDescent="0.25">
      <c r="A86" s="4">
        <v>85</v>
      </c>
      <c r="B86" s="5" t="s">
        <v>110</v>
      </c>
      <c r="C86" s="6" t="s">
        <v>28</v>
      </c>
      <c r="D86" s="6" t="s">
        <v>92</v>
      </c>
      <c r="E86" s="6" t="s">
        <v>571</v>
      </c>
      <c r="F86" s="6" t="s">
        <v>918</v>
      </c>
      <c r="G86" s="7">
        <f t="shared" si="1"/>
        <v>490</v>
      </c>
      <c r="H86" s="7">
        <v>95</v>
      </c>
      <c r="I86" s="7">
        <v>75</v>
      </c>
      <c r="J86" s="7">
        <v>110</v>
      </c>
      <c r="K86" s="7">
        <v>100</v>
      </c>
      <c r="L86" s="7">
        <v>80</v>
      </c>
      <c r="M86" s="7">
        <v>30</v>
      </c>
      <c r="N86" s="6"/>
    </row>
    <row r="87" spans="1:14" s="17" customFormat="1" ht="15.75" customHeight="1" x14ac:dyDescent="0.25">
      <c r="A87" s="4">
        <v>86</v>
      </c>
      <c r="B87" s="5" t="s">
        <v>234</v>
      </c>
      <c r="C87" s="6" t="s">
        <v>28</v>
      </c>
      <c r="D87" s="6" t="s">
        <v>92</v>
      </c>
      <c r="E87" s="6" t="s">
        <v>918</v>
      </c>
      <c r="F87" s="6" t="s">
        <v>572</v>
      </c>
      <c r="G87" s="7">
        <f t="shared" si="1"/>
        <v>490</v>
      </c>
      <c r="H87" s="7">
        <v>95</v>
      </c>
      <c r="I87" s="7">
        <v>75</v>
      </c>
      <c r="J87" s="7">
        <v>80</v>
      </c>
      <c r="K87" s="7">
        <v>100</v>
      </c>
      <c r="L87" s="7">
        <v>110</v>
      </c>
      <c r="M87" s="7">
        <v>30</v>
      </c>
      <c r="N87" s="6"/>
    </row>
    <row r="88" spans="1:14" s="17" customFormat="1" ht="15.75" customHeight="1" x14ac:dyDescent="0.25">
      <c r="A88" s="4">
        <v>87</v>
      </c>
      <c r="B88" s="5" t="s">
        <v>111</v>
      </c>
      <c r="C88" s="6" t="s">
        <v>51</v>
      </c>
      <c r="D88" s="6" t="s">
        <v>112</v>
      </c>
      <c r="E88" s="6" t="s">
        <v>573</v>
      </c>
      <c r="F88" s="6" t="s">
        <v>581</v>
      </c>
      <c r="G88" s="7">
        <f t="shared" si="1"/>
        <v>325</v>
      </c>
      <c r="H88" s="7">
        <v>25</v>
      </c>
      <c r="I88" s="7">
        <v>35</v>
      </c>
      <c r="J88" s="7">
        <v>70</v>
      </c>
      <c r="K88" s="7">
        <v>95</v>
      </c>
      <c r="L88" s="7">
        <v>55</v>
      </c>
      <c r="M88" s="7">
        <v>45</v>
      </c>
      <c r="N88" s="6"/>
    </row>
    <row r="89" spans="1:14" s="17" customFormat="1" ht="15.75" customHeight="1" x14ac:dyDescent="0.25">
      <c r="A89" s="4">
        <v>88</v>
      </c>
      <c r="B89" s="5" t="s">
        <v>113</v>
      </c>
      <c r="C89" s="6" t="s">
        <v>51</v>
      </c>
      <c r="D89" s="6" t="s">
        <v>112</v>
      </c>
      <c r="E89" s="6" t="s">
        <v>573</v>
      </c>
      <c r="F89" s="6" t="s">
        <v>581</v>
      </c>
      <c r="G89" s="7">
        <f t="shared" si="1"/>
        <v>465</v>
      </c>
      <c r="H89" s="7">
        <v>50</v>
      </c>
      <c r="I89" s="7">
        <v>60</v>
      </c>
      <c r="J89" s="7">
        <v>95</v>
      </c>
      <c r="K89" s="7">
        <v>120</v>
      </c>
      <c r="L89" s="7">
        <v>70</v>
      </c>
      <c r="M89" s="7">
        <v>70</v>
      </c>
      <c r="N89" s="6"/>
    </row>
    <row r="90" spans="1:14" s="17" customFormat="1" ht="15.75" customHeight="1" x14ac:dyDescent="0.25">
      <c r="A90" s="4">
        <v>89</v>
      </c>
      <c r="B90" s="5" t="s">
        <v>497</v>
      </c>
      <c r="C90" s="6" t="s">
        <v>51</v>
      </c>
      <c r="D90" s="6" t="s">
        <v>112</v>
      </c>
      <c r="E90" s="6" t="s">
        <v>628</v>
      </c>
      <c r="F90" s="6" t="s">
        <v>581</v>
      </c>
      <c r="G90" s="7">
        <f t="shared" si="1"/>
        <v>535</v>
      </c>
      <c r="H90" s="7">
        <v>70</v>
      </c>
      <c r="I90" s="7">
        <v>70</v>
      </c>
      <c r="J90" s="7">
        <v>115</v>
      </c>
      <c r="K90" s="7">
        <v>130</v>
      </c>
      <c r="L90" s="7">
        <v>90</v>
      </c>
      <c r="M90" s="7">
        <v>60</v>
      </c>
      <c r="N90" s="6"/>
    </row>
    <row r="91" spans="1:14" s="17" customFormat="1" ht="15.75" customHeight="1" x14ac:dyDescent="0.25">
      <c r="A91" s="4">
        <v>90</v>
      </c>
      <c r="B91" s="5" t="s">
        <v>114</v>
      </c>
      <c r="C91" s="6" t="s">
        <v>84</v>
      </c>
      <c r="D91" s="6" t="s">
        <v>26</v>
      </c>
      <c r="E91" s="6" t="s">
        <v>613</v>
      </c>
      <c r="F91" s="6" t="s">
        <v>595</v>
      </c>
      <c r="G91" s="7">
        <f t="shared" si="1"/>
        <v>377</v>
      </c>
      <c r="H91" s="7">
        <v>52</v>
      </c>
      <c r="I91" s="7">
        <v>90</v>
      </c>
      <c r="J91" s="7">
        <v>55</v>
      </c>
      <c r="K91" s="7">
        <v>58</v>
      </c>
      <c r="L91" s="7">
        <v>62</v>
      </c>
      <c r="M91" s="7">
        <v>60</v>
      </c>
      <c r="N91" s="6"/>
    </row>
    <row r="92" spans="1:14" s="17" customFormat="1" ht="15.75" customHeight="1" x14ac:dyDescent="0.25">
      <c r="A92" s="4">
        <v>91</v>
      </c>
      <c r="B92" s="5" t="s">
        <v>942</v>
      </c>
      <c r="C92" s="6" t="s">
        <v>84</v>
      </c>
      <c r="D92" s="6" t="s">
        <v>26</v>
      </c>
      <c r="E92" s="6" t="s">
        <v>613</v>
      </c>
      <c r="F92" s="6" t="s">
        <v>595</v>
      </c>
      <c r="G92" s="7">
        <f t="shared" si="1"/>
        <v>507</v>
      </c>
      <c r="H92" s="7">
        <v>62</v>
      </c>
      <c r="I92" s="7">
        <v>135</v>
      </c>
      <c r="J92" s="7">
        <v>95</v>
      </c>
      <c r="K92" s="7">
        <v>68</v>
      </c>
      <c r="L92" s="7">
        <v>82</v>
      </c>
      <c r="M92" s="7">
        <v>65</v>
      </c>
      <c r="N92" s="6"/>
    </row>
    <row r="93" spans="1:14" s="17" customFormat="1" ht="15.75" customHeight="1" x14ac:dyDescent="0.25">
      <c r="A93" s="4">
        <v>92</v>
      </c>
      <c r="B93" s="5" t="s">
        <v>115</v>
      </c>
      <c r="C93" s="6" t="s">
        <v>54</v>
      </c>
      <c r="D93" s="6" t="s">
        <v>26</v>
      </c>
      <c r="E93" s="218" t="s">
        <v>1148</v>
      </c>
      <c r="F93" s="6" t="s">
        <v>574</v>
      </c>
      <c r="G93" s="7">
        <f t="shared" si="1"/>
        <v>310</v>
      </c>
      <c r="H93" s="7">
        <v>35</v>
      </c>
      <c r="I93" s="7">
        <v>85</v>
      </c>
      <c r="J93" s="7">
        <v>45</v>
      </c>
      <c r="K93" s="7">
        <v>35</v>
      </c>
      <c r="L93" s="7">
        <v>35</v>
      </c>
      <c r="M93" s="7">
        <v>75</v>
      </c>
      <c r="N93" s="6"/>
    </row>
    <row r="94" spans="1:14" s="17" customFormat="1" ht="15.75" customHeight="1" x14ac:dyDescent="0.25">
      <c r="A94" s="4">
        <v>93</v>
      </c>
      <c r="B94" s="5" t="s">
        <v>116</v>
      </c>
      <c r="C94" s="6" t="s">
        <v>54</v>
      </c>
      <c r="D94" s="6" t="s">
        <v>26</v>
      </c>
      <c r="E94" s="218" t="s">
        <v>1148</v>
      </c>
      <c r="F94" s="6" t="s">
        <v>574</v>
      </c>
      <c r="G94" s="7">
        <f t="shared" si="1"/>
        <v>470</v>
      </c>
      <c r="H94" s="7">
        <v>60</v>
      </c>
      <c r="I94" s="7">
        <v>110</v>
      </c>
      <c r="J94" s="7">
        <v>70</v>
      </c>
      <c r="K94" s="7">
        <v>60</v>
      </c>
      <c r="L94" s="7">
        <v>60</v>
      </c>
      <c r="M94" s="7">
        <v>110</v>
      </c>
      <c r="N94" s="6"/>
    </row>
    <row r="95" spans="1:14" s="17" customFormat="1" ht="15.75" customHeight="1" x14ac:dyDescent="0.25">
      <c r="A95" s="4">
        <v>94</v>
      </c>
      <c r="B95" s="5" t="s">
        <v>117</v>
      </c>
      <c r="C95" s="6" t="s">
        <v>28</v>
      </c>
      <c r="D95" s="6"/>
      <c r="E95" s="6" t="s">
        <v>575</v>
      </c>
      <c r="F95" s="240" t="s">
        <v>1243</v>
      </c>
      <c r="G95" s="7">
        <f t="shared" si="1"/>
        <v>335</v>
      </c>
      <c r="H95" s="7">
        <v>65</v>
      </c>
      <c r="I95" s="7">
        <v>45</v>
      </c>
      <c r="J95" s="7">
        <v>55</v>
      </c>
      <c r="K95" s="7">
        <v>45</v>
      </c>
      <c r="L95" s="7">
        <v>80</v>
      </c>
      <c r="M95" s="7">
        <v>45</v>
      </c>
      <c r="N95" s="6"/>
    </row>
    <row r="96" spans="1:14" s="17" customFormat="1" ht="15.75" customHeight="1" x14ac:dyDescent="0.25">
      <c r="A96" s="4">
        <v>95</v>
      </c>
      <c r="B96" s="5" t="s">
        <v>118</v>
      </c>
      <c r="C96" s="6" t="s">
        <v>28</v>
      </c>
      <c r="D96" s="6" t="s">
        <v>119</v>
      </c>
      <c r="E96" s="6" t="s">
        <v>575</v>
      </c>
      <c r="F96" s="240" t="s">
        <v>1243</v>
      </c>
      <c r="G96" s="7">
        <f t="shared" si="1"/>
        <v>485</v>
      </c>
      <c r="H96" s="7">
        <v>90</v>
      </c>
      <c r="I96" s="7">
        <v>70</v>
      </c>
      <c r="J96" s="7">
        <v>80</v>
      </c>
      <c r="K96" s="7">
        <v>70</v>
      </c>
      <c r="L96" s="7">
        <v>105</v>
      </c>
      <c r="M96" s="7">
        <v>70</v>
      </c>
      <c r="N96" s="6"/>
    </row>
    <row r="97" spans="1:14" s="17" customFormat="1" ht="15.75" customHeight="1" x14ac:dyDescent="0.25">
      <c r="A97" s="4">
        <v>96</v>
      </c>
      <c r="B97" s="5" t="s">
        <v>120</v>
      </c>
      <c r="C97" s="6" t="s">
        <v>15</v>
      </c>
      <c r="D97" s="6"/>
      <c r="E97" s="6" t="s">
        <v>930</v>
      </c>
      <c r="F97" s="6" t="s">
        <v>578</v>
      </c>
      <c r="G97" s="7">
        <f t="shared" si="1"/>
        <v>325</v>
      </c>
      <c r="H97" s="7">
        <v>80</v>
      </c>
      <c r="I97" s="7">
        <v>80</v>
      </c>
      <c r="J97" s="7">
        <v>50</v>
      </c>
      <c r="K97" s="7">
        <v>40</v>
      </c>
      <c r="L97" s="7">
        <v>50</v>
      </c>
      <c r="M97" s="7">
        <v>25</v>
      </c>
      <c r="N97" s="6"/>
    </row>
    <row r="98" spans="1:14" s="17" customFormat="1" ht="15.75" customHeight="1" x14ac:dyDescent="0.25">
      <c r="A98" s="4">
        <v>97</v>
      </c>
      <c r="B98" s="5" t="s">
        <v>121</v>
      </c>
      <c r="C98" s="6" t="s">
        <v>15</v>
      </c>
      <c r="D98" s="6"/>
      <c r="E98" s="6" t="s">
        <v>930</v>
      </c>
      <c r="F98" s="6" t="s">
        <v>578</v>
      </c>
      <c r="G98" s="7">
        <f t="shared" si="1"/>
        <v>500</v>
      </c>
      <c r="H98" s="7">
        <v>105</v>
      </c>
      <c r="I98" s="7">
        <v>105</v>
      </c>
      <c r="J98" s="7">
        <v>75</v>
      </c>
      <c r="K98" s="7">
        <v>65</v>
      </c>
      <c r="L98" s="7">
        <v>100</v>
      </c>
      <c r="M98" s="7">
        <v>50</v>
      </c>
      <c r="N98" s="6"/>
    </row>
    <row r="99" spans="1:14" s="17" customFormat="1" ht="15.75" customHeight="1" x14ac:dyDescent="0.25">
      <c r="A99" s="4">
        <v>98</v>
      </c>
      <c r="B99" s="5" t="s">
        <v>122</v>
      </c>
      <c r="C99" s="6" t="s">
        <v>28</v>
      </c>
      <c r="D99" s="6"/>
      <c r="E99" s="6" t="s">
        <v>579</v>
      </c>
      <c r="F99" s="6" t="s">
        <v>580</v>
      </c>
      <c r="G99" s="7">
        <f t="shared" si="1"/>
        <v>305</v>
      </c>
      <c r="H99" s="7">
        <v>30</v>
      </c>
      <c r="I99" s="7">
        <v>65</v>
      </c>
      <c r="J99" s="7">
        <v>100</v>
      </c>
      <c r="K99" s="7">
        <v>45</v>
      </c>
      <c r="L99" s="7">
        <v>25</v>
      </c>
      <c r="M99" s="7">
        <v>40</v>
      </c>
      <c r="N99" s="6"/>
    </row>
    <row r="100" spans="1:14" s="17" customFormat="1" ht="15.75" customHeight="1" x14ac:dyDescent="0.25">
      <c r="A100" s="4">
        <v>99</v>
      </c>
      <c r="B100" s="5" t="s">
        <v>123</v>
      </c>
      <c r="C100" s="6" t="s">
        <v>28</v>
      </c>
      <c r="D100" s="6" t="s">
        <v>119</v>
      </c>
      <c r="E100" s="6" t="s">
        <v>579</v>
      </c>
      <c r="F100" s="6" t="s">
        <v>580</v>
      </c>
      <c r="G100" s="7">
        <f t="shared" si="1"/>
        <v>525</v>
      </c>
      <c r="H100" s="7">
        <v>50</v>
      </c>
      <c r="I100" s="7">
        <v>95</v>
      </c>
      <c r="J100" s="7">
        <v>180</v>
      </c>
      <c r="K100" s="7">
        <v>85</v>
      </c>
      <c r="L100" s="7">
        <v>45</v>
      </c>
      <c r="M100" s="7">
        <v>70</v>
      </c>
      <c r="N100" s="6"/>
    </row>
    <row r="101" spans="1:14" s="17" customFormat="1" ht="15.75" customHeight="1" x14ac:dyDescent="0.25">
      <c r="A101" s="4">
        <v>100</v>
      </c>
      <c r="B101" s="5" t="s">
        <v>124</v>
      </c>
      <c r="C101" s="6" t="s">
        <v>125</v>
      </c>
      <c r="D101" s="6" t="s">
        <v>15</v>
      </c>
      <c r="E101" s="6" t="s">
        <v>581</v>
      </c>
      <c r="F101" s="6"/>
      <c r="G101" s="7">
        <f t="shared" si="1"/>
        <v>310</v>
      </c>
      <c r="H101" s="7">
        <v>30</v>
      </c>
      <c r="I101" s="7">
        <v>35</v>
      </c>
      <c r="J101" s="7">
        <v>30</v>
      </c>
      <c r="K101" s="7">
        <v>100</v>
      </c>
      <c r="L101" s="7">
        <v>35</v>
      </c>
      <c r="M101" s="7">
        <v>80</v>
      </c>
      <c r="N101" s="6"/>
    </row>
    <row r="102" spans="1:14" s="17" customFormat="1" ht="15.75" customHeight="1" x14ac:dyDescent="0.25">
      <c r="A102" s="4">
        <v>101</v>
      </c>
      <c r="B102" s="5" t="s">
        <v>126</v>
      </c>
      <c r="C102" s="6" t="s">
        <v>125</v>
      </c>
      <c r="D102" s="6" t="s">
        <v>15</v>
      </c>
      <c r="E102" s="6" t="s">
        <v>581</v>
      </c>
      <c r="F102" s="6"/>
      <c r="G102" s="7">
        <f t="shared" si="1"/>
        <v>405</v>
      </c>
      <c r="H102" s="7">
        <v>45</v>
      </c>
      <c r="I102" s="7">
        <v>50</v>
      </c>
      <c r="J102" s="7">
        <v>45</v>
      </c>
      <c r="K102" s="7">
        <v>115</v>
      </c>
      <c r="L102" s="7">
        <v>55</v>
      </c>
      <c r="M102" s="7">
        <v>95</v>
      </c>
      <c r="N102" s="6"/>
    </row>
    <row r="103" spans="1:14" s="17" customFormat="1" ht="15.75" customHeight="1" x14ac:dyDescent="0.25">
      <c r="A103" s="4">
        <v>102</v>
      </c>
      <c r="B103" s="5" t="s">
        <v>127</v>
      </c>
      <c r="C103" s="6" t="s">
        <v>125</v>
      </c>
      <c r="D103" s="6" t="s">
        <v>15</v>
      </c>
      <c r="E103" s="6" t="s">
        <v>581</v>
      </c>
      <c r="F103" s="6"/>
      <c r="G103" s="7">
        <f t="shared" si="1"/>
        <v>500</v>
      </c>
      <c r="H103" s="7">
        <v>60</v>
      </c>
      <c r="I103" s="7">
        <v>65</v>
      </c>
      <c r="J103" s="7">
        <v>60</v>
      </c>
      <c r="K103" s="7">
        <v>130</v>
      </c>
      <c r="L103" s="7">
        <v>75</v>
      </c>
      <c r="M103" s="7">
        <v>110</v>
      </c>
      <c r="N103" s="6"/>
    </row>
    <row r="104" spans="1:14" s="17" customFormat="1" ht="15.75" customHeight="1" x14ac:dyDescent="0.25">
      <c r="A104" s="4">
        <v>103</v>
      </c>
      <c r="B104" s="5" t="s">
        <v>128</v>
      </c>
      <c r="C104" s="6" t="s">
        <v>104</v>
      </c>
      <c r="D104" s="6" t="s">
        <v>54</v>
      </c>
      <c r="E104" s="6" t="s">
        <v>623</v>
      </c>
      <c r="F104" s="6" t="s">
        <v>843</v>
      </c>
      <c r="G104" s="7">
        <f t="shared" si="1"/>
        <v>415</v>
      </c>
      <c r="H104" s="7">
        <v>35</v>
      </c>
      <c r="I104" s="7">
        <v>85</v>
      </c>
      <c r="J104" s="7">
        <v>150</v>
      </c>
      <c r="K104" s="7">
        <v>30</v>
      </c>
      <c r="L104" s="7">
        <v>45</v>
      </c>
      <c r="M104" s="7">
        <v>70</v>
      </c>
      <c r="N104" s="6"/>
    </row>
    <row r="105" spans="1:14" s="17" customFormat="1" ht="15.75" customHeight="1" x14ac:dyDescent="0.25">
      <c r="A105" s="4">
        <v>104</v>
      </c>
      <c r="B105" s="5" t="s">
        <v>243</v>
      </c>
      <c r="C105" s="6" t="s">
        <v>112</v>
      </c>
      <c r="D105" s="6" t="s">
        <v>54</v>
      </c>
      <c r="E105" s="6" t="s">
        <v>623</v>
      </c>
      <c r="F105" s="6" t="s">
        <v>843</v>
      </c>
      <c r="G105" s="7">
        <f t="shared" si="1"/>
        <v>510</v>
      </c>
      <c r="H105" s="7">
        <v>75</v>
      </c>
      <c r="I105" s="7">
        <v>110</v>
      </c>
      <c r="J105" s="7">
        <v>175</v>
      </c>
      <c r="K105" s="7">
        <v>55</v>
      </c>
      <c r="L105" s="7">
        <v>65</v>
      </c>
      <c r="M105" s="7">
        <v>30</v>
      </c>
      <c r="N105" s="6"/>
    </row>
    <row r="106" spans="1:14" s="17" customFormat="1" ht="15.75" customHeight="1" x14ac:dyDescent="0.25">
      <c r="A106" s="4">
        <v>105</v>
      </c>
      <c r="B106" s="5" t="s">
        <v>129</v>
      </c>
      <c r="C106" s="6" t="s">
        <v>92</v>
      </c>
      <c r="D106" s="6" t="s">
        <v>41</v>
      </c>
      <c r="E106" s="6" t="s">
        <v>582</v>
      </c>
      <c r="F106" s="6" t="s">
        <v>658</v>
      </c>
      <c r="G106" s="7">
        <f t="shared" si="1"/>
        <v>328</v>
      </c>
      <c r="H106" s="7">
        <v>60</v>
      </c>
      <c r="I106" s="7">
        <v>48</v>
      </c>
      <c r="J106" s="7">
        <v>45</v>
      </c>
      <c r="K106" s="7">
        <v>43</v>
      </c>
      <c r="L106" s="7">
        <v>90</v>
      </c>
      <c r="M106" s="7">
        <v>42</v>
      </c>
      <c r="N106" s="6"/>
    </row>
    <row r="107" spans="1:14" s="17" customFormat="1" ht="15.75" customHeight="1" x14ac:dyDescent="0.25">
      <c r="A107" s="4">
        <v>106</v>
      </c>
      <c r="B107" s="5" t="s">
        <v>130</v>
      </c>
      <c r="C107" s="6" t="s">
        <v>92</v>
      </c>
      <c r="D107" s="6" t="s">
        <v>41</v>
      </c>
      <c r="E107" s="6" t="s">
        <v>582</v>
      </c>
      <c r="F107" s="6" t="s">
        <v>658</v>
      </c>
      <c r="G107" s="7">
        <f t="shared" si="1"/>
        <v>483</v>
      </c>
      <c r="H107" s="7">
        <v>85</v>
      </c>
      <c r="I107" s="7">
        <v>73</v>
      </c>
      <c r="J107" s="7">
        <v>70</v>
      </c>
      <c r="K107" s="7">
        <v>73</v>
      </c>
      <c r="L107" s="7">
        <v>115</v>
      </c>
      <c r="M107" s="7">
        <v>67</v>
      </c>
      <c r="N107" s="6"/>
    </row>
    <row r="108" spans="1:14" s="17" customFormat="1" ht="15.75" customHeight="1" x14ac:dyDescent="0.25">
      <c r="A108" s="4">
        <v>107</v>
      </c>
      <c r="B108" s="5" t="s">
        <v>131</v>
      </c>
      <c r="C108" s="6" t="s">
        <v>28</v>
      </c>
      <c r="D108" s="6"/>
      <c r="E108" s="6" t="s">
        <v>584</v>
      </c>
      <c r="F108" s="6" t="s">
        <v>579</v>
      </c>
      <c r="G108" s="7">
        <f t="shared" si="1"/>
        <v>325</v>
      </c>
      <c r="H108" s="7">
        <v>30</v>
      </c>
      <c r="I108" s="7">
        <v>105</v>
      </c>
      <c r="J108" s="7">
        <v>90</v>
      </c>
      <c r="K108" s="7">
        <v>25</v>
      </c>
      <c r="L108" s="7">
        <v>25</v>
      </c>
      <c r="M108" s="7">
        <v>50</v>
      </c>
      <c r="N108" s="6"/>
    </row>
    <row r="109" spans="1:14" s="17" customFormat="1" ht="15.75" customHeight="1" x14ac:dyDescent="0.25">
      <c r="A109" s="4">
        <v>108</v>
      </c>
      <c r="B109" s="5" t="s">
        <v>132</v>
      </c>
      <c r="C109" s="6" t="s">
        <v>28</v>
      </c>
      <c r="D109" s="6"/>
      <c r="E109" s="6" t="s">
        <v>843</v>
      </c>
      <c r="F109" s="6" t="s">
        <v>579</v>
      </c>
      <c r="G109" s="7">
        <f t="shared" si="1"/>
        <v>495</v>
      </c>
      <c r="H109" s="7">
        <v>75</v>
      </c>
      <c r="I109" s="7">
        <v>130</v>
      </c>
      <c r="J109" s="7">
        <v>115</v>
      </c>
      <c r="K109" s="7">
        <v>50</v>
      </c>
      <c r="L109" s="7">
        <v>50</v>
      </c>
      <c r="M109" s="7">
        <v>75</v>
      </c>
      <c r="N109" s="6"/>
    </row>
    <row r="110" spans="1:14" s="17" customFormat="1" ht="15.75" customHeight="1" x14ac:dyDescent="0.25">
      <c r="A110" s="4">
        <v>109</v>
      </c>
      <c r="B110" s="5" t="s">
        <v>133</v>
      </c>
      <c r="C110" s="6" t="s">
        <v>51</v>
      </c>
      <c r="D110" s="6"/>
      <c r="E110" s="6" t="s">
        <v>1135</v>
      </c>
      <c r="F110" s="6" t="s">
        <v>545</v>
      </c>
      <c r="G110" s="7">
        <f t="shared" si="1"/>
        <v>330</v>
      </c>
      <c r="H110" s="7">
        <v>40</v>
      </c>
      <c r="I110" s="7">
        <v>30</v>
      </c>
      <c r="J110" s="7">
        <v>50</v>
      </c>
      <c r="K110" s="7">
        <v>55</v>
      </c>
      <c r="L110" s="7">
        <v>55</v>
      </c>
      <c r="M110" s="7">
        <v>100</v>
      </c>
      <c r="N110" s="6"/>
    </row>
    <row r="111" spans="1:14" s="17" customFormat="1" ht="15.75" customHeight="1" x14ac:dyDescent="0.25">
      <c r="A111" s="4">
        <v>110</v>
      </c>
      <c r="B111" s="5" t="s">
        <v>134</v>
      </c>
      <c r="C111" s="6" t="s">
        <v>51</v>
      </c>
      <c r="D111" s="6"/>
      <c r="E111" s="6" t="s">
        <v>1135</v>
      </c>
      <c r="F111" s="6" t="s">
        <v>545</v>
      </c>
      <c r="G111" s="7">
        <f t="shared" si="1"/>
        <v>495</v>
      </c>
      <c r="H111" s="7">
        <v>60</v>
      </c>
      <c r="I111" s="7">
        <v>50</v>
      </c>
      <c r="J111" s="7">
        <v>70</v>
      </c>
      <c r="K111" s="7">
        <v>95</v>
      </c>
      <c r="L111" s="7">
        <v>70</v>
      </c>
      <c r="M111" s="7">
        <v>150</v>
      </c>
      <c r="N111" s="6"/>
    </row>
    <row r="112" spans="1:14" s="17" customFormat="1" ht="15.75" customHeight="1" x14ac:dyDescent="0.25">
      <c r="A112" s="4">
        <v>111</v>
      </c>
      <c r="B112" s="5" t="s">
        <v>135</v>
      </c>
      <c r="C112" s="6" t="s">
        <v>14</v>
      </c>
      <c r="D112" s="6" t="s">
        <v>92</v>
      </c>
      <c r="E112" s="6" t="s">
        <v>17</v>
      </c>
      <c r="F112" s="6" t="s">
        <v>913</v>
      </c>
      <c r="G112" s="7">
        <f t="shared" si="1"/>
        <v>325</v>
      </c>
      <c r="H112" s="7">
        <v>60</v>
      </c>
      <c r="I112" s="7">
        <v>40</v>
      </c>
      <c r="J112" s="7">
        <v>80</v>
      </c>
      <c r="K112" s="7">
        <v>60</v>
      </c>
      <c r="L112" s="7">
        <v>45</v>
      </c>
      <c r="M112" s="7">
        <v>40</v>
      </c>
      <c r="N112" s="6"/>
    </row>
    <row r="113" spans="1:14" s="17" customFormat="1" ht="15.75" customHeight="1" x14ac:dyDescent="0.25">
      <c r="A113" s="4">
        <v>112</v>
      </c>
      <c r="B113" s="5" t="s">
        <v>136</v>
      </c>
      <c r="C113" s="6" t="s">
        <v>14</v>
      </c>
      <c r="D113" s="6" t="s">
        <v>92</v>
      </c>
      <c r="E113" s="6" t="s">
        <v>17</v>
      </c>
      <c r="F113" s="6" t="s">
        <v>913</v>
      </c>
      <c r="G113" s="7">
        <f t="shared" si="1"/>
        <v>530</v>
      </c>
      <c r="H113" s="7">
        <v>95</v>
      </c>
      <c r="I113" s="7">
        <v>95</v>
      </c>
      <c r="J113" s="7">
        <v>85</v>
      </c>
      <c r="K113" s="7">
        <v>125</v>
      </c>
      <c r="L113" s="7">
        <v>75</v>
      </c>
      <c r="M113" s="7">
        <v>55</v>
      </c>
      <c r="N113" s="6"/>
    </row>
    <row r="114" spans="1:14" s="17" customFormat="1" ht="15.75" customHeight="1" x14ac:dyDescent="0.25">
      <c r="A114" s="4">
        <v>113</v>
      </c>
      <c r="B114" s="5" t="s">
        <v>137</v>
      </c>
      <c r="C114" s="6" t="s">
        <v>54</v>
      </c>
      <c r="D114" s="6"/>
      <c r="E114" s="6" t="s">
        <v>569</v>
      </c>
      <c r="F114" s="6" t="s">
        <v>586</v>
      </c>
      <c r="G114" s="7">
        <f t="shared" si="1"/>
        <v>320</v>
      </c>
      <c r="H114" s="7">
        <v>50</v>
      </c>
      <c r="I114" s="7">
        <v>50</v>
      </c>
      <c r="J114" s="7">
        <v>95</v>
      </c>
      <c r="K114" s="7">
        <v>40</v>
      </c>
      <c r="L114" s="7">
        <v>50</v>
      </c>
      <c r="M114" s="7">
        <v>35</v>
      </c>
      <c r="N114" s="6"/>
    </row>
    <row r="115" spans="1:14" s="17" customFormat="1" ht="15.75" customHeight="1" x14ac:dyDescent="0.25">
      <c r="A115" s="4">
        <v>114</v>
      </c>
      <c r="B115" s="5" t="s">
        <v>138</v>
      </c>
      <c r="C115" s="6" t="s">
        <v>54</v>
      </c>
      <c r="D115" s="6"/>
      <c r="E115" s="6" t="s">
        <v>569</v>
      </c>
      <c r="F115" s="6" t="s">
        <v>586</v>
      </c>
      <c r="G115" s="7">
        <f t="shared" si="1"/>
        <v>425</v>
      </c>
      <c r="H115" s="7">
        <v>60</v>
      </c>
      <c r="I115" s="7">
        <v>80</v>
      </c>
      <c r="J115" s="7">
        <v>110</v>
      </c>
      <c r="K115" s="7">
        <v>50</v>
      </c>
      <c r="L115" s="7">
        <v>80</v>
      </c>
      <c r="M115" s="7">
        <v>45</v>
      </c>
      <c r="N115" s="6"/>
    </row>
    <row r="116" spans="1:14" s="17" customFormat="1" ht="15.75" customHeight="1" x14ac:dyDescent="0.25">
      <c r="A116" s="4">
        <v>115</v>
      </c>
      <c r="B116" s="5" t="s">
        <v>271</v>
      </c>
      <c r="C116" s="6" t="s">
        <v>84</v>
      </c>
      <c r="D116" s="6"/>
      <c r="E116" s="6" t="s">
        <v>543</v>
      </c>
      <c r="F116" s="6" t="s">
        <v>622</v>
      </c>
      <c r="G116" s="7">
        <f t="shared" si="1"/>
        <v>210</v>
      </c>
      <c r="H116" s="7">
        <v>35</v>
      </c>
      <c r="I116" s="7">
        <v>35</v>
      </c>
      <c r="J116" s="7">
        <v>35</v>
      </c>
      <c r="K116" s="7">
        <v>35</v>
      </c>
      <c r="L116" s="7">
        <v>35</v>
      </c>
      <c r="M116" s="7">
        <v>35</v>
      </c>
      <c r="N116" s="6"/>
    </row>
    <row r="117" spans="1:14" s="17" customFormat="1" ht="15.75" customHeight="1" x14ac:dyDescent="0.25">
      <c r="A117" s="4">
        <v>116</v>
      </c>
      <c r="B117" s="5" t="s">
        <v>139</v>
      </c>
      <c r="C117" s="6" t="s">
        <v>84</v>
      </c>
      <c r="D117" s="6" t="s">
        <v>119</v>
      </c>
      <c r="E117" s="6" t="s">
        <v>588</v>
      </c>
      <c r="F117" s="6" t="s">
        <v>1500</v>
      </c>
      <c r="G117" s="7">
        <f t="shared" si="1"/>
        <v>455</v>
      </c>
      <c r="H117" s="7">
        <v>50</v>
      </c>
      <c r="I117" s="7">
        <v>120</v>
      </c>
      <c r="J117" s="7">
        <v>53</v>
      </c>
      <c r="K117" s="7">
        <v>35</v>
      </c>
      <c r="L117" s="7">
        <v>110</v>
      </c>
      <c r="M117" s="7">
        <v>87</v>
      </c>
      <c r="N117" s="6"/>
    </row>
    <row r="118" spans="1:14" s="17" customFormat="1" ht="15.75" customHeight="1" x14ac:dyDescent="0.25">
      <c r="A118" s="4">
        <v>117</v>
      </c>
      <c r="B118" s="5" t="s">
        <v>140</v>
      </c>
      <c r="C118" s="6" t="s">
        <v>84</v>
      </c>
      <c r="D118" s="6" t="s">
        <v>104</v>
      </c>
      <c r="E118" s="6" t="s">
        <v>540</v>
      </c>
      <c r="F118" s="6" t="s">
        <v>589</v>
      </c>
      <c r="G118" s="7">
        <f t="shared" si="1"/>
        <v>455</v>
      </c>
      <c r="H118" s="7">
        <v>50</v>
      </c>
      <c r="I118" s="7">
        <v>105</v>
      </c>
      <c r="J118" s="7">
        <v>79</v>
      </c>
      <c r="K118" s="7">
        <v>35</v>
      </c>
      <c r="L118" s="7">
        <v>110</v>
      </c>
      <c r="M118" s="7">
        <v>76</v>
      </c>
      <c r="N118" s="6"/>
    </row>
    <row r="119" spans="1:14" s="17" customFormat="1" ht="15.75" customHeight="1" x14ac:dyDescent="0.25">
      <c r="A119" s="4">
        <v>118</v>
      </c>
      <c r="B119" s="5" t="s">
        <v>272</v>
      </c>
      <c r="C119" s="6" t="s">
        <v>84</v>
      </c>
      <c r="D119" s="6"/>
      <c r="E119" s="6" t="s">
        <v>544</v>
      </c>
      <c r="F119" s="6" t="s">
        <v>558</v>
      </c>
      <c r="G119" s="7">
        <f t="shared" si="1"/>
        <v>455</v>
      </c>
      <c r="H119" s="7">
        <v>50</v>
      </c>
      <c r="I119" s="7">
        <v>95</v>
      </c>
      <c r="J119" s="7">
        <v>95</v>
      </c>
      <c r="K119" s="7">
        <v>35</v>
      </c>
      <c r="L119" s="7">
        <v>110</v>
      </c>
      <c r="M119" s="7">
        <v>70</v>
      </c>
      <c r="N119" s="6"/>
    </row>
    <row r="120" spans="1:14" s="17" customFormat="1" ht="15.75" customHeight="1" x14ac:dyDescent="0.25">
      <c r="A120" s="4">
        <v>119</v>
      </c>
      <c r="B120" s="5" t="s">
        <v>141</v>
      </c>
      <c r="C120" s="6" t="s">
        <v>41</v>
      </c>
      <c r="D120" s="6"/>
      <c r="E120" s="6" t="s">
        <v>572</v>
      </c>
      <c r="F120" s="6" t="s">
        <v>571</v>
      </c>
      <c r="G120" s="7">
        <f t="shared" si="1"/>
        <v>385</v>
      </c>
      <c r="H120" s="7">
        <v>90</v>
      </c>
      <c r="I120" s="7">
        <v>55</v>
      </c>
      <c r="J120" s="7">
        <v>75</v>
      </c>
      <c r="K120" s="7">
        <v>60</v>
      </c>
      <c r="L120" s="7">
        <v>75</v>
      </c>
      <c r="M120" s="7">
        <v>30</v>
      </c>
      <c r="N120" s="6"/>
    </row>
    <row r="121" spans="1:14" s="17" customFormat="1" ht="15.75" customHeight="1" x14ac:dyDescent="0.25">
      <c r="A121" s="4">
        <v>120</v>
      </c>
      <c r="B121" s="5" t="s">
        <v>498</v>
      </c>
      <c r="C121" s="6" t="s">
        <v>41</v>
      </c>
      <c r="D121" s="6"/>
      <c r="E121" s="6" t="s">
        <v>572</v>
      </c>
      <c r="F121" s="6" t="s">
        <v>571</v>
      </c>
      <c r="G121" s="7">
        <f t="shared" si="1"/>
        <v>515</v>
      </c>
      <c r="H121" s="7">
        <v>110</v>
      </c>
      <c r="I121" s="7">
        <v>85</v>
      </c>
      <c r="J121" s="7">
        <v>95</v>
      </c>
      <c r="K121" s="7">
        <v>80</v>
      </c>
      <c r="L121" s="7">
        <v>95</v>
      </c>
      <c r="M121" s="7">
        <v>50</v>
      </c>
      <c r="N121" s="6"/>
    </row>
    <row r="122" spans="1:14" s="17" customFormat="1" ht="15.75" customHeight="1" x14ac:dyDescent="0.25">
      <c r="A122" s="4">
        <v>121</v>
      </c>
      <c r="B122" s="5" t="s">
        <v>142</v>
      </c>
      <c r="C122" s="6" t="s">
        <v>15</v>
      </c>
      <c r="D122" s="6"/>
      <c r="E122" s="6" t="s">
        <v>581</v>
      </c>
      <c r="F122" s="6" t="s">
        <v>1188</v>
      </c>
      <c r="G122" s="7">
        <f t="shared" si="1"/>
        <v>340</v>
      </c>
      <c r="H122" s="7">
        <v>40</v>
      </c>
      <c r="I122" s="7">
        <v>65</v>
      </c>
      <c r="J122" s="7">
        <v>95</v>
      </c>
      <c r="K122" s="7">
        <v>60</v>
      </c>
      <c r="L122" s="7">
        <v>45</v>
      </c>
      <c r="M122" s="7">
        <v>35</v>
      </c>
      <c r="N122" s="6"/>
    </row>
    <row r="123" spans="1:14" s="17" customFormat="1" ht="15.75" customHeight="1" x14ac:dyDescent="0.25">
      <c r="A123" s="4">
        <v>122</v>
      </c>
      <c r="B123" s="5" t="s">
        <v>143</v>
      </c>
      <c r="C123" s="6" t="s">
        <v>15</v>
      </c>
      <c r="D123" s="6"/>
      <c r="E123" s="6" t="s">
        <v>581</v>
      </c>
      <c r="F123" s="6" t="s">
        <v>1188</v>
      </c>
      <c r="G123" s="7">
        <f t="shared" si="1"/>
        <v>490</v>
      </c>
      <c r="H123" s="7">
        <v>65</v>
      </c>
      <c r="I123" s="7">
        <v>90</v>
      </c>
      <c r="J123" s="7">
        <v>120</v>
      </c>
      <c r="K123" s="7">
        <v>85</v>
      </c>
      <c r="L123" s="7">
        <v>70</v>
      </c>
      <c r="M123" s="7">
        <v>60</v>
      </c>
      <c r="N123" s="6"/>
    </row>
    <row r="124" spans="1:14" s="17" customFormat="1" ht="15.75" customHeight="1" x14ac:dyDescent="0.25">
      <c r="A124" s="4">
        <v>123</v>
      </c>
      <c r="B124" s="5" t="s">
        <v>144</v>
      </c>
      <c r="C124" s="6" t="s">
        <v>104</v>
      </c>
      <c r="D124" s="6" t="s">
        <v>1136</v>
      </c>
      <c r="E124" s="6" t="s">
        <v>588</v>
      </c>
      <c r="F124" s="6" t="s">
        <v>569</v>
      </c>
      <c r="G124" s="7">
        <f t="shared" si="1"/>
        <v>345</v>
      </c>
      <c r="H124" s="7">
        <v>80</v>
      </c>
      <c r="I124" s="7">
        <v>85</v>
      </c>
      <c r="J124" s="7">
        <v>95</v>
      </c>
      <c r="K124" s="7">
        <v>30</v>
      </c>
      <c r="L124" s="7">
        <v>30</v>
      </c>
      <c r="M124" s="7">
        <v>25</v>
      </c>
      <c r="N124" s="6"/>
    </row>
    <row r="125" spans="1:14" s="17" customFormat="1" ht="15.75" customHeight="1" x14ac:dyDescent="0.25">
      <c r="A125" s="4">
        <v>124</v>
      </c>
      <c r="B125" s="5" t="s">
        <v>145</v>
      </c>
      <c r="C125" s="6" t="s">
        <v>104</v>
      </c>
      <c r="D125" s="6" t="s">
        <v>1136</v>
      </c>
      <c r="E125" s="6" t="s">
        <v>588</v>
      </c>
      <c r="F125" s="6" t="s">
        <v>569</v>
      </c>
      <c r="G125" s="7">
        <f t="shared" si="1"/>
        <v>485</v>
      </c>
      <c r="H125" s="7">
        <v>105</v>
      </c>
      <c r="I125" s="7">
        <v>130</v>
      </c>
      <c r="J125" s="7">
        <v>120</v>
      </c>
      <c r="K125" s="7">
        <v>45</v>
      </c>
      <c r="L125" s="7">
        <v>45</v>
      </c>
      <c r="M125" s="7">
        <v>40</v>
      </c>
      <c r="N125" s="6"/>
    </row>
    <row r="126" spans="1:14" s="17" customFormat="1" ht="15.75" customHeight="1" x14ac:dyDescent="0.25">
      <c r="A126" s="4">
        <v>125</v>
      </c>
      <c r="B126" s="5" t="s">
        <v>499</v>
      </c>
      <c r="C126" s="6" t="s">
        <v>104</v>
      </c>
      <c r="D126" s="6" t="s">
        <v>1136</v>
      </c>
      <c r="E126" s="6" t="s">
        <v>588</v>
      </c>
      <c r="F126" s="6" t="s">
        <v>569</v>
      </c>
      <c r="G126" s="7">
        <f t="shared" si="1"/>
        <v>535</v>
      </c>
      <c r="H126" s="7">
        <v>115</v>
      </c>
      <c r="I126" s="7">
        <v>140</v>
      </c>
      <c r="J126" s="7">
        <v>130</v>
      </c>
      <c r="K126" s="7">
        <v>55</v>
      </c>
      <c r="L126" s="7">
        <v>55</v>
      </c>
      <c r="M126" s="7">
        <v>40</v>
      </c>
      <c r="N126" s="6"/>
    </row>
    <row r="127" spans="1:14" s="17" customFormat="1" ht="15.75" customHeight="1" x14ac:dyDescent="0.25">
      <c r="A127" s="4">
        <v>126</v>
      </c>
      <c r="B127" s="5" t="s">
        <v>475</v>
      </c>
      <c r="C127" s="6" t="s">
        <v>41</v>
      </c>
      <c r="D127" s="6"/>
      <c r="E127" s="6" t="s">
        <v>590</v>
      </c>
      <c r="F127" s="6" t="s">
        <v>615</v>
      </c>
      <c r="G127" s="7">
        <f t="shared" si="1"/>
        <v>220</v>
      </c>
      <c r="H127" s="7">
        <v>100</v>
      </c>
      <c r="I127" s="7">
        <v>5</v>
      </c>
      <c r="J127" s="7">
        <v>5</v>
      </c>
      <c r="K127" s="7">
        <v>15</v>
      </c>
      <c r="L127" s="7">
        <v>65</v>
      </c>
      <c r="M127" s="7">
        <v>30</v>
      </c>
      <c r="N127" s="6"/>
    </row>
    <row r="128" spans="1:14" s="17" customFormat="1" ht="15.75" customHeight="1" x14ac:dyDescent="0.25">
      <c r="A128" s="4">
        <v>127</v>
      </c>
      <c r="B128" s="5" t="s">
        <v>146</v>
      </c>
      <c r="C128" s="6" t="s">
        <v>41</v>
      </c>
      <c r="D128" s="6"/>
      <c r="E128" s="6" t="s">
        <v>590</v>
      </c>
      <c r="F128" s="6" t="s">
        <v>591</v>
      </c>
      <c r="G128" s="7">
        <f t="shared" si="1"/>
        <v>450</v>
      </c>
      <c r="H128" s="7">
        <v>250</v>
      </c>
      <c r="I128" s="7">
        <v>5</v>
      </c>
      <c r="J128" s="7">
        <v>5</v>
      </c>
      <c r="K128" s="7">
        <v>35</v>
      </c>
      <c r="L128" s="7">
        <v>105</v>
      </c>
      <c r="M128" s="7">
        <v>50</v>
      </c>
      <c r="N128" s="6"/>
    </row>
    <row r="129" spans="1:14" s="17" customFormat="1" ht="15.75" customHeight="1" x14ac:dyDescent="0.25">
      <c r="A129" s="4">
        <v>128</v>
      </c>
      <c r="B129" s="5" t="s">
        <v>277</v>
      </c>
      <c r="C129" s="6" t="s">
        <v>41</v>
      </c>
      <c r="D129" s="6"/>
      <c r="E129" s="6" t="s">
        <v>590</v>
      </c>
      <c r="F129" s="6" t="s">
        <v>591</v>
      </c>
      <c r="G129" s="7">
        <f t="shared" si="1"/>
        <v>540</v>
      </c>
      <c r="H129" s="7">
        <v>255</v>
      </c>
      <c r="I129" s="7">
        <v>10</v>
      </c>
      <c r="J129" s="7">
        <v>10</v>
      </c>
      <c r="K129" s="7">
        <v>75</v>
      </c>
      <c r="L129" s="7">
        <v>135</v>
      </c>
      <c r="M129" s="7">
        <v>55</v>
      </c>
      <c r="N129" s="6"/>
    </row>
    <row r="130" spans="1:14" s="17" customFormat="1" ht="15.75" customHeight="1" x14ac:dyDescent="0.25">
      <c r="A130" s="4">
        <v>129</v>
      </c>
      <c r="B130" s="5" t="s">
        <v>147</v>
      </c>
      <c r="C130" s="6" t="s">
        <v>14</v>
      </c>
      <c r="D130" s="6"/>
      <c r="E130" s="6" t="s">
        <v>1187</v>
      </c>
      <c r="F130" s="6" t="s">
        <v>575</v>
      </c>
      <c r="G130" s="7">
        <f t="shared" ref="G130:G193" si="2">SUM(H130:M130)</f>
        <v>435</v>
      </c>
      <c r="H130" s="7">
        <v>65</v>
      </c>
      <c r="I130" s="7">
        <v>55</v>
      </c>
      <c r="J130" s="7">
        <v>115</v>
      </c>
      <c r="K130" s="7">
        <v>100</v>
      </c>
      <c r="L130" s="7">
        <v>40</v>
      </c>
      <c r="M130" s="7">
        <v>60</v>
      </c>
      <c r="N130" s="6"/>
    </row>
    <row r="131" spans="1:14" s="17" customFormat="1" ht="15.75" customHeight="1" x14ac:dyDescent="0.25">
      <c r="A131" s="4">
        <v>130</v>
      </c>
      <c r="B131" s="5" t="s">
        <v>500</v>
      </c>
      <c r="C131" s="6" t="s">
        <v>14</v>
      </c>
      <c r="D131" s="6"/>
      <c r="E131" s="6" t="s">
        <v>1187</v>
      </c>
      <c r="F131" s="6" t="s">
        <v>575</v>
      </c>
      <c r="G131" s="7">
        <f t="shared" si="2"/>
        <v>535</v>
      </c>
      <c r="H131" s="7">
        <v>100</v>
      </c>
      <c r="I131" s="7">
        <v>100</v>
      </c>
      <c r="J131" s="7">
        <v>125</v>
      </c>
      <c r="K131" s="7">
        <v>110</v>
      </c>
      <c r="L131" s="7">
        <v>50</v>
      </c>
      <c r="M131" s="7">
        <v>50</v>
      </c>
      <c r="N131" s="6"/>
    </row>
    <row r="132" spans="1:14" s="17" customFormat="1" ht="15.75" customHeight="1" x14ac:dyDescent="0.25">
      <c r="A132" s="4">
        <v>131</v>
      </c>
      <c r="B132" s="5" t="s">
        <v>148</v>
      </c>
      <c r="C132" s="6" t="s">
        <v>41</v>
      </c>
      <c r="D132" s="6"/>
      <c r="E132" s="6" t="s">
        <v>574</v>
      </c>
      <c r="F132" s="6" t="s">
        <v>593</v>
      </c>
      <c r="G132" s="7">
        <f t="shared" si="2"/>
        <v>490</v>
      </c>
      <c r="H132" s="7">
        <v>105</v>
      </c>
      <c r="I132" s="7">
        <v>95</v>
      </c>
      <c r="J132" s="7">
        <v>80</v>
      </c>
      <c r="K132" s="7">
        <v>40</v>
      </c>
      <c r="L132" s="7">
        <v>80</v>
      </c>
      <c r="M132" s="7">
        <v>90</v>
      </c>
      <c r="N132" s="6"/>
    </row>
    <row r="133" spans="1:14" s="17" customFormat="1" ht="15.75" customHeight="1" x14ac:dyDescent="0.25">
      <c r="A133" s="4">
        <v>132</v>
      </c>
      <c r="B133" s="5" t="s">
        <v>149</v>
      </c>
      <c r="C133" s="6" t="s">
        <v>28</v>
      </c>
      <c r="D133" s="6"/>
      <c r="E133" s="6" t="s">
        <v>594</v>
      </c>
      <c r="F133" s="6" t="s">
        <v>595</v>
      </c>
      <c r="G133" s="7">
        <f t="shared" si="2"/>
        <v>295</v>
      </c>
      <c r="H133" s="7">
        <v>30</v>
      </c>
      <c r="I133" s="7">
        <v>40</v>
      </c>
      <c r="J133" s="7">
        <v>70</v>
      </c>
      <c r="K133" s="7">
        <v>70</v>
      </c>
      <c r="L133" s="7">
        <v>25</v>
      </c>
      <c r="M133" s="7">
        <v>60</v>
      </c>
      <c r="N133" s="6"/>
    </row>
    <row r="134" spans="1:14" s="17" customFormat="1" ht="15.75" customHeight="1" x14ac:dyDescent="0.25">
      <c r="A134" s="4">
        <v>133</v>
      </c>
      <c r="B134" s="5" t="s">
        <v>150</v>
      </c>
      <c r="C134" s="6" t="s">
        <v>28</v>
      </c>
      <c r="D134" s="6"/>
      <c r="E134" s="6" t="s">
        <v>547</v>
      </c>
      <c r="F134" s="6" t="s">
        <v>595</v>
      </c>
      <c r="G134" s="7">
        <f t="shared" si="2"/>
        <v>440</v>
      </c>
      <c r="H134" s="7">
        <v>55</v>
      </c>
      <c r="I134" s="7">
        <v>65</v>
      </c>
      <c r="J134" s="7">
        <v>95</v>
      </c>
      <c r="K134" s="7">
        <v>95</v>
      </c>
      <c r="L134" s="7">
        <v>45</v>
      </c>
      <c r="M134" s="7">
        <v>85</v>
      </c>
      <c r="N134" s="6"/>
    </row>
    <row r="135" spans="1:14" s="17" customFormat="1" ht="15.75" customHeight="1" x14ac:dyDescent="0.25">
      <c r="A135" s="4">
        <v>134</v>
      </c>
      <c r="B135" s="5" t="s">
        <v>265</v>
      </c>
      <c r="C135" s="6" t="s">
        <v>28</v>
      </c>
      <c r="D135" s="6" t="s">
        <v>181</v>
      </c>
      <c r="E135" s="6" t="s">
        <v>594</v>
      </c>
      <c r="F135" s="6" t="s">
        <v>595</v>
      </c>
      <c r="G135" s="7">
        <f t="shared" si="2"/>
        <v>540</v>
      </c>
      <c r="H135" s="7">
        <v>75</v>
      </c>
      <c r="I135" s="7">
        <v>95</v>
      </c>
      <c r="J135" s="7">
        <v>95</v>
      </c>
      <c r="K135" s="7">
        <v>95</v>
      </c>
      <c r="L135" s="7">
        <v>95</v>
      </c>
      <c r="M135" s="7">
        <v>85</v>
      </c>
      <c r="N135" s="6"/>
    </row>
    <row r="136" spans="1:14" s="17" customFormat="1" ht="15.75" customHeight="1" x14ac:dyDescent="0.25">
      <c r="A136" s="4">
        <v>135</v>
      </c>
      <c r="B136" s="5" t="s">
        <v>151</v>
      </c>
      <c r="C136" s="6" t="s">
        <v>28</v>
      </c>
      <c r="D136" s="6"/>
      <c r="E136" s="6" t="s">
        <v>594</v>
      </c>
      <c r="F136" s="6" t="s">
        <v>586</v>
      </c>
      <c r="G136" s="7">
        <f t="shared" si="2"/>
        <v>320</v>
      </c>
      <c r="H136" s="7">
        <v>45</v>
      </c>
      <c r="I136" s="7">
        <v>67</v>
      </c>
      <c r="J136" s="7">
        <v>60</v>
      </c>
      <c r="K136" s="7">
        <v>35</v>
      </c>
      <c r="L136" s="7">
        <v>50</v>
      </c>
      <c r="M136" s="7">
        <v>63</v>
      </c>
      <c r="N136" s="6"/>
    </row>
    <row r="137" spans="1:14" s="17" customFormat="1" ht="15.75" customHeight="1" x14ac:dyDescent="0.25">
      <c r="A137" s="4">
        <v>136</v>
      </c>
      <c r="B137" s="5" t="s">
        <v>152</v>
      </c>
      <c r="C137" s="6" t="s">
        <v>28</v>
      </c>
      <c r="D137" s="6"/>
      <c r="E137" s="6" t="s">
        <v>594</v>
      </c>
      <c r="F137" s="6" t="s">
        <v>586</v>
      </c>
      <c r="G137" s="7">
        <f t="shared" si="2"/>
        <v>450</v>
      </c>
      <c r="H137" s="7">
        <v>80</v>
      </c>
      <c r="I137" s="7">
        <v>92</v>
      </c>
      <c r="J137" s="7">
        <v>65</v>
      </c>
      <c r="K137" s="7">
        <v>65</v>
      </c>
      <c r="L137" s="7">
        <v>80</v>
      </c>
      <c r="M137" s="7">
        <v>68</v>
      </c>
      <c r="N137" s="6"/>
    </row>
    <row r="138" spans="1:14" s="17" customFormat="1" ht="15.75" customHeight="1" x14ac:dyDescent="0.25">
      <c r="A138" s="4">
        <v>137</v>
      </c>
      <c r="B138" s="5" t="s">
        <v>153</v>
      </c>
      <c r="C138" s="6" t="s">
        <v>28</v>
      </c>
      <c r="D138" s="6"/>
      <c r="E138" s="6" t="s">
        <v>597</v>
      </c>
      <c r="F138" s="6" t="s">
        <v>590</v>
      </c>
      <c r="G138" s="7">
        <f t="shared" si="2"/>
        <v>340</v>
      </c>
      <c r="H138" s="7">
        <v>30</v>
      </c>
      <c r="I138" s="7">
        <v>45</v>
      </c>
      <c r="J138" s="7">
        <v>55</v>
      </c>
      <c r="K138" s="7">
        <v>70</v>
      </c>
      <c r="L138" s="7">
        <v>55</v>
      </c>
      <c r="M138" s="7">
        <v>85</v>
      </c>
      <c r="N138" s="6"/>
    </row>
    <row r="139" spans="1:14" s="17" customFormat="1" ht="15.75" customHeight="1" x14ac:dyDescent="0.25">
      <c r="A139" s="4">
        <v>138</v>
      </c>
      <c r="B139" s="5" t="s">
        <v>154</v>
      </c>
      <c r="C139" s="6" t="s">
        <v>28</v>
      </c>
      <c r="D139" s="6" t="s">
        <v>92</v>
      </c>
      <c r="E139" s="6" t="s">
        <v>597</v>
      </c>
      <c r="F139" s="6" t="s">
        <v>590</v>
      </c>
      <c r="G139" s="7">
        <f t="shared" si="2"/>
        <v>520</v>
      </c>
      <c r="H139" s="7">
        <v>60</v>
      </c>
      <c r="I139" s="7">
        <v>75</v>
      </c>
      <c r="J139" s="7">
        <v>85</v>
      </c>
      <c r="K139" s="7">
        <v>100</v>
      </c>
      <c r="L139" s="7">
        <v>85</v>
      </c>
      <c r="M139" s="7">
        <v>115</v>
      </c>
      <c r="N139" s="6"/>
    </row>
    <row r="140" spans="1:14" s="17" customFormat="1" ht="15.75" customHeight="1" x14ac:dyDescent="0.25">
      <c r="A140" s="4">
        <v>139</v>
      </c>
      <c r="B140" s="5" t="s">
        <v>474</v>
      </c>
      <c r="C140" s="6" t="s">
        <v>92</v>
      </c>
      <c r="D140" s="6"/>
      <c r="E140" s="6" t="s">
        <v>585</v>
      </c>
      <c r="F140" s="6" t="s">
        <v>654</v>
      </c>
      <c r="G140" s="7">
        <f t="shared" si="2"/>
        <v>310</v>
      </c>
      <c r="H140" s="7">
        <v>20</v>
      </c>
      <c r="I140" s="7">
        <v>25</v>
      </c>
      <c r="J140" s="7">
        <v>45</v>
      </c>
      <c r="K140" s="7">
        <v>70</v>
      </c>
      <c r="L140" s="7">
        <v>90</v>
      </c>
      <c r="M140" s="7">
        <v>60</v>
      </c>
      <c r="N140" s="6"/>
    </row>
    <row r="141" spans="1:14" s="17" customFormat="1" ht="15.75" customHeight="1" x14ac:dyDescent="0.25">
      <c r="A141" s="4">
        <v>140</v>
      </c>
      <c r="B141" s="5" t="s">
        <v>155</v>
      </c>
      <c r="C141" s="6" t="s">
        <v>92</v>
      </c>
      <c r="D141" s="6"/>
      <c r="E141" s="6" t="s">
        <v>585</v>
      </c>
      <c r="F141" s="6" t="s">
        <v>30</v>
      </c>
      <c r="G141" s="7">
        <f t="shared" si="2"/>
        <v>460</v>
      </c>
      <c r="H141" s="7">
        <v>40</v>
      </c>
      <c r="I141" s="7">
        <v>45</v>
      </c>
      <c r="J141" s="7">
        <v>65</v>
      </c>
      <c r="K141" s="7">
        <v>100</v>
      </c>
      <c r="L141" s="7">
        <v>120</v>
      </c>
      <c r="M141" s="7">
        <v>90</v>
      </c>
      <c r="N141" s="6"/>
    </row>
    <row r="142" spans="1:14" s="17" customFormat="1" ht="15.75" customHeight="1" x14ac:dyDescent="0.25">
      <c r="A142" s="4">
        <v>141</v>
      </c>
      <c r="B142" s="5" t="s">
        <v>156</v>
      </c>
      <c r="C142" s="6" t="s">
        <v>34</v>
      </c>
      <c r="D142" s="6" t="s">
        <v>26</v>
      </c>
      <c r="E142" s="6" t="s">
        <v>905</v>
      </c>
      <c r="F142" s="6" t="s">
        <v>558</v>
      </c>
      <c r="G142" s="7">
        <f t="shared" si="2"/>
        <v>500</v>
      </c>
      <c r="H142" s="7">
        <v>70</v>
      </c>
      <c r="I142" s="7">
        <v>110</v>
      </c>
      <c r="J142" s="7">
        <v>80</v>
      </c>
      <c r="K142" s="7">
        <v>55</v>
      </c>
      <c r="L142" s="7">
        <v>80</v>
      </c>
      <c r="M142" s="7">
        <v>105</v>
      </c>
      <c r="N142" s="6"/>
    </row>
    <row r="143" spans="1:14" s="17" customFormat="1" ht="15.75" customHeight="1" x14ac:dyDescent="0.25">
      <c r="A143" s="4">
        <v>142</v>
      </c>
      <c r="B143" s="5" t="s">
        <v>247</v>
      </c>
      <c r="C143" s="6" t="s">
        <v>34</v>
      </c>
      <c r="D143" s="6" t="s">
        <v>112</v>
      </c>
      <c r="E143" s="6" t="s">
        <v>539</v>
      </c>
      <c r="F143" s="6" t="s">
        <v>558</v>
      </c>
      <c r="G143" s="7">
        <f t="shared" si="2"/>
        <v>500</v>
      </c>
      <c r="H143" s="7">
        <v>70</v>
      </c>
      <c r="I143" s="7">
        <v>130</v>
      </c>
      <c r="J143" s="7">
        <v>100</v>
      </c>
      <c r="K143" s="7">
        <v>55</v>
      </c>
      <c r="L143" s="7">
        <v>80</v>
      </c>
      <c r="M143" s="7">
        <v>65</v>
      </c>
      <c r="N143" s="6"/>
    </row>
    <row r="144" spans="1:14" s="17" customFormat="1" ht="15.75" customHeight="1" x14ac:dyDescent="0.25">
      <c r="A144" s="4">
        <v>143</v>
      </c>
      <c r="B144" s="5" t="s">
        <v>1164</v>
      </c>
      <c r="C144" s="6" t="s">
        <v>34</v>
      </c>
      <c r="D144" s="6" t="s">
        <v>104</v>
      </c>
      <c r="E144" s="6" t="s">
        <v>539</v>
      </c>
      <c r="F144" s="6" t="s">
        <v>843</v>
      </c>
      <c r="G144" s="7">
        <f t="shared" si="2"/>
        <v>500</v>
      </c>
      <c r="H144" s="7">
        <v>70</v>
      </c>
      <c r="I144" s="7">
        <v>135</v>
      </c>
      <c r="J144" s="7">
        <v>95</v>
      </c>
      <c r="K144" s="7">
        <v>45</v>
      </c>
      <c r="L144" s="7">
        <v>70</v>
      </c>
      <c r="M144" s="7">
        <v>85</v>
      </c>
      <c r="N144" s="6"/>
    </row>
    <row r="145" spans="1:15" s="17" customFormat="1" ht="15.75" customHeight="1" x14ac:dyDescent="0.25">
      <c r="A145" s="4">
        <v>144</v>
      </c>
      <c r="B145" s="5" t="s">
        <v>273</v>
      </c>
      <c r="C145" s="6" t="s">
        <v>119</v>
      </c>
      <c r="D145" s="6" t="s">
        <v>92</v>
      </c>
      <c r="E145" s="6" t="s">
        <v>1400</v>
      </c>
      <c r="F145" s="6" t="s">
        <v>583</v>
      </c>
      <c r="G145" s="7">
        <f t="shared" si="2"/>
        <v>365</v>
      </c>
      <c r="H145" s="7">
        <v>45</v>
      </c>
      <c r="I145" s="7">
        <v>30</v>
      </c>
      <c r="J145" s="7">
        <v>45</v>
      </c>
      <c r="K145" s="7">
        <v>85</v>
      </c>
      <c r="L145" s="7">
        <v>95</v>
      </c>
      <c r="M145" s="7">
        <v>65</v>
      </c>
      <c r="N145" s="6"/>
    </row>
    <row r="146" spans="1:15" s="17" customFormat="1" ht="15.75" customHeight="1" x14ac:dyDescent="0.25">
      <c r="A146" s="4">
        <v>145</v>
      </c>
      <c r="B146" s="5" t="s">
        <v>157</v>
      </c>
      <c r="C146" s="6" t="s">
        <v>119</v>
      </c>
      <c r="D146" s="6" t="s">
        <v>92</v>
      </c>
      <c r="E146" s="6" t="s">
        <v>1400</v>
      </c>
      <c r="F146" s="6" t="s">
        <v>583</v>
      </c>
      <c r="G146" s="7">
        <f t="shared" si="2"/>
        <v>525</v>
      </c>
      <c r="H146" s="7">
        <v>65</v>
      </c>
      <c r="I146" s="7">
        <v>50</v>
      </c>
      <c r="J146" s="7">
        <v>65</v>
      </c>
      <c r="K146" s="7">
        <v>115</v>
      </c>
      <c r="L146" s="7">
        <v>115</v>
      </c>
      <c r="M146" s="7">
        <v>115</v>
      </c>
      <c r="N146" s="6"/>
    </row>
    <row r="147" spans="1:15" s="17" customFormat="1" ht="15.75" customHeight="1" x14ac:dyDescent="0.25">
      <c r="A147" s="4">
        <v>146</v>
      </c>
      <c r="B147" s="5" t="s">
        <v>274</v>
      </c>
      <c r="C147" s="6" t="s">
        <v>51</v>
      </c>
      <c r="D147" s="6"/>
      <c r="E147" s="6" t="s">
        <v>545</v>
      </c>
      <c r="F147" s="6" t="s">
        <v>562</v>
      </c>
      <c r="G147" s="7">
        <f t="shared" si="2"/>
        <v>360</v>
      </c>
      <c r="H147" s="7">
        <v>45</v>
      </c>
      <c r="I147" s="7">
        <v>63</v>
      </c>
      <c r="J147" s="7">
        <v>37</v>
      </c>
      <c r="K147" s="7">
        <v>65</v>
      </c>
      <c r="L147" s="7">
        <v>55</v>
      </c>
      <c r="M147" s="7">
        <v>95</v>
      </c>
      <c r="N147" s="6"/>
    </row>
    <row r="148" spans="1:15" s="17" customFormat="1" ht="15.75" customHeight="1" x14ac:dyDescent="0.25">
      <c r="A148" s="4">
        <v>147</v>
      </c>
      <c r="B148" s="5" t="s">
        <v>158</v>
      </c>
      <c r="C148" s="6" t="s">
        <v>51</v>
      </c>
      <c r="D148" s="6"/>
      <c r="E148" s="6" t="s">
        <v>545</v>
      </c>
      <c r="F148" s="6" t="s">
        <v>562</v>
      </c>
      <c r="G148" s="7">
        <f t="shared" si="2"/>
        <v>490</v>
      </c>
      <c r="H148" s="7">
        <v>65</v>
      </c>
      <c r="I148" s="7">
        <v>83</v>
      </c>
      <c r="J148" s="7">
        <v>57</v>
      </c>
      <c r="K148" s="7">
        <v>95</v>
      </c>
      <c r="L148" s="7">
        <v>85</v>
      </c>
      <c r="M148" s="7">
        <v>105</v>
      </c>
      <c r="N148" s="6"/>
    </row>
    <row r="149" spans="1:15" s="17" customFormat="1" ht="15.75" customHeight="1" x14ac:dyDescent="0.25">
      <c r="A149" s="4">
        <v>148</v>
      </c>
      <c r="B149" s="5" t="s">
        <v>501</v>
      </c>
      <c r="C149" s="6" t="s">
        <v>51</v>
      </c>
      <c r="D149" s="6" t="s">
        <v>84</v>
      </c>
      <c r="E149" s="6" t="s">
        <v>656</v>
      </c>
      <c r="F149" s="6" t="s">
        <v>589</v>
      </c>
      <c r="G149" s="7">
        <f t="shared" si="2"/>
        <v>540</v>
      </c>
      <c r="H149" s="7">
        <v>75</v>
      </c>
      <c r="I149" s="7">
        <v>123</v>
      </c>
      <c r="J149" s="7">
        <v>67</v>
      </c>
      <c r="K149" s="7">
        <v>95</v>
      </c>
      <c r="L149" s="7">
        <v>85</v>
      </c>
      <c r="M149" s="7">
        <v>95</v>
      </c>
      <c r="N149" s="6"/>
    </row>
    <row r="150" spans="1:15" s="17" customFormat="1" ht="15.75" customHeight="1" x14ac:dyDescent="0.25">
      <c r="A150" s="4">
        <v>149</v>
      </c>
      <c r="B150" s="5" t="s">
        <v>275</v>
      </c>
      <c r="C150" s="6" t="s">
        <v>21</v>
      </c>
      <c r="D150" s="6"/>
      <c r="E150" s="6" t="s">
        <v>598</v>
      </c>
      <c r="F150" s="6" t="s">
        <v>562</v>
      </c>
      <c r="G150" s="7">
        <f t="shared" si="2"/>
        <v>365</v>
      </c>
      <c r="H150" s="7">
        <v>45</v>
      </c>
      <c r="I150" s="7">
        <v>75</v>
      </c>
      <c r="J150" s="7">
        <v>37</v>
      </c>
      <c r="K150" s="7">
        <v>70</v>
      </c>
      <c r="L150" s="7">
        <v>55</v>
      </c>
      <c r="M150" s="7">
        <v>83</v>
      </c>
      <c r="N150" s="6"/>
    </row>
    <row r="151" spans="1:15" s="17" customFormat="1" ht="15.75" customHeight="1" x14ac:dyDescent="0.25">
      <c r="A151" s="4">
        <v>150</v>
      </c>
      <c r="B151" s="5" t="s">
        <v>159</v>
      </c>
      <c r="C151" s="6" t="s">
        <v>21</v>
      </c>
      <c r="D151" s="6"/>
      <c r="E151" s="6" t="s">
        <v>598</v>
      </c>
      <c r="F151" s="6" t="s">
        <v>562</v>
      </c>
      <c r="G151" s="7">
        <f t="shared" si="2"/>
        <v>495</v>
      </c>
      <c r="H151" s="7">
        <v>65</v>
      </c>
      <c r="I151" s="7">
        <v>95</v>
      </c>
      <c r="J151" s="7">
        <v>57</v>
      </c>
      <c r="K151" s="7">
        <v>100</v>
      </c>
      <c r="L151" s="7">
        <v>85</v>
      </c>
      <c r="M151" s="7">
        <v>93</v>
      </c>
      <c r="N151" s="6"/>
    </row>
    <row r="152" spans="1:15" s="17" customFormat="1" ht="15.75" customHeight="1" x14ac:dyDescent="0.25">
      <c r="A152" s="4">
        <v>151</v>
      </c>
      <c r="B152" s="5" t="s">
        <v>502</v>
      </c>
      <c r="C152" s="6" t="s">
        <v>21</v>
      </c>
      <c r="D152" s="6"/>
      <c r="E152" s="6" t="s">
        <v>551</v>
      </c>
      <c r="F152" s="6" t="s">
        <v>946</v>
      </c>
      <c r="G152" s="7">
        <f t="shared" si="2"/>
        <v>540</v>
      </c>
      <c r="H152" s="7">
        <v>75</v>
      </c>
      <c r="I152" s="7">
        <v>95</v>
      </c>
      <c r="J152" s="7">
        <v>67</v>
      </c>
      <c r="K152" s="7">
        <v>125</v>
      </c>
      <c r="L152" s="7">
        <v>95</v>
      </c>
      <c r="M152" s="7">
        <v>83</v>
      </c>
      <c r="N152" s="6"/>
      <c r="O152" s="6"/>
    </row>
    <row r="153" spans="1:15" s="17" customFormat="1" ht="15.75" customHeight="1" x14ac:dyDescent="0.25">
      <c r="A153" s="4">
        <v>152</v>
      </c>
      <c r="B153" s="5" t="s">
        <v>160</v>
      </c>
      <c r="C153" s="6" t="s">
        <v>34</v>
      </c>
      <c r="D153" s="6"/>
      <c r="E153" s="6" t="s">
        <v>584</v>
      </c>
      <c r="F153" s="6" t="s">
        <v>599</v>
      </c>
      <c r="G153" s="7">
        <f t="shared" si="2"/>
        <v>500</v>
      </c>
      <c r="H153" s="7">
        <v>65</v>
      </c>
      <c r="I153" s="7">
        <v>125</v>
      </c>
      <c r="J153" s="7">
        <v>100</v>
      </c>
      <c r="K153" s="7">
        <v>55</v>
      </c>
      <c r="L153" s="7">
        <v>70</v>
      </c>
      <c r="M153" s="7">
        <v>85</v>
      </c>
      <c r="N153" s="6"/>
    </row>
    <row r="154" spans="1:15" s="17" customFormat="1" ht="15.75" customHeight="1" x14ac:dyDescent="0.25">
      <c r="A154" s="4">
        <v>153</v>
      </c>
      <c r="B154" s="5" t="s">
        <v>161</v>
      </c>
      <c r="C154" s="6" t="s">
        <v>84</v>
      </c>
      <c r="D154" s="6" t="s">
        <v>232</v>
      </c>
      <c r="E154" s="6" t="s">
        <v>544</v>
      </c>
      <c r="F154" s="6" t="s">
        <v>563</v>
      </c>
      <c r="G154" s="7">
        <f t="shared" si="2"/>
        <v>490</v>
      </c>
      <c r="H154" s="7">
        <v>75</v>
      </c>
      <c r="I154" s="7">
        <v>100</v>
      </c>
      <c r="J154" s="7">
        <v>95</v>
      </c>
      <c r="K154" s="7">
        <v>40</v>
      </c>
      <c r="L154" s="7">
        <v>70</v>
      </c>
      <c r="M154" s="7">
        <v>110</v>
      </c>
      <c r="N154" s="6"/>
    </row>
    <row r="155" spans="1:15" s="17" customFormat="1" ht="15.75" customHeight="1" x14ac:dyDescent="0.25">
      <c r="A155" s="4">
        <v>154</v>
      </c>
      <c r="B155" s="5" t="s">
        <v>162</v>
      </c>
      <c r="C155" s="6" t="s">
        <v>28</v>
      </c>
      <c r="D155" s="6"/>
      <c r="E155" s="6" t="s">
        <v>594</v>
      </c>
      <c r="F155" s="6"/>
      <c r="G155" s="7">
        <f t="shared" si="2"/>
        <v>200</v>
      </c>
      <c r="H155" s="7">
        <v>20</v>
      </c>
      <c r="I155" s="7">
        <v>10</v>
      </c>
      <c r="J155" s="7">
        <v>55</v>
      </c>
      <c r="K155" s="7">
        <v>15</v>
      </c>
      <c r="L155" s="7">
        <v>20</v>
      </c>
      <c r="M155" s="7">
        <v>80</v>
      </c>
      <c r="N155" s="6"/>
    </row>
    <row r="156" spans="1:15" s="17" customFormat="1" ht="15.75" customHeight="1" x14ac:dyDescent="0.25">
      <c r="A156" s="4">
        <v>155</v>
      </c>
      <c r="B156" s="5" t="s">
        <v>163</v>
      </c>
      <c r="C156" s="6" t="s">
        <v>28</v>
      </c>
      <c r="D156" s="6" t="s">
        <v>26</v>
      </c>
      <c r="E156" s="6" t="s">
        <v>544</v>
      </c>
      <c r="F156" s="6"/>
      <c r="G156" s="7">
        <f t="shared" si="2"/>
        <v>540</v>
      </c>
      <c r="H156" s="7">
        <v>95</v>
      </c>
      <c r="I156" s="7">
        <v>125</v>
      </c>
      <c r="J156" s="7">
        <v>79</v>
      </c>
      <c r="K156" s="7">
        <v>60</v>
      </c>
      <c r="L156" s="7">
        <v>100</v>
      </c>
      <c r="M156" s="7">
        <v>81</v>
      </c>
      <c r="N156" s="6"/>
    </row>
    <row r="157" spans="1:15" s="17" customFormat="1" ht="15.75" customHeight="1" x14ac:dyDescent="0.25">
      <c r="A157" s="4">
        <v>156</v>
      </c>
      <c r="B157" s="5" t="s">
        <v>164</v>
      </c>
      <c r="C157" s="6" t="s">
        <v>28</v>
      </c>
      <c r="D157" s="6"/>
      <c r="E157" s="6" t="s">
        <v>564</v>
      </c>
      <c r="F157" s="6" t="s">
        <v>579</v>
      </c>
      <c r="G157" s="7">
        <f t="shared" si="2"/>
        <v>535</v>
      </c>
      <c r="H157" s="7">
        <v>130</v>
      </c>
      <c r="I157" s="7">
        <v>85</v>
      </c>
      <c r="J157" s="7">
        <v>80</v>
      </c>
      <c r="K157" s="7">
        <v>85</v>
      </c>
      <c r="L157" s="7">
        <v>95</v>
      </c>
      <c r="M157" s="7">
        <v>60</v>
      </c>
      <c r="N157" s="6"/>
    </row>
    <row r="158" spans="1:15" s="17" customFormat="1" ht="15.75" customHeight="1" x14ac:dyDescent="0.25">
      <c r="A158" s="4">
        <v>157</v>
      </c>
      <c r="B158" s="5" t="s">
        <v>165</v>
      </c>
      <c r="C158" s="6" t="s">
        <v>41</v>
      </c>
      <c r="D158" s="6"/>
      <c r="E158" s="6" t="s">
        <v>1138</v>
      </c>
      <c r="F158" s="6"/>
      <c r="G158" s="7">
        <f t="shared" si="2"/>
        <v>288</v>
      </c>
      <c r="H158" s="7">
        <v>48</v>
      </c>
      <c r="I158" s="7">
        <v>48</v>
      </c>
      <c r="J158" s="7">
        <v>48</v>
      </c>
      <c r="K158" s="7">
        <v>48</v>
      </c>
      <c r="L158" s="7">
        <v>48</v>
      </c>
      <c r="M158" s="7">
        <v>48</v>
      </c>
      <c r="N158" s="6"/>
    </row>
    <row r="159" spans="1:15" s="17" customFormat="1" ht="15.75" customHeight="1" x14ac:dyDescent="0.25">
      <c r="A159" s="4">
        <v>158</v>
      </c>
      <c r="B159" s="5" t="s">
        <v>166</v>
      </c>
      <c r="C159" s="6" t="s">
        <v>41</v>
      </c>
      <c r="D159" s="6"/>
      <c r="E159" s="6" t="s">
        <v>542</v>
      </c>
      <c r="F159" s="6" t="s">
        <v>600</v>
      </c>
      <c r="G159" s="7">
        <f t="shared" si="2"/>
        <v>325</v>
      </c>
      <c r="H159" s="7">
        <v>55</v>
      </c>
      <c r="I159" s="7">
        <v>55</v>
      </c>
      <c r="J159" s="7">
        <v>50</v>
      </c>
      <c r="K159" s="7">
        <v>45</v>
      </c>
      <c r="L159" s="7">
        <v>65</v>
      </c>
      <c r="M159" s="7">
        <v>55</v>
      </c>
      <c r="N159" s="6"/>
    </row>
    <row r="160" spans="1:15" s="17" customFormat="1" ht="15.75" customHeight="1" x14ac:dyDescent="0.25">
      <c r="A160" s="4">
        <v>159</v>
      </c>
      <c r="B160" s="5" t="s">
        <v>167</v>
      </c>
      <c r="C160" s="6" t="s">
        <v>28</v>
      </c>
      <c r="D160" s="6"/>
      <c r="E160" s="6" t="s">
        <v>564</v>
      </c>
      <c r="F160" s="6"/>
      <c r="G160" s="7">
        <f t="shared" si="2"/>
        <v>525</v>
      </c>
      <c r="H160" s="7">
        <v>130</v>
      </c>
      <c r="I160" s="7">
        <v>65</v>
      </c>
      <c r="J160" s="7">
        <v>60</v>
      </c>
      <c r="K160" s="7">
        <v>110</v>
      </c>
      <c r="L160" s="7">
        <v>95</v>
      </c>
      <c r="M160" s="7">
        <v>65</v>
      </c>
      <c r="N160" s="6"/>
    </row>
    <row r="161" spans="1:14" s="17" customFormat="1" ht="15.75" customHeight="1" x14ac:dyDescent="0.25">
      <c r="A161" s="4">
        <v>160</v>
      </c>
      <c r="B161" s="5" t="s">
        <v>168</v>
      </c>
      <c r="C161" s="6" t="s">
        <v>51</v>
      </c>
      <c r="D161" s="6"/>
      <c r="E161" s="6" t="s">
        <v>601</v>
      </c>
      <c r="F161" s="6"/>
      <c r="G161" s="7">
        <f t="shared" si="2"/>
        <v>525</v>
      </c>
      <c r="H161" s="7">
        <v>65</v>
      </c>
      <c r="I161" s="7">
        <v>65</v>
      </c>
      <c r="J161" s="7">
        <v>60</v>
      </c>
      <c r="K161" s="7">
        <v>110</v>
      </c>
      <c r="L161" s="7">
        <v>95</v>
      </c>
      <c r="M161" s="7">
        <v>130</v>
      </c>
      <c r="N161" s="6"/>
    </row>
    <row r="162" spans="1:14" s="17" customFormat="1" ht="15.75" customHeight="1" x14ac:dyDescent="0.25">
      <c r="A162" s="4">
        <v>161</v>
      </c>
      <c r="B162" s="5" t="s">
        <v>169</v>
      </c>
      <c r="C162" s="6" t="s">
        <v>21</v>
      </c>
      <c r="D162" s="6"/>
      <c r="E162" s="6" t="s">
        <v>551</v>
      </c>
      <c r="F162" s="6"/>
      <c r="G162" s="7">
        <f t="shared" si="2"/>
        <v>525</v>
      </c>
      <c r="H162" s="7">
        <v>65</v>
      </c>
      <c r="I162" s="7">
        <v>130</v>
      </c>
      <c r="J162" s="7">
        <v>60</v>
      </c>
      <c r="K162" s="7">
        <v>95</v>
      </c>
      <c r="L162" s="7">
        <v>110</v>
      </c>
      <c r="M162" s="7">
        <v>65</v>
      </c>
      <c r="N162" s="6"/>
    </row>
    <row r="163" spans="1:14" s="17" customFormat="1" ht="15.75" customHeight="1" x14ac:dyDescent="0.25">
      <c r="A163" s="4">
        <v>162</v>
      </c>
      <c r="B163" s="5" t="s">
        <v>230</v>
      </c>
      <c r="C163" s="6" t="s">
        <v>92</v>
      </c>
      <c r="D163" s="6"/>
      <c r="E163" s="6" t="s">
        <v>565</v>
      </c>
      <c r="F163" s="6"/>
      <c r="G163" s="7">
        <f t="shared" si="2"/>
        <v>525</v>
      </c>
      <c r="H163" s="7">
        <v>65</v>
      </c>
      <c r="I163" s="7">
        <v>65</v>
      </c>
      <c r="J163" s="7">
        <v>60</v>
      </c>
      <c r="K163" s="7">
        <v>130</v>
      </c>
      <c r="L163" s="7">
        <v>95</v>
      </c>
      <c r="M163" s="7">
        <v>110</v>
      </c>
      <c r="N163" s="6"/>
    </row>
    <row r="164" spans="1:14" s="17" customFormat="1" ht="15.75" customHeight="1" x14ac:dyDescent="0.25">
      <c r="A164" s="4">
        <v>163</v>
      </c>
      <c r="B164" s="5" t="s">
        <v>231</v>
      </c>
      <c r="C164" s="6" t="s">
        <v>232</v>
      </c>
      <c r="D164" s="6"/>
      <c r="E164" s="6" t="s">
        <v>565</v>
      </c>
      <c r="F164" s="6"/>
      <c r="G164" s="7">
        <f t="shared" si="2"/>
        <v>525</v>
      </c>
      <c r="H164" s="7">
        <v>95</v>
      </c>
      <c r="I164" s="7">
        <v>65</v>
      </c>
      <c r="J164" s="7">
        <v>110</v>
      </c>
      <c r="K164" s="7">
        <v>60</v>
      </c>
      <c r="L164" s="7">
        <v>130</v>
      </c>
      <c r="M164" s="7">
        <v>65</v>
      </c>
      <c r="N164" s="6"/>
    </row>
    <row r="165" spans="1:14" s="17" customFormat="1" ht="15.75" customHeight="1" x14ac:dyDescent="0.25">
      <c r="A165" s="4">
        <v>164</v>
      </c>
      <c r="B165" s="5" t="s">
        <v>505</v>
      </c>
      <c r="C165" s="6" t="s">
        <v>14</v>
      </c>
      <c r="D165" s="6"/>
      <c r="E165" s="6" t="s">
        <v>592</v>
      </c>
      <c r="F165" s="6"/>
      <c r="G165" s="7">
        <f t="shared" si="2"/>
        <v>525</v>
      </c>
      <c r="H165" s="7">
        <v>65</v>
      </c>
      <c r="I165" s="7">
        <v>110</v>
      </c>
      <c r="J165" s="7">
        <v>130</v>
      </c>
      <c r="K165" s="7">
        <v>60</v>
      </c>
      <c r="L165" s="7">
        <v>65</v>
      </c>
      <c r="M165" s="7">
        <v>95</v>
      </c>
      <c r="N165" s="6"/>
    </row>
    <row r="166" spans="1:14" s="17" customFormat="1" ht="15.75" customHeight="1" x14ac:dyDescent="0.25">
      <c r="A166" s="4">
        <v>165</v>
      </c>
      <c r="B166" s="5" t="s">
        <v>506</v>
      </c>
      <c r="C166" s="6" t="s">
        <v>119</v>
      </c>
      <c r="D166" s="6"/>
      <c r="E166" s="6" t="s">
        <v>619</v>
      </c>
      <c r="F166" s="6"/>
      <c r="G166" s="7">
        <f t="shared" si="2"/>
        <v>525</v>
      </c>
      <c r="H166" s="7">
        <v>65</v>
      </c>
      <c r="I166" s="7">
        <v>60</v>
      </c>
      <c r="J166" s="7">
        <v>110</v>
      </c>
      <c r="K166" s="7">
        <v>130</v>
      </c>
      <c r="L166" s="7">
        <v>95</v>
      </c>
      <c r="M166" s="7">
        <v>65</v>
      </c>
      <c r="N166" s="6"/>
    </row>
    <row r="167" spans="1:14" s="17" customFormat="1" ht="15.75" customHeight="1" x14ac:dyDescent="0.25">
      <c r="A167" s="4">
        <v>166</v>
      </c>
      <c r="B167" s="5" t="s">
        <v>170</v>
      </c>
      <c r="C167" s="6" t="s">
        <v>41</v>
      </c>
      <c r="D167" s="6"/>
      <c r="E167" s="6" t="s">
        <v>602</v>
      </c>
      <c r="F167" s="6" t="s">
        <v>603</v>
      </c>
      <c r="G167" s="7">
        <f t="shared" si="2"/>
        <v>395</v>
      </c>
      <c r="H167" s="7">
        <v>65</v>
      </c>
      <c r="I167" s="7">
        <v>60</v>
      </c>
      <c r="J167" s="7">
        <v>70</v>
      </c>
      <c r="K167" s="7">
        <v>85</v>
      </c>
      <c r="L167" s="7">
        <v>75</v>
      </c>
      <c r="M167" s="7">
        <v>40</v>
      </c>
      <c r="N167" s="6"/>
    </row>
    <row r="168" spans="1:14" s="17" customFormat="1" ht="15.75" customHeight="1" x14ac:dyDescent="0.25">
      <c r="A168" s="4">
        <v>167</v>
      </c>
      <c r="B168" s="5" t="s">
        <v>268</v>
      </c>
      <c r="C168" s="6" t="s">
        <v>41</v>
      </c>
      <c r="D168" s="6"/>
      <c r="E168" s="6" t="s">
        <v>602</v>
      </c>
      <c r="F168" s="6" t="s">
        <v>603</v>
      </c>
      <c r="G168" s="7">
        <f t="shared" si="2"/>
        <v>505</v>
      </c>
      <c r="H168" s="7">
        <v>85</v>
      </c>
      <c r="I168" s="7">
        <v>70</v>
      </c>
      <c r="J168" s="7">
        <v>90</v>
      </c>
      <c r="K168" s="7">
        <v>105</v>
      </c>
      <c r="L168" s="7">
        <v>95</v>
      </c>
      <c r="M168" s="7">
        <v>60</v>
      </c>
      <c r="N168" s="6"/>
    </row>
    <row r="169" spans="1:14" s="17" customFormat="1" ht="15.75" customHeight="1" x14ac:dyDescent="0.25">
      <c r="A169" s="4">
        <v>168</v>
      </c>
      <c r="B169" s="5" t="s">
        <v>509</v>
      </c>
      <c r="C169" s="6" t="s">
        <v>41</v>
      </c>
      <c r="D169" s="6"/>
      <c r="E169" s="6" t="s">
        <v>600</v>
      </c>
      <c r="F169" s="6" t="s">
        <v>603</v>
      </c>
      <c r="G169" s="7">
        <f t="shared" si="2"/>
        <v>545</v>
      </c>
      <c r="H169" s="7">
        <v>95</v>
      </c>
      <c r="I169" s="7">
        <v>80</v>
      </c>
      <c r="J169" s="7">
        <v>70</v>
      </c>
      <c r="K169" s="7">
        <v>135</v>
      </c>
      <c r="L169" s="7">
        <v>75</v>
      </c>
      <c r="M169" s="7">
        <v>90</v>
      </c>
      <c r="N169" s="6"/>
    </row>
    <row r="170" spans="1:14" s="17" customFormat="1" ht="15.75" customHeight="1" x14ac:dyDescent="0.25">
      <c r="A170" s="4">
        <v>169</v>
      </c>
      <c r="B170" s="5" t="s">
        <v>171</v>
      </c>
      <c r="C170" s="6" t="s">
        <v>104</v>
      </c>
      <c r="D170" s="6" t="s">
        <v>28</v>
      </c>
      <c r="E170" s="6" t="s">
        <v>594</v>
      </c>
      <c r="F170" s="6" t="s">
        <v>579</v>
      </c>
      <c r="G170" s="7">
        <f t="shared" si="2"/>
        <v>355</v>
      </c>
      <c r="H170" s="7">
        <v>35</v>
      </c>
      <c r="I170" s="7">
        <v>40</v>
      </c>
      <c r="J170" s="7">
        <v>100</v>
      </c>
      <c r="K170" s="7">
        <v>90</v>
      </c>
      <c r="L170" s="7">
        <v>55</v>
      </c>
      <c r="M170" s="7">
        <v>35</v>
      </c>
      <c r="N170" s="6"/>
    </row>
    <row r="171" spans="1:14" s="17" customFormat="1" ht="15.75" customHeight="1" x14ac:dyDescent="0.25">
      <c r="A171" s="4">
        <v>170</v>
      </c>
      <c r="B171" s="5" t="s">
        <v>172</v>
      </c>
      <c r="C171" s="6" t="s">
        <v>104</v>
      </c>
      <c r="D171" s="6" t="s">
        <v>28</v>
      </c>
      <c r="E171" s="6" t="s">
        <v>594</v>
      </c>
      <c r="F171" s="6" t="s">
        <v>579</v>
      </c>
      <c r="G171" s="7">
        <f t="shared" si="2"/>
        <v>495</v>
      </c>
      <c r="H171" s="7">
        <v>70</v>
      </c>
      <c r="I171" s="7">
        <v>60</v>
      </c>
      <c r="J171" s="7">
        <v>125</v>
      </c>
      <c r="K171" s="7">
        <v>115</v>
      </c>
      <c r="L171" s="7">
        <v>70</v>
      </c>
      <c r="M171" s="7">
        <v>55</v>
      </c>
      <c r="N171" s="6"/>
    </row>
    <row r="172" spans="1:14" s="17" customFormat="1" ht="15.75" customHeight="1" x14ac:dyDescent="0.25">
      <c r="A172" s="4">
        <v>171</v>
      </c>
      <c r="B172" s="5" t="s">
        <v>173</v>
      </c>
      <c r="C172" s="6" t="s">
        <v>104</v>
      </c>
      <c r="D172" s="6" t="s">
        <v>28</v>
      </c>
      <c r="E172" s="6" t="s">
        <v>594</v>
      </c>
      <c r="F172" s="6" t="s">
        <v>604</v>
      </c>
      <c r="G172" s="7">
        <f t="shared" si="2"/>
        <v>355</v>
      </c>
      <c r="H172" s="7">
        <v>30</v>
      </c>
      <c r="I172" s="7">
        <v>80</v>
      </c>
      <c r="J172" s="7">
        <v>90</v>
      </c>
      <c r="K172" s="7">
        <v>55</v>
      </c>
      <c r="L172" s="7">
        <v>45</v>
      </c>
      <c r="M172" s="7">
        <v>55</v>
      </c>
      <c r="N172" s="6"/>
    </row>
    <row r="173" spans="1:14" s="17" customFormat="1" ht="15.75" customHeight="1" x14ac:dyDescent="0.25">
      <c r="A173" s="4">
        <v>172</v>
      </c>
      <c r="B173" s="5" t="s">
        <v>174</v>
      </c>
      <c r="C173" s="6" t="s">
        <v>104</v>
      </c>
      <c r="D173" s="6" t="s">
        <v>28</v>
      </c>
      <c r="E173" s="6" t="s">
        <v>594</v>
      </c>
      <c r="F173" s="6" t="s">
        <v>604</v>
      </c>
      <c r="G173" s="7">
        <f t="shared" si="2"/>
        <v>495</v>
      </c>
      <c r="H173" s="7">
        <v>60</v>
      </c>
      <c r="I173" s="7">
        <v>115</v>
      </c>
      <c r="J173" s="7">
        <v>105</v>
      </c>
      <c r="K173" s="7">
        <v>65</v>
      </c>
      <c r="L173" s="7">
        <v>70</v>
      </c>
      <c r="M173" s="7">
        <v>80</v>
      </c>
      <c r="N173" s="6"/>
    </row>
    <row r="174" spans="1:14" s="17" customFormat="1" ht="15.75" customHeight="1" x14ac:dyDescent="0.25">
      <c r="A174" s="4">
        <v>173</v>
      </c>
      <c r="B174" s="5" t="s">
        <v>481</v>
      </c>
      <c r="C174" s="6" t="s">
        <v>41</v>
      </c>
      <c r="D174" s="6"/>
      <c r="E174" s="6" t="s">
        <v>610</v>
      </c>
      <c r="F174" s="6" t="s">
        <v>575</v>
      </c>
      <c r="G174" s="7">
        <f t="shared" si="2"/>
        <v>390</v>
      </c>
      <c r="H174" s="7">
        <v>135</v>
      </c>
      <c r="I174" s="7">
        <v>85</v>
      </c>
      <c r="J174" s="7">
        <v>40</v>
      </c>
      <c r="K174" s="7">
        <v>40</v>
      </c>
      <c r="L174" s="7">
        <v>85</v>
      </c>
      <c r="M174" s="7">
        <v>5</v>
      </c>
      <c r="N174" s="6"/>
    </row>
    <row r="175" spans="1:14" s="17" customFormat="1" ht="15.75" customHeight="1" x14ac:dyDescent="0.25">
      <c r="A175" s="4">
        <v>174</v>
      </c>
      <c r="B175" s="5" t="s">
        <v>176</v>
      </c>
      <c r="C175" s="6" t="s">
        <v>41</v>
      </c>
      <c r="D175" s="6"/>
      <c r="E175" s="6" t="s">
        <v>606</v>
      </c>
      <c r="F175" s="6" t="s">
        <v>575</v>
      </c>
      <c r="G175" s="7">
        <f t="shared" si="2"/>
        <v>540</v>
      </c>
      <c r="H175" s="7">
        <v>160</v>
      </c>
      <c r="I175" s="7">
        <v>110</v>
      </c>
      <c r="J175" s="7">
        <v>65</v>
      </c>
      <c r="K175" s="7">
        <v>65</v>
      </c>
      <c r="L175" s="7">
        <v>110</v>
      </c>
      <c r="M175" s="7">
        <v>30</v>
      </c>
      <c r="N175" s="6"/>
    </row>
    <row r="176" spans="1:14" s="17" customFormat="1" ht="15.75" customHeight="1" x14ac:dyDescent="0.25">
      <c r="A176" s="4">
        <v>175</v>
      </c>
      <c r="B176" s="5" t="s">
        <v>46</v>
      </c>
      <c r="C176" s="6" t="s">
        <v>41</v>
      </c>
      <c r="D176" s="6" t="s">
        <v>26</v>
      </c>
      <c r="E176" s="6" t="s">
        <v>540</v>
      </c>
      <c r="F176" s="6" t="s">
        <v>595</v>
      </c>
      <c r="G176" s="7">
        <f t="shared" si="2"/>
        <v>262</v>
      </c>
      <c r="H176" s="7">
        <v>40</v>
      </c>
      <c r="I176" s="7">
        <v>60</v>
      </c>
      <c r="J176" s="7">
        <v>30</v>
      </c>
      <c r="K176" s="7">
        <v>31</v>
      </c>
      <c r="L176" s="7">
        <v>31</v>
      </c>
      <c r="M176" s="7">
        <v>70</v>
      </c>
      <c r="N176" s="6"/>
    </row>
    <row r="177" spans="1:14" s="17" customFormat="1" ht="15.75" customHeight="1" x14ac:dyDescent="0.25">
      <c r="A177" s="4">
        <v>176</v>
      </c>
      <c r="B177" s="5" t="s">
        <v>47</v>
      </c>
      <c r="C177" s="6" t="s">
        <v>41</v>
      </c>
      <c r="D177" s="6" t="s">
        <v>26</v>
      </c>
      <c r="E177" s="6" t="s">
        <v>540</v>
      </c>
      <c r="F177" s="6" t="s">
        <v>595</v>
      </c>
      <c r="G177" s="7">
        <f t="shared" si="2"/>
        <v>442</v>
      </c>
      <c r="H177" s="7">
        <v>65</v>
      </c>
      <c r="I177" s="7">
        <v>90</v>
      </c>
      <c r="J177" s="7">
        <v>65</v>
      </c>
      <c r="K177" s="7">
        <v>61</v>
      </c>
      <c r="L177" s="7">
        <v>61</v>
      </c>
      <c r="M177" s="7">
        <v>100</v>
      </c>
      <c r="N177" s="6"/>
    </row>
    <row r="178" spans="1:14" s="17" customFormat="1" ht="15.75" customHeight="1" x14ac:dyDescent="0.25">
      <c r="A178" s="4">
        <v>177</v>
      </c>
      <c r="B178" s="5" t="s">
        <v>177</v>
      </c>
      <c r="C178" s="6" t="s">
        <v>119</v>
      </c>
      <c r="D178" s="6" t="s">
        <v>26</v>
      </c>
      <c r="E178" s="6" t="s">
        <v>655</v>
      </c>
      <c r="F178" s="6" t="s">
        <v>30</v>
      </c>
      <c r="G178" s="7">
        <f t="shared" si="2"/>
        <v>580</v>
      </c>
      <c r="H178" s="7">
        <v>90</v>
      </c>
      <c r="I178" s="7">
        <v>85</v>
      </c>
      <c r="J178" s="7">
        <v>100</v>
      </c>
      <c r="K178" s="7">
        <v>95</v>
      </c>
      <c r="L178" s="7">
        <v>125</v>
      </c>
      <c r="M178" s="7">
        <v>85</v>
      </c>
      <c r="N178" s="6"/>
    </row>
    <row r="179" spans="1:14" s="17" customFormat="1" ht="15.75" customHeight="1" x14ac:dyDescent="0.25">
      <c r="A179" s="4">
        <v>178</v>
      </c>
      <c r="B179" s="5" t="s">
        <v>178</v>
      </c>
      <c r="C179" s="6" t="s">
        <v>51</v>
      </c>
      <c r="D179" s="6" t="s">
        <v>26</v>
      </c>
      <c r="E179" s="6" t="s">
        <v>644</v>
      </c>
      <c r="F179" s="6" t="s">
        <v>545</v>
      </c>
      <c r="G179" s="7">
        <f t="shared" si="2"/>
        <v>580</v>
      </c>
      <c r="H179" s="7">
        <v>90</v>
      </c>
      <c r="I179" s="7">
        <v>90</v>
      </c>
      <c r="J179" s="7">
        <v>85</v>
      </c>
      <c r="K179" s="7">
        <v>125</v>
      </c>
      <c r="L179" s="7">
        <v>90</v>
      </c>
      <c r="M179" s="7">
        <v>100</v>
      </c>
      <c r="N179" s="6"/>
    </row>
    <row r="180" spans="1:14" s="17" customFormat="1" ht="15.75" customHeight="1" x14ac:dyDescent="0.25">
      <c r="A180" s="4">
        <v>179</v>
      </c>
      <c r="B180" s="5" t="s">
        <v>179</v>
      </c>
      <c r="C180" s="6" t="s">
        <v>21</v>
      </c>
      <c r="D180" s="6" t="s">
        <v>26</v>
      </c>
      <c r="E180" s="6" t="s">
        <v>23</v>
      </c>
      <c r="F180" s="6" t="s">
        <v>611</v>
      </c>
      <c r="G180" s="7">
        <f t="shared" si="2"/>
        <v>580</v>
      </c>
      <c r="H180" s="7">
        <v>90</v>
      </c>
      <c r="I180" s="7">
        <v>100</v>
      </c>
      <c r="J180" s="7">
        <v>90</v>
      </c>
      <c r="K180" s="7">
        <v>125</v>
      </c>
      <c r="L180" s="7">
        <v>85</v>
      </c>
      <c r="M180" s="7">
        <v>90</v>
      </c>
      <c r="N180" s="6"/>
    </row>
    <row r="181" spans="1:14" s="17" customFormat="1" ht="15.75" customHeight="1" x14ac:dyDescent="0.25">
      <c r="A181" s="4">
        <v>180</v>
      </c>
      <c r="B181" s="5" t="s">
        <v>175</v>
      </c>
      <c r="C181" s="6" t="s">
        <v>104</v>
      </c>
      <c r="D181" s="6" t="s">
        <v>26</v>
      </c>
      <c r="E181" s="6" t="s">
        <v>569</v>
      </c>
      <c r="F181" s="6" t="s">
        <v>605</v>
      </c>
      <c r="G181" s="7">
        <f t="shared" si="2"/>
        <v>515</v>
      </c>
      <c r="H181" s="7">
        <v>80</v>
      </c>
      <c r="I181" s="7">
        <v>105</v>
      </c>
      <c r="J181" s="7">
        <v>65</v>
      </c>
      <c r="K181" s="7">
        <v>60</v>
      </c>
      <c r="L181" s="7">
        <v>75</v>
      </c>
      <c r="M181" s="7">
        <v>130</v>
      </c>
      <c r="N181" s="6"/>
    </row>
    <row r="182" spans="1:14" s="17" customFormat="1" ht="15.75" customHeight="1" x14ac:dyDescent="0.25">
      <c r="A182" s="4">
        <v>181</v>
      </c>
      <c r="B182" s="5" t="s">
        <v>262</v>
      </c>
      <c r="C182" s="6" t="s">
        <v>112</v>
      </c>
      <c r="D182" s="6" t="s">
        <v>26</v>
      </c>
      <c r="E182" s="6" t="s">
        <v>540</v>
      </c>
      <c r="F182" s="6" t="s">
        <v>570</v>
      </c>
      <c r="G182" s="7">
        <f t="shared" si="2"/>
        <v>465</v>
      </c>
      <c r="H182" s="7">
        <v>65</v>
      </c>
      <c r="I182" s="7">
        <v>80</v>
      </c>
      <c r="J182" s="7">
        <v>140</v>
      </c>
      <c r="K182" s="7">
        <v>40</v>
      </c>
      <c r="L182" s="7">
        <v>70</v>
      </c>
      <c r="M182" s="7">
        <v>70</v>
      </c>
      <c r="N182" s="6"/>
    </row>
    <row r="183" spans="1:14" s="17" customFormat="1" ht="15.75" customHeight="1" x14ac:dyDescent="0.25">
      <c r="A183" s="4">
        <v>182</v>
      </c>
      <c r="B183" s="5" t="s">
        <v>180</v>
      </c>
      <c r="C183" s="6" t="s">
        <v>181</v>
      </c>
      <c r="D183" s="6"/>
      <c r="E183" s="6" t="s">
        <v>537</v>
      </c>
      <c r="F183" s="6" t="s">
        <v>996</v>
      </c>
      <c r="G183" s="7">
        <f t="shared" si="2"/>
        <v>300</v>
      </c>
      <c r="H183" s="7">
        <v>41</v>
      </c>
      <c r="I183" s="7">
        <v>64</v>
      </c>
      <c r="J183" s="7">
        <v>45</v>
      </c>
      <c r="K183" s="7">
        <v>50</v>
      </c>
      <c r="L183" s="7">
        <v>50</v>
      </c>
      <c r="M183" s="7">
        <v>50</v>
      </c>
      <c r="N183" s="6"/>
    </row>
    <row r="184" spans="1:14" s="17" customFormat="1" ht="15.75" customHeight="1" x14ac:dyDescent="0.25">
      <c r="A184" s="4">
        <v>183</v>
      </c>
      <c r="B184" s="5" t="s">
        <v>182</v>
      </c>
      <c r="C184" s="6" t="s">
        <v>181</v>
      </c>
      <c r="D184" s="6"/>
      <c r="E184" s="6" t="s">
        <v>537</v>
      </c>
      <c r="F184" s="6" t="s">
        <v>996</v>
      </c>
      <c r="G184" s="7">
        <f t="shared" si="2"/>
        <v>420</v>
      </c>
      <c r="H184" s="7">
        <v>61</v>
      </c>
      <c r="I184" s="7">
        <v>84</v>
      </c>
      <c r="J184" s="7">
        <v>65</v>
      </c>
      <c r="K184" s="7">
        <v>70</v>
      </c>
      <c r="L184" s="7">
        <v>70</v>
      </c>
      <c r="M184" s="7">
        <v>70</v>
      </c>
      <c r="N184" s="6"/>
    </row>
    <row r="185" spans="1:14" s="17" customFormat="1" ht="15.75" customHeight="1" x14ac:dyDescent="0.25">
      <c r="A185" s="4">
        <v>184</v>
      </c>
      <c r="B185" s="5" t="s">
        <v>183</v>
      </c>
      <c r="C185" s="6" t="s">
        <v>181</v>
      </c>
      <c r="D185" s="6"/>
      <c r="E185" s="6" t="s">
        <v>552</v>
      </c>
      <c r="F185" s="6" t="s">
        <v>996</v>
      </c>
      <c r="G185" s="7">
        <f t="shared" si="2"/>
        <v>590</v>
      </c>
      <c r="H185" s="7">
        <v>91</v>
      </c>
      <c r="I185" s="7">
        <v>124</v>
      </c>
      <c r="J185" s="7">
        <v>95</v>
      </c>
      <c r="K185" s="7">
        <v>100</v>
      </c>
      <c r="L185" s="7">
        <v>100</v>
      </c>
      <c r="M185" s="7">
        <v>80</v>
      </c>
      <c r="N185" s="6"/>
    </row>
    <row r="186" spans="1:14" s="17" customFormat="1" ht="15.75" customHeight="1" x14ac:dyDescent="0.25">
      <c r="A186" s="4">
        <v>185</v>
      </c>
      <c r="B186" s="5" t="s">
        <v>184</v>
      </c>
      <c r="C186" s="6" t="s">
        <v>92</v>
      </c>
      <c r="D186" s="6"/>
      <c r="E186" s="6" t="s">
        <v>1037</v>
      </c>
      <c r="F186" s="6" t="s">
        <v>603</v>
      </c>
      <c r="G186" s="7">
        <f t="shared" si="2"/>
        <v>680</v>
      </c>
      <c r="H186" s="7">
        <v>106</v>
      </c>
      <c r="I186" s="7">
        <v>110</v>
      </c>
      <c r="J186" s="7">
        <v>90</v>
      </c>
      <c r="K186" s="7">
        <v>154</v>
      </c>
      <c r="L186" s="7">
        <v>90</v>
      </c>
      <c r="M186" s="7">
        <v>130</v>
      </c>
      <c r="N186" s="6"/>
    </row>
    <row r="187" spans="1:14" s="17" customFormat="1" ht="15.75" customHeight="1" x14ac:dyDescent="0.25">
      <c r="A187" s="4">
        <v>186</v>
      </c>
      <c r="B187" s="5" t="s">
        <v>185</v>
      </c>
      <c r="C187" s="6" t="s">
        <v>92</v>
      </c>
      <c r="D187" s="6"/>
      <c r="E187" s="6" t="s">
        <v>565</v>
      </c>
      <c r="F187" s="6"/>
      <c r="G187" s="7">
        <f t="shared" si="2"/>
        <v>600</v>
      </c>
      <c r="H187" s="7">
        <v>100</v>
      </c>
      <c r="I187" s="7">
        <v>100</v>
      </c>
      <c r="J187" s="7">
        <v>100</v>
      </c>
      <c r="K187" s="7">
        <v>100</v>
      </c>
      <c r="L187" s="7">
        <v>100</v>
      </c>
      <c r="M187" s="7">
        <v>100</v>
      </c>
      <c r="N187" s="6"/>
    </row>
    <row r="188" spans="1:14" s="17" customFormat="1" ht="15.75" customHeight="1" x14ac:dyDescent="0.25">
      <c r="A188" s="4">
        <v>187</v>
      </c>
      <c r="B188" s="5" t="s">
        <v>186</v>
      </c>
      <c r="C188" s="6" t="s">
        <v>14</v>
      </c>
      <c r="D188" s="6"/>
      <c r="E188" s="6" t="s">
        <v>16</v>
      </c>
      <c r="F188" s="6" t="s">
        <v>30</v>
      </c>
      <c r="G188" s="7">
        <f t="shared" si="2"/>
        <v>318</v>
      </c>
      <c r="H188" s="7">
        <v>45</v>
      </c>
      <c r="I188" s="7">
        <v>49</v>
      </c>
      <c r="J188" s="7">
        <v>65</v>
      </c>
      <c r="K188" s="7">
        <v>49</v>
      </c>
      <c r="L188" s="7">
        <v>65</v>
      </c>
      <c r="M188" s="7">
        <v>45</v>
      </c>
      <c r="N188" s="6"/>
    </row>
    <row r="189" spans="1:14" s="17" customFormat="1" ht="15.75" customHeight="1" x14ac:dyDescent="0.25">
      <c r="A189" s="4">
        <v>188</v>
      </c>
      <c r="B189" s="5" t="s">
        <v>187</v>
      </c>
      <c r="C189" s="6" t="s">
        <v>14</v>
      </c>
      <c r="D189" s="6"/>
      <c r="E189" s="6" t="s">
        <v>16</v>
      </c>
      <c r="F189" s="6" t="s">
        <v>30</v>
      </c>
      <c r="G189" s="7">
        <f t="shared" si="2"/>
        <v>405</v>
      </c>
      <c r="H189" s="7">
        <v>60</v>
      </c>
      <c r="I189" s="7">
        <v>62</v>
      </c>
      <c r="J189" s="7">
        <v>80</v>
      </c>
      <c r="K189" s="7">
        <v>63</v>
      </c>
      <c r="L189" s="7">
        <v>80</v>
      </c>
      <c r="M189" s="7">
        <v>60</v>
      </c>
      <c r="N189" s="6"/>
    </row>
    <row r="190" spans="1:14" s="17" customFormat="1" ht="15.75" customHeight="1" x14ac:dyDescent="0.25">
      <c r="A190" s="4">
        <v>189</v>
      </c>
      <c r="B190" s="5" t="s">
        <v>188</v>
      </c>
      <c r="C190" s="6" t="s">
        <v>14</v>
      </c>
      <c r="D190" s="6"/>
      <c r="E190" s="6" t="s">
        <v>16</v>
      </c>
      <c r="F190" s="6" t="s">
        <v>30</v>
      </c>
      <c r="G190" s="7">
        <f t="shared" si="2"/>
        <v>535</v>
      </c>
      <c r="H190" s="7">
        <v>80</v>
      </c>
      <c r="I190" s="7">
        <v>92</v>
      </c>
      <c r="J190" s="7">
        <v>100</v>
      </c>
      <c r="K190" s="7">
        <v>93</v>
      </c>
      <c r="L190" s="7">
        <v>100</v>
      </c>
      <c r="M190" s="7">
        <v>70</v>
      </c>
      <c r="N190" s="6"/>
    </row>
    <row r="191" spans="1:14" s="17" customFormat="1" ht="15.75" customHeight="1" x14ac:dyDescent="0.25">
      <c r="A191" s="4">
        <v>190</v>
      </c>
      <c r="B191" s="5" t="s">
        <v>189</v>
      </c>
      <c r="C191" s="6" t="s">
        <v>21</v>
      </c>
      <c r="D191" s="6"/>
      <c r="E191" s="6" t="s">
        <v>22</v>
      </c>
      <c r="F191" s="6" t="s">
        <v>843</v>
      </c>
      <c r="G191" s="7">
        <f t="shared" si="2"/>
        <v>309</v>
      </c>
      <c r="H191" s="7">
        <v>39</v>
      </c>
      <c r="I191" s="7">
        <v>52</v>
      </c>
      <c r="J191" s="7">
        <v>43</v>
      </c>
      <c r="K191" s="7">
        <v>60</v>
      </c>
      <c r="L191" s="7">
        <v>50</v>
      </c>
      <c r="M191" s="7">
        <v>65</v>
      </c>
      <c r="N191" s="6"/>
    </row>
    <row r="192" spans="1:14" s="17" customFormat="1" ht="15.75" customHeight="1" x14ac:dyDescent="0.25">
      <c r="A192" s="4">
        <v>191</v>
      </c>
      <c r="B192" s="5" t="s">
        <v>190</v>
      </c>
      <c r="C192" s="6" t="s">
        <v>21</v>
      </c>
      <c r="D192" s="6"/>
      <c r="E192" s="6" t="s">
        <v>22</v>
      </c>
      <c r="F192" s="6" t="s">
        <v>843</v>
      </c>
      <c r="G192" s="7">
        <f t="shared" si="2"/>
        <v>405</v>
      </c>
      <c r="H192" s="7">
        <v>58</v>
      </c>
      <c r="I192" s="7">
        <v>64</v>
      </c>
      <c r="J192" s="7">
        <v>58</v>
      </c>
      <c r="K192" s="7">
        <v>80</v>
      </c>
      <c r="L192" s="7">
        <v>65</v>
      </c>
      <c r="M192" s="7">
        <v>80</v>
      </c>
      <c r="N192" s="6"/>
    </row>
    <row r="193" spans="1:14" s="17" customFormat="1" ht="15.75" customHeight="1" x14ac:dyDescent="0.25">
      <c r="A193" s="4">
        <v>192</v>
      </c>
      <c r="B193" s="5" t="s">
        <v>191</v>
      </c>
      <c r="C193" s="6" t="s">
        <v>21</v>
      </c>
      <c r="D193" s="6"/>
      <c r="E193" s="6" t="s">
        <v>22</v>
      </c>
      <c r="F193" s="6" t="s">
        <v>843</v>
      </c>
      <c r="G193" s="7">
        <f t="shared" si="2"/>
        <v>534</v>
      </c>
      <c r="H193" s="7">
        <v>78</v>
      </c>
      <c r="I193" s="7">
        <v>84</v>
      </c>
      <c r="J193" s="7">
        <v>78</v>
      </c>
      <c r="K193" s="7">
        <v>109</v>
      </c>
      <c r="L193" s="7">
        <v>85</v>
      </c>
      <c r="M193" s="7">
        <v>100</v>
      </c>
      <c r="N193" s="6"/>
    </row>
    <row r="194" spans="1:14" s="17" customFormat="1" ht="15.75" customHeight="1" x14ac:dyDescent="0.25">
      <c r="A194" s="4">
        <v>193</v>
      </c>
      <c r="B194" s="5" t="s">
        <v>192</v>
      </c>
      <c r="C194" s="6" t="s">
        <v>28</v>
      </c>
      <c r="D194" s="6"/>
      <c r="E194" s="6" t="s">
        <v>29</v>
      </c>
      <c r="F194" s="6" t="s">
        <v>1233</v>
      </c>
      <c r="G194" s="7">
        <f t="shared" ref="G194:G257" si="3">SUM(H194:M194)</f>
        <v>314</v>
      </c>
      <c r="H194" s="7">
        <v>50</v>
      </c>
      <c r="I194" s="7">
        <v>65</v>
      </c>
      <c r="J194" s="7">
        <v>64</v>
      </c>
      <c r="K194" s="7">
        <v>44</v>
      </c>
      <c r="L194" s="7">
        <v>48</v>
      </c>
      <c r="M194" s="7">
        <v>43</v>
      </c>
      <c r="N194" s="6"/>
    </row>
    <row r="195" spans="1:14" s="17" customFormat="1" ht="15.75" customHeight="1" x14ac:dyDescent="0.25">
      <c r="A195" s="4">
        <v>194</v>
      </c>
      <c r="B195" s="5" t="s">
        <v>193</v>
      </c>
      <c r="C195" s="6" t="s">
        <v>28</v>
      </c>
      <c r="D195" s="6"/>
      <c r="E195" s="6" t="s">
        <v>29</v>
      </c>
      <c r="F195" s="6" t="s">
        <v>1233</v>
      </c>
      <c r="G195" s="7">
        <f t="shared" si="3"/>
        <v>405</v>
      </c>
      <c r="H195" s="7">
        <v>65</v>
      </c>
      <c r="I195" s="7">
        <v>80</v>
      </c>
      <c r="J195" s="7">
        <v>80</v>
      </c>
      <c r="K195" s="7">
        <v>59</v>
      </c>
      <c r="L195" s="7">
        <v>63</v>
      </c>
      <c r="M195" s="7">
        <v>58</v>
      </c>
      <c r="N195" s="6"/>
    </row>
    <row r="196" spans="1:14" s="17" customFormat="1" ht="15.75" customHeight="1" x14ac:dyDescent="0.25">
      <c r="A196" s="4">
        <v>195</v>
      </c>
      <c r="B196" s="5" t="s">
        <v>194</v>
      </c>
      <c r="C196" s="6" t="s">
        <v>28</v>
      </c>
      <c r="D196" s="6"/>
      <c r="E196" s="6" t="s">
        <v>29</v>
      </c>
      <c r="F196" s="6" t="s">
        <v>1233</v>
      </c>
      <c r="G196" s="7">
        <f t="shared" si="3"/>
        <v>530</v>
      </c>
      <c r="H196" s="7">
        <v>85</v>
      </c>
      <c r="I196" s="7">
        <v>105</v>
      </c>
      <c r="J196" s="7">
        <v>100</v>
      </c>
      <c r="K196" s="7">
        <v>79</v>
      </c>
      <c r="L196" s="7">
        <v>83</v>
      </c>
      <c r="M196" s="7">
        <v>78</v>
      </c>
      <c r="N196" s="6"/>
    </row>
    <row r="197" spans="1:14" s="17" customFormat="1" ht="15.75" customHeight="1" x14ac:dyDescent="0.25">
      <c r="A197" s="4">
        <v>196</v>
      </c>
      <c r="B197" s="5" t="s">
        <v>195</v>
      </c>
      <c r="C197" s="6" t="s">
        <v>41</v>
      </c>
      <c r="D197" s="6"/>
      <c r="E197" s="6" t="s">
        <v>542</v>
      </c>
      <c r="F197" s="6" t="s">
        <v>540</v>
      </c>
      <c r="G197" s="7">
        <f t="shared" si="3"/>
        <v>215</v>
      </c>
      <c r="H197" s="7">
        <v>35</v>
      </c>
      <c r="I197" s="7">
        <v>46</v>
      </c>
      <c r="J197" s="7">
        <v>34</v>
      </c>
      <c r="K197" s="7">
        <v>35</v>
      </c>
      <c r="L197" s="7">
        <v>45</v>
      </c>
      <c r="M197" s="7">
        <v>20</v>
      </c>
      <c r="N197" s="6"/>
    </row>
    <row r="198" spans="1:14" s="17" customFormat="1" ht="15.75" customHeight="1" x14ac:dyDescent="0.25">
      <c r="A198" s="4">
        <v>197</v>
      </c>
      <c r="B198" s="5" t="s">
        <v>196</v>
      </c>
      <c r="C198" s="6" t="s">
        <v>41</v>
      </c>
      <c r="D198" s="6"/>
      <c r="E198" s="6" t="s">
        <v>542</v>
      </c>
      <c r="F198" s="6" t="s">
        <v>540</v>
      </c>
      <c r="G198" s="7">
        <f t="shared" si="3"/>
        <v>415</v>
      </c>
      <c r="H198" s="7">
        <v>85</v>
      </c>
      <c r="I198" s="7">
        <v>76</v>
      </c>
      <c r="J198" s="7">
        <v>64</v>
      </c>
      <c r="K198" s="7">
        <v>45</v>
      </c>
      <c r="L198" s="7">
        <v>55</v>
      </c>
      <c r="M198" s="7">
        <v>90</v>
      </c>
      <c r="N198" s="6"/>
    </row>
    <row r="199" spans="1:14" s="17" customFormat="1" ht="15.75" customHeight="1" x14ac:dyDescent="0.25">
      <c r="A199" s="4">
        <v>198</v>
      </c>
      <c r="B199" s="5" t="s">
        <v>197</v>
      </c>
      <c r="C199" s="6" t="s">
        <v>41</v>
      </c>
      <c r="D199" s="6" t="s">
        <v>26</v>
      </c>
      <c r="E199" s="6" t="s">
        <v>582</v>
      </c>
      <c r="F199" s="6" t="s">
        <v>1242</v>
      </c>
      <c r="G199" s="7">
        <f t="shared" si="3"/>
        <v>262</v>
      </c>
      <c r="H199" s="7">
        <v>60</v>
      </c>
      <c r="I199" s="7">
        <v>30</v>
      </c>
      <c r="J199" s="7">
        <v>30</v>
      </c>
      <c r="K199" s="7">
        <v>36</v>
      </c>
      <c r="L199" s="7">
        <v>56</v>
      </c>
      <c r="M199" s="7">
        <v>50</v>
      </c>
      <c r="N199" s="6"/>
    </row>
    <row r="200" spans="1:14" s="17" customFormat="1" ht="15.75" customHeight="1" x14ac:dyDescent="0.25">
      <c r="A200" s="4">
        <v>199</v>
      </c>
      <c r="B200" s="5" t="s">
        <v>198</v>
      </c>
      <c r="C200" s="6" t="s">
        <v>41</v>
      </c>
      <c r="D200" s="6" t="s">
        <v>26</v>
      </c>
      <c r="E200" s="6" t="s">
        <v>582</v>
      </c>
      <c r="F200" s="6" t="s">
        <v>1242</v>
      </c>
      <c r="G200" s="7">
        <f t="shared" si="3"/>
        <v>452</v>
      </c>
      <c r="H200" s="7">
        <v>100</v>
      </c>
      <c r="I200" s="7">
        <v>50</v>
      </c>
      <c r="J200" s="7">
        <v>55</v>
      </c>
      <c r="K200" s="7">
        <v>91</v>
      </c>
      <c r="L200" s="7">
        <v>96</v>
      </c>
      <c r="M200" s="7">
        <v>60</v>
      </c>
      <c r="N200" s="6"/>
    </row>
    <row r="201" spans="1:14" s="17" customFormat="1" ht="15.75" customHeight="1" x14ac:dyDescent="0.25">
      <c r="A201" s="4">
        <v>200</v>
      </c>
      <c r="B201" s="5" t="s">
        <v>199</v>
      </c>
      <c r="C201" s="6" t="s">
        <v>34</v>
      </c>
      <c r="D201" s="6"/>
      <c r="E201" s="6" t="s">
        <v>539</v>
      </c>
      <c r="F201" s="6" t="s">
        <v>558</v>
      </c>
      <c r="G201" s="7">
        <f t="shared" si="3"/>
        <v>265</v>
      </c>
      <c r="H201" s="7">
        <v>40</v>
      </c>
      <c r="I201" s="7">
        <v>20</v>
      </c>
      <c r="J201" s="7">
        <v>30</v>
      </c>
      <c r="K201" s="7">
        <v>40</v>
      </c>
      <c r="L201" s="7">
        <v>80</v>
      </c>
      <c r="M201" s="7">
        <v>55</v>
      </c>
      <c r="N201" s="6"/>
    </row>
    <row r="202" spans="1:14" s="17" customFormat="1" ht="15.75" customHeight="1" x14ac:dyDescent="0.25">
      <c r="A202" s="4">
        <v>201</v>
      </c>
      <c r="B202" s="5" t="s">
        <v>200</v>
      </c>
      <c r="C202" s="6" t="s">
        <v>34</v>
      </c>
      <c r="D202" s="6" t="s">
        <v>84</v>
      </c>
      <c r="E202" s="6" t="s">
        <v>539</v>
      </c>
      <c r="F202" s="6" t="s">
        <v>558</v>
      </c>
      <c r="G202" s="7">
        <f t="shared" si="3"/>
        <v>390</v>
      </c>
      <c r="H202" s="7">
        <v>55</v>
      </c>
      <c r="I202" s="7">
        <v>35</v>
      </c>
      <c r="J202" s="7">
        <v>50</v>
      </c>
      <c r="K202" s="7">
        <v>55</v>
      </c>
      <c r="L202" s="7">
        <v>110</v>
      </c>
      <c r="M202" s="7">
        <v>85</v>
      </c>
      <c r="N202" s="6"/>
    </row>
    <row r="203" spans="1:14" s="17" customFormat="1" ht="15.75" customHeight="1" x14ac:dyDescent="0.25">
      <c r="A203" s="4">
        <v>202</v>
      </c>
      <c r="B203" s="5" t="s">
        <v>201</v>
      </c>
      <c r="C203" s="6" t="s">
        <v>34</v>
      </c>
      <c r="D203" s="6" t="s">
        <v>15</v>
      </c>
      <c r="E203" s="6" t="s">
        <v>539</v>
      </c>
      <c r="F203" s="6" t="s">
        <v>582</v>
      </c>
      <c r="G203" s="7">
        <f t="shared" si="3"/>
        <v>250</v>
      </c>
      <c r="H203" s="7">
        <v>40</v>
      </c>
      <c r="I203" s="7">
        <v>60</v>
      </c>
      <c r="J203" s="7">
        <v>40</v>
      </c>
      <c r="K203" s="7">
        <v>40</v>
      </c>
      <c r="L203" s="7">
        <v>40</v>
      </c>
      <c r="M203" s="7">
        <v>30</v>
      </c>
      <c r="N203" s="6"/>
    </row>
    <row r="204" spans="1:14" s="17" customFormat="1" ht="15.75" customHeight="1" x14ac:dyDescent="0.25">
      <c r="A204" s="4">
        <v>203</v>
      </c>
      <c r="B204" s="5" t="s">
        <v>202</v>
      </c>
      <c r="C204" s="6" t="s">
        <v>34</v>
      </c>
      <c r="D204" s="6" t="s">
        <v>15</v>
      </c>
      <c r="E204" s="6" t="s">
        <v>539</v>
      </c>
      <c r="F204" s="6" t="s">
        <v>582</v>
      </c>
      <c r="G204" s="7">
        <f t="shared" si="3"/>
        <v>400</v>
      </c>
      <c r="H204" s="7">
        <v>70</v>
      </c>
      <c r="I204" s="7">
        <v>90</v>
      </c>
      <c r="J204" s="7">
        <v>70</v>
      </c>
      <c r="K204" s="7">
        <v>60</v>
      </c>
      <c r="L204" s="7">
        <v>70</v>
      </c>
      <c r="M204" s="7">
        <v>40</v>
      </c>
      <c r="N204" s="6"/>
    </row>
    <row r="205" spans="1:14" s="17" customFormat="1" ht="15.75" customHeight="1" x14ac:dyDescent="0.25">
      <c r="A205" s="4">
        <v>204</v>
      </c>
      <c r="B205" s="5" t="s">
        <v>204</v>
      </c>
      <c r="C205" s="6" t="s">
        <v>28</v>
      </c>
      <c r="D205" s="6" t="s">
        <v>51</v>
      </c>
      <c r="E205" s="6" t="s">
        <v>601</v>
      </c>
      <c r="F205" s="6" t="s">
        <v>597</v>
      </c>
      <c r="G205" s="7">
        <f t="shared" si="3"/>
        <v>330</v>
      </c>
      <c r="H205" s="7">
        <v>75</v>
      </c>
      <c r="I205" s="7">
        <v>38</v>
      </c>
      <c r="J205" s="7">
        <v>38</v>
      </c>
      <c r="K205" s="7">
        <v>56</v>
      </c>
      <c r="L205" s="7">
        <v>56</v>
      </c>
      <c r="M205" s="7">
        <v>67</v>
      </c>
      <c r="N205" s="6"/>
    </row>
    <row r="206" spans="1:14" s="17" customFormat="1" ht="15.75" customHeight="1" x14ac:dyDescent="0.25">
      <c r="A206" s="4">
        <v>205</v>
      </c>
      <c r="B206" s="5" t="s">
        <v>205</v>
      </c>
      <c r="C206" s="6" t="s">
        <v>28</v>
      </c>
      <c r="D206" s="6" t="s">
        <v>51</v>
      </c>
      <c r="E206" s="6" t="s">
        <v>601</v>
      </c>
      <c r="F206" s="6" t="s">
        <v>597</v>
      </c>
      <c r="G206" s="7">
        <f t="shared" si="3"/>
        <v>460</v>
      </c>
      <c r="H206" s="7">
        <v>125</v>
      </c>
      <c r="I206" s="7">
        <v>58</v>
      </c>
      <c r="J206" s="7">
        <v>58</v>
      </c>
      <c r="K206" s="7">
        <v>76</v>
      </c>
      <c r="L206" s="7">
        <v>76</v>
      </c>
      <c r="M206" s="7">
        <v>67</v>
      </c>
      <c r="N206" s="6"/>
    </row>
    <row r="207" spans="1:14" s="17" customFormat="1" ht="15.75" customHeight="1" x14ac:dyDescent="0.25">
      <c r="A207" s="4">
        <v>206</v>
      </c>
      <c r="B207" s="5" t="s">
        <v>209</v>
      </c>
      <c r="C207" s="6" t="s">
        <v>41</v>
      </c>
      <c r="D207" s="6"/>
      <c r="E207" s="6" t="s">
        <v>608</v>
      </c>
      <c r="F207" s="6" t="s">
        <v>591</v>
      </c>
      <c r="G207" s="7">
        <f t="shared" si="3"/>
        <v>245</v>
      </c>
      <c r="H207" s="7">
        <v>35</v>
      </c>
      <c r="I207" s="7">
        <v>20</v>
      </c>
      <c r="J207" s="7">
        <v>65</v>
      </c>
      <c r="K207" s="7">
        <v>40</v>
      </c>
      <c r="L207" s="7">
        <v>65</v>
      </c>
      <c r="M207" s="7">
        <v>20</v>
      </c>
      <c r="N207" s="6"/>
    </row>
    <row r="208" spans="1:14" s="17" customFormat="1" ht="15.75" customHeight="1" x14ac:dyDescent="0.25">
      <c r="A208" s="4">
        <v>207</v>
      </c>
      <c r="B208" s="5" t="s">
        <v>210</v>
      </c>
      <c r="C208" s="6" t="s">
        <v>41</v>
      </c>
      <c r="D208" s="6" t="s">
        <v>26</v>
      </c>
      <c r="E208" s="6" t="s">
        <v>608</v>
      </c>
      <c r="F208" s="6" t="s">
        <v>591</v>
      </c>
      <c r="G208" s="7">
        <f t="shared" si="3"/>
        <v>405</v>
      </c>
      <c r="H208" s="7">
        <v>55</v>
      </c>
      <c r="I208" s="7">
        <v>40</v>
      </c>
      <c r="J208" s="7">
        <v>85</v>
      </c>
      <c r="K208" s="7">
        <v>80</v>
      </c>
      <c r="L208" s="7">
        <v>105</v>
      </c>
      <c r="M208" s="7">
        <v>40</v>
      </c>
      <c r="N208" s="6"/>
    </row>
    <row r="209" spans="1:14" s="17" customFormat="1" ht="15.75" customHeight="1" x14ac:dyDescent="0.25">
      <c r="A209" s="4">
        <v>208</v>
      </c>
      <c r="B209" s="5" t="s">
        <v>503</v>
      </c>
      <c r="C209" s="6" t="s">
        <v>41</v>
      </c>
      <c r="D209" s="6" t="s">
        <v>26</v>
      </c>
      <c r="E209" s="6" t="s">
        <v>608</v>
      </c>
      <c r="F209" s="6" t="s">
        <v>615</v>
      </c>
      <c r="G209" s="7">
        <f t="shared" si="3"/>
        <v>545</v>
      </c>
      <c r="H209" s="7">
        <v>85</v>
      </c>
      <c r="I209" s="7">
        <v>50</v>
      </c>
      <c r="J209" s="7">
        <v>95</v>
      </c>
      <c r="K209" s="7">
        <v>120</v>
      </c>
      <c r="L209" s="7">
        <v>115</v>
      </c>
      <c r="M209" s="7">
        <v>80</v>
      </c>
      <c r="N209" s="6"/>
    </row>
    <row r="210" spans="1:14" s="17" customFormat="1" ht="15.75" customHeight="1" x14ac:dyDescent="0.25">
      <c r="A210" s="4">
        <v>209</v>
      </c>
      <c r="B210" s="5" t="s">
        <v>211</v>
      </c>
      <c r="C210" s="6" t="s">
        <v>92</v>
      </c>
      <c r="D210" s="6" t="s">
        <v>26</v>
      </c>
      <c r="E210" s="6" t="s">
        <v>565</v>
      </c>
      <c r="F210" s="6" t="s">
        <v>896</v>
      </c>
      <c r="G210" s="7">
        <f t="shared" si="3"/>
        <v>320</v>
      </c>
      <c r="H210" s="7">
        <v>40</v>
      </c>
      <c r="I210" s="7">
        <v>50</v>
      </c>
      <c r="J210" s="7">
        <v>45</v>
      </c>
      <c r="K210" s="7">
        <v>70</v>
      </c>
      <c r="L210" s="7">
        <v>45</v>
      </c>
      <c r="M210" s="7">
        <v>70</v>
      </c>
      <c r="N210" s="6"/>
    </row>
    <row r="211" spans="1:14" s="17" customFormat="1" ht="15.75" customHeight="1" x14ac:dyDescent="0.25">
      <c r="A211" s="4">
        <v>210</v>
      </c>
      <c r="B211" s="5" t="s">
        <v>212</v>
      </c>
      <c r="C211" s="6" t="s">
        <v>92</v>
      </c>
      <c r="D211" s="6" t="s">
        <v>26</v>
      </c>
      <c r="E211" s="6" t="s">
        <v>565</v>
      </c>
      <c r="F211" s="6" t="s">
        <v>896</v>
      </c>
      <c r="G211" s="7">
        <f t="shared" si="3"/>
        <v>470</v>
      </c>
      <c r="H211" s="7">
        <v>65</v>
      </c>
      <c r="I211" s="7">
        <v>75</v>
      </c>
      <c r="J211" s="7">
        <v>70</v>
      </c>
      <c r="K211" s="7">
        <v>95</v>
      </c>
      <c r="L211" s="7">
        <v>70</v>
      </c>
      <c r="M211" s="7">
        <v>95</v>
      </c>
      <c r="N211" s="6"/>
    </row>
    <row r="212" spans="1:14" s="17" customFormat="1" ht="15.75" customHeight="1" x14ac:dyDescent="0.25">
      <c r="A212" s="4">
        <v>211</v>
      </c>
      <c r="B212" s="5" t="s">
        <v>213</v>
      </c>
      <c r="C212" s="6" t="s">
        <v>51</v>
      </c>
      <c r="D212" s="6"/>
      <c r="E212" s="6" t="s">
        <v>633</v>
      </c>
      <c r="F212" s="6" t="s">
        <v>1135</v>
      </c>
      <c r="G212" s="7">
        <f t="shared" si="3"/>
        <v>280</v>
      </c>
      <c r="H212" s="7">
        <v>55</v>
      </c>
      <c r="I212" s="7">
        <v>40</v>
      </c>
      <c r="J212" s="7">
        <v>40</v>
      </c>
      <c r="K212" s="7">
        <v>65</v>
      </c>
      <c r="L212" s="7">
        <v>45</v>
      </c>
      <c r="M212" s="7">
        <v>35</v>
      </c>
      <c r="N212" s="6"/>
    </row>
    <row r="213" spans="1:14" s="17" customFormat="1" ht="15.75" customHeight="1" x14ac:dyDescent="0.25">
      <c r="A213" s="4">
        <v>212</v>
      </c>
      <c r="B213" s="5" t="s">
        <v>214</v>
      </c>
      <c r="C213" s="6" t="s">
        <v>51</v>
      </c>
      <c r="D213" s="6"/>
      <c r="E213" s="6" t="s">
        <v>633</v>
      </c>
      <c r="F213" s="6" t="s">
        <v>1135</v>
      </c>
      <c r="G213" s="7">
        <f t="shared" si="3"/>
        <v>365</v>
      </c>
      <c r="H213" s="7">
        <v>70</v>
      </c>
      <c r="I213" s="7">
        <v>55</v>
      </c>
      <c r="J213" s="7">
        <v>55</v>
      </c>
      <c r="K213" s="7">
        <v>80</v>
      </c>
      <c r="L213" s="7">
        <v>60</v>
      </c>
      <c r="M213" s="7">
        <v>45</v>
      </c>
      <c r="N213" s="6"/>
    </row>
    <row r="214" spans="1:14" s="17" customFormat="1" ht="15.75" customHeight="1" x14ac:dyDescent="0.25">
      <c r="A214" s="4">
        <v>213</v>
      </c>
      <c r="B214" s="5" t="s">
        <v>215</v>
      </c>
      <c r="C214" s="6" t="s">
        <v>51</v>
      </c>
      <c r="D214" s="6" t="s">
        <v>181</v>
      </c>
      <c r="E214" s="6" t="s">
        <v>633</v>
      </c>
      <c r="F214" s="6" t="s">
        <v>1135</v>
      </c>
      <c r="G214" s="7">
        <f t="shared" si="3"/>
        <v>500</v>
      </c>
      <c r="H214" s="7">
        <v>90</v>
      </c>
      <c r="I214" s="7">
        <v>75</v>
      </c>
      <c r="J214" s="7">
        <v>75</v>
      </c>
      <c r="K214" s="7">
        <v>115</v>
      </c>
      <c r="L214" s="7">
        <v>90</v>
      </c>
      <c r="M214" s="7">
        <v>55</v>
      </c>
      <c r="N214" s="6"/>
    </row>
    <row r="215" spans="1:14" s="17" customFormat="1" ht="15.75" customHeight="1" x14ac:dyDescent="0.25">
      <c r="A215" s="4">
        <v>214</v>
      </c>
      <c r="B215" s="5" t="s">
        <v>333</v>
      </c>
      <c r="C215" s="6" t="s">
        <v>41</v>
      </c>
      <c r="D215" s="6"/>
      <c r="E215" s="6" t="s">
        <v>1214</v>
      </c>
      <c r="F215" s="6" t="s">
        <v>609</v>
      </c>
      <c r="G215" s="7">
        <f t="shared" si="3"/>
        <v>190</v>
      </c>
      <c r="H215" s="7">
        <v>50</v>
      </c>
      <c r="I215" s="7">
        <v>20</v>
      </c>
      <c r="J215" s="7">
        <v>40</v>
      </c>
      <c r="K215" s="7">
        <v>20</v>
      </c>
      <c r="L215" s="7">
        <v>40</v>
      </c>
      <c r="M215" s="7">
        <v>20</v>
      </c>
      <c r="N215" s="6"/>
    </row>
    <row r="216" spans="1:14" s="17" customFormat="1" ht="15.75" customHeight="1" x14ac:dyDescent="0.25">
      <c r="A216" s="4">
        <v>215</v>
      </c>
      <c r="B216" s="5" t="s">
        <v>217</v>
      </c>
      <c r="C216" s="6" t="s">
        <v>28</v>
      </c>
      <c r="D216" s="6"/>
      <c r="E216" s="6" t="s">
        <v>1214</v>
      </c>
      <c r="F216" s="6" t="s">
        <v>609</v>
      </c>
      <c r="G216" s="7">
        <f t="shared" si="3"/>
        <v>250</v>
      </c>
      <c r="H216" s="7">
        <v>70</v>
      </c>
      <c r="I216" s="7">
        <v>20</v>
      </c>
      <c r="J216" s="7">
        <v>50</v>
      </c>
      <c r="K216" s="7">
        <v>20</v>
      </c>
      <c r="L216" s="7">
        <v>50</v>
      </c>
      <c r="M216" s="7">
        <v>40</v>
      </c>
      <c r="N216" s="6"/>
    </row>
    <row r="217" spans="1:14" s="17" customFormat="1" ht="15.75" customHeight="1" x14ac:dyDescent="0.25">
      <c r="A217" s="4">
        <v>216</v>
      </c>
      <c r="B217" s="5" t="s">
        <v>218</v>
      </c>
      <c r="C217" s="6" t="s">
        <v>28</v>
      </c>
      <c r="D217" s="6"/>
      <c r="E217" s="6" t="s">
        <v>1214</v>
      </c>
      <c r="F217" s="6" t="s">
        <v>609</v>
      </c>
      <c r="G217" s="7">
        <f t="shared" si="3"/>
        <v>410</v>
      </c>
      <c r="H217" s="7">
        <v>100</v>
      </c>
      <c r="I217" s="7">
        <v>50</v>
      </c>
      <c r="J217" s="7">
        <v>80</v>
      </c>
      <c r="K217" s="7">
        <v>50</v>
      </c>
      <c r="L217" s="7">
        <v>80</v>
      </c>
      <c r="M217" s="7">
        <v>50</v>
      </c>
      <c r="N217" s="6"/>
    </row>
    <row r="218" spans="1:14" s="17" customFormat="1" ht="15.75" customHeight="1" x14ac:dyDescent="0.25">
      <c r="A218" s="4">
        <v>217</v>
      </c>
      <c r="B218" s="5" t="s">
        <v>473</v>
      </c>
      <c r="C218" s="6" t="s">
        <v>104</v>
      </c>
      <c r="D218" s="6"/>
      <c r="E218" s="6" t="s">
        <v>1020</v>
      </c>
      <c r="F218" s="6" t="s">
        <v>569</v>
      </c>
      <c r="G218" s="7">
        <f t="shared" si="3"/>
        <v>290</v>
      </c>
      <c r="H218" s="7">
        <v>50</v>
      </c>
      <c r="I218" s="7">
        <v>80</v>
      </c>
      <c r="J218" s="7">
        <v>95</v>
      </c>
      <c r="K218" s="7">
        <v>10</v>
      </c>
      <c r="L218" s="7">
        <v>45</v>
      </c>
      <c r="M218" s="7">
        <v>10</v>
      </c>
      <c r="N218" s="6"/>
    </row>
    <row r="219" spans="1:14" s="17" customFormat="1" ht="15.75" customHeight="1" x14ac:dyDescent="0.25">
      <c r="A219" s="4">
        <v>218</v>
      </c>
      <c r="B219" s="5" t="s">
        <v>219</v>
      </c>
      <c r="C219" s="6" t="s">
        <v>104</v>
      </c>
      <c r="D219" s="6"/>
      <c r="E219" s="6" t="s">
        <v>1020</v>
      </c>
      <c r="F219" s="6" t="s">
        <v>569</v>
      </c>
      <c r="G219" s="7">
        <f t="shared" si="3"/>
        <v>410</v>
      </c>
      <c r="H219" s="7">
        <v>70</v>
      </c>
      <c r="I219" s="7">
        <v>100</v>
      </c>
      <c r="J219" s="7">
        <v>115</v>
      </c>
      <c r="K219" s="7">
        <v>30</v>
      </c>
      <c r="L219" s="7">
        <v>65</v>
      </c>
      <c r="M219" s="7">
        <v>30</v>
      </c>
      <c r="N219" s="6"/>
    </row>
    <row r="220" spans="1:14" s="17" customFormat="1" ht="15.75" customHeight="1" x14ac:dyDescent="0.25">
      <c r="A220" s="4">
        <v>219</v>
      </c>
      <c r="B220" s="5" t="s">
        <v>221</v>
      </c>
      <c r="C220" s="6" t="s">
        <v>14</v>
      </c>
      <c r="D220" s="6" t="s">
        <v>26</v>
      </c>
      <c r="E220" s="6" t="s">
        <v>17</v>
      </c>
      <c r="F220" s="6" t="s">
        <v>592</v>
      </c>
      <c r="G220" s="7">
        <f t="shared" si="3"/>
        <v>250</v>
      </c>
      <c r="H220" s="7">
        <v>35</v>
      </c>
      <c r="I220" s="7">
        <v>35</v>
      </c>
      <c r="J220" s="7">
        <v>40</v>
      </c>
      <c r="K220" s="7">
        <v>35</v>
      </c>
      <c r="L220" s="7">
        <v>55</v>
      </c>
      <c r="M220" s="7">
        <v>50</v>
      </c>
      <c r="N220" s="6"/>
    </row>
    <row r="221" spans="1:14" s="17" customFormat="1" ht="15.75" customHeight="1" x14ac:dyDescent="0.25">
      <c r="A221" s="4">
        <v>220</v>
      </c>
      <c r="B221" s="5" t="s">
        <v>222</v>
      </c>
      <c r="C221" s="6" t="s">
        <v>14</v>
      </c>
      <c r="D221" s="6" t="s">
        <v>26</v>
      </c>
      <c r="E221" s="6" t="s">
        <v>17</v>
      </c>
      <c r="F221" s="6" t="s">
        <v>592</v>
      </c>
      <c r="G221" s="7">
        <f t="shared" si="3"/>
        <v>340</v>
      </c>
      <c r="H221" s="7">
        <v>55</v>
      </c>
      <c r="I221" s="7">
        <v>45</v>
      </c>
      <c r="J221" s="7">
        <v>50</v>
      </c>
      <c r="K221" s="7">
        <v>45</v>
      </c>
      <c r="L221" s="7">
        <v>65</v>
      </c>
      <c r="M221" s="7">
        <v>80</v>
      </c>
      <c r="N221" s="6"/>
    </row>
    <row r="222" spans="1:14" s="17" customFormat="1" ht="15.75" customHeight="1" x14ac:dyDescent="0.25">
      <c r="A222" s="4">
        <v>221</v>
      </c>
      <c r="B222" s="5" t="s">
        <v>223</v>
      </c>
      <c r="C222" s="6" t="s">
        <v>14</v>
      </c>
      <c r="D222" s="6" t="s">
        <v>26</v>
      </c>
      <c r="E222" s="6" t="s">
        <v>17</v>
      </c>
      <c r="F222" s="6" t="s">
        <v>592</v>
      </c>
      <c r="G222" s="7">
        <f t="shared" si="3"/>
        <v>450</v>
      </c>
      <c r="H222" s="7">
        <v>75</v>
      </c>
      <c r="I222" s="7">
        <v>55</v>
      </c>
      <c r="J222" s="7">
        <v>70</v>
      </c>
      <c r="K222" s="7">
        <v>55</v>
      </c>
      <c r="L222" s="7">
        <v>85</v>
      </c>
      <c r="M222" s="7">
        <v>110</v>
      </c>
      <c r="N222" s="6"/>
    </row>
    <row r="223" spans="1:14" s="17" customFormat="1" ht="15.75" customHeight="1" x14ac:dyDescent="0.25">
      <c r="A223" s="4">
        <v>222</v>
      </c>
      <c r="B223" s="5" t="s">
        <v>224</v>
      </c>
      <c r="C223" s="6" t="s">
        <v>41</v>
      </c>
      <c r="D223" s="6"/>
      <c r="E223" s="6" t="s">
        <v>542</v>
      </c>
      <c r="F223" s="6" t="s">
        <v>580</v>
      </c>
      <c r="G223" s="7">
        <f t="shared" si="3"/>
        <v>360</v>
      </c>
      <c r="H223" s="7">
        <v>55</v>
      </c>
      <c r="I223" s="7">
        <v>70</v>
      </c>
      <c r="J223" s="7">
        <v>55</v>
      </c>
      <c r="K223" s="7">
        <v>40</v>
      </c>
      <c r="L223" s="7">
        <v>55</v>
      </c>
      <c r="M223" s="7">
        <v>85</v>
      </c>
      <c r="N223" s="6"/>
    </row>
    <row r="224" spans="1:14" s="17" customFormat="1" ht="15.75" customHeight="1" x14ac:dyDescent="0.25">
      <c r="A224" s="4">
        <v>223</v>
      </c>
      <c r="B224" s="5" t="s">
        <v>459</v>
      </c>
      <c r="C224" s="6" t="s">
        <v>41</v>
      </c>
      <c r="D224" s="6"/>
      <c r="E224" s="6" t="s">
        <v>558</v>
      </c>
      <c r="F224" s="6" t="s">
        <v>580</v>
      </c>
      <c r="G224" s="7">
        <f t="shared" si="3"/>
        <v>482</v>
      </c>
      <c r="H224" s="7">
        <v>75</v>
      </c>
      <c r="I224" s="7">
        <v>100</v>
      </c>
      <c r="J224" s="7">
        <v>66</v>
      </c>
      <c r="K224" s="7">
        <v>60</v>
      </c>
      <c r="L224" s="7">
        <v>66</v>
      </c>
      <c r="M224" s="7">
        <v>115</v>
      </c>
      <c r="N224" s="6"/>
    </row>
    <row r="225" spans="1:14" s="17" customFormat="1" ht="15.75" customHeight="1" x14ac:dyDescent="0.25">
      <c r="A225" s="4">
        <v>224</v>
      </c>
      <c r="B225" s="5" t="s">
        <v>225</v>
      </c>
      <c r="C225" s="6" t="s">
        <v>14</v>
      </c>
      <c r="D225" s="6" t="s">
        <v>41</v>
      </c>
      <c r="E225" s="6" t="s">
        <v>17</v>
      </c>
      <c r="F225" s="6" t="s">
        <v>611</v>
      </c>
      <c r="G225" s="7">
        <f t="shared" si="3"/>
        <v>180</v>
      </c>
      <c r="H225" s="7">
        <v>30</v>
      </c>
      <c r="I225" s="7">
        <v>30</v>
      </c>
      <c r="J225" s="7">
        <v>30</v>
      </c>
      <c r="K225" s="7">
        <v>30</v>
      </c>
      <c r="L225" s="7">
        <v>30</v>
      </c>
      <c r="M225" s="7">
        <v>30</v>
      </c>
      <c r="N225" s="6"/>
    </row>
    <row r="226" spans="1:14" s="17" customFormat="1" ht="15.75" customHeight="1" x14ac:dyDescent="0.25">
      <c r="A226" s="4">
        <v>225</v>
      </c>
      <c r="B226" s="5" t="s">
        <v>226</v>
      </c>
      <c r="C226" s="6" t="s">
        <v>14</v>
      </c>
      <c r="D226" s="6" t="s">
        <v>41</v>
      </c>
      <c r="E226" s="6" t="s">
        <v>17</v>
      </c>
      <c r="F226" s="6" t="s">
        <v>611</v>
      </c>
      <c r="G226" s="7">
        <f t="shared" si="3"/>
        <v>425</v>
      </c>
      <c r="H226" s="7">
        <v>75</v>
      </c>
      <c r="I226" s="7">
        <v>75</v>
      </c>
      <c r="J226" s="7">
        <v>55</v>
      </c>
      <c r="K226" s="7">
        <v>105</v>
      </c>
      <c r="L226" s="7">
        <v>85</v>
      </c>
      <c r="M226" s="7">
        <v>30</v>
      </c>
      <c r="N226" s="6"/>
    </row>
    <row r="227" spans="1:14" s="17" customFormat="1" ht="15.75" customHeight="1" x14ac:dyDescent="0.25">
      <c r="A227" s="4">
        <v>226</v>
      </c>
      <c r="B227" s="5" t="s">
        <v>227</v>
      </c>
      <c r="C227" s="6" t="s">
        <v>34</v>
      </c>
      <c r="D227" s="6" t="s">
        <v>26</v>
      </c>
      <c r="E227" s="6" t="s">
        <v>612</v>
      </c>
      <c r="F227" s="6" t="s">
        <v>538</v>
      </c>
      <c r="G227" s="7">
        <f t="shared" si="3"/>
        <v>390</v>
      </c>
      <c r="H227" s="7">
        <v>65</v>
      </c>
      <c r="I227" s="7">
        <v>65</v>
      </c>
      <c r="J227" s="7">
        <v>45</v>
      </c>
      <c r="K227" s="7">
        <v>75</v>
      </c>
      <c r="L227" s="7">
        <v>45</v>
      </c>
      <c r="M227" s="7">
        <v>95</v>
      </c>
      <c r="N227" s="6"/>
    </row>
    <row r="228" spans="1:14" s="17" customFormat="1" ht="15.75" customHeight="1" x14ac:dyDescent="0.25">
      <c r="A228" s="4">
        <v>227</v>
      </c>
      <c r="B228" s="5" t="s">
        <v>504</v>
      </c>
      <c r="C228" s="6" t="s">
        <v>34</v>
      </c>
      <c r="D228" s="6" t="s">
        <v>181</v>
      </c>
      <c r="E228" s="6" t="s">
        <v>612</v>
      </c>
      <c r="F228" s="6" t="s">
        <v>555</v>
      </c>
      <c r="G228" s="7">
        <f t="shared" si="3"/>
        <v>515</v>
      </c>
      <c r="H228" s="7">
        <v>86</v>
      </c>
      <c r="I228" s="7">
        <v>76</v>
      </c>
      <c r="J228" s="7">
        <v>86</v>
      </c>
      <c r="K228" s="7">
        <v>116</v>
      </c>
      <c r="L228" s="7">
        <v>56</v>
      </c>
      <c r="M228" s="7">
        <v>95</v>
      </c>
      <c r="N228" s="6"/>
    </row>
    <row r="229" spans="1:14" s="17" customFormat="1" ht="15.75" customHeight="1" x14ac:dyDescent="0.25">
      <c r="A229" s="4">
        <v>228</v>
      </c>
      <c r="B229" s="5" t="s">
        <v>228</v>
      </c>
      <c r="C229" s="6" t="s">
        <v>28</v>
      </c>
      <c r="D229" s="6" t="s">
        <v>54</v>
      </c>
      <c r="E229" s="6" t="s">
        <v>560</v>
      </c>
      <c r="F229" s="6" t="s">
        <v>1020</v>
      </c>
      <c r="G229" s="7">
        <f t="shared" si="3"/>
        <v>210</v>
      </c>
      <c r="H229" s="7">
        <v>55</v>
      </c>
      <c r="I229" s="7">
        <v>45</v>
      </c>
      <c r="J229" s="7">
        <v>45</v>
      </c>
      <c r="K229" s="7">
        <v>25</v>
      </c>
      <c r="L229" s="7">
        <v>25</v>
      </c>
      <c r="M229" s="7">
        <v>15</v>
      </c>
      <c r="N229" s="6"/>
    </row>
    <row r="230" spans="1:14" s="17" customFormat="1" ht="15.75" customHeight="1" x14ac:dyDescent="0.25">
      <c r="A230" s="4">
        <v>229</v>
      </c>
      <c r="B230" s="5" t="s">
        <v>229</v>
      </c>
      <c r="C230" s="6" t="s">
        <v>28</v>
      </c>
      <c r="D230" s="6" t="s">
        <v>54</v>
      </c>
      <c r="E230" s="6" t="s">
        <v>560</v>
      </c>
      <c r="F230" s="6" t="s">
        <v>1020</v>
      </c>
      <c r="G230" s="7">
        <f t="shared" si="3"/>
        <v>430</v>
      </c>
      <c r="H230" s="7">
        <v>95</v>
      </c>
      <c r="I230" s="7">
        <v>85</v>
      </c>
      <c r="J230" s="7">
        <v>85</v>
      </c>
      <c r="K230" s="7">
        <v>65</v>
      </c>
      <c r="L230" s="7">
        <v>65</v>
      </c>
      <c r="M230" s="7">
        <v>35</v>
      </c>
      <c r="N230" s="6"/>
    </row>
    <row r="231" spans="1:14" s="17" customFormat="1" ht="15.75" customHeight="1" x14ac:dyDescent="0.25">
      <c r="A231" s="4">
        <v>230</v>
      </c>
      <c r="B231" s="5" t="s">
        <v>233</v>
      </c>
      <c r="C231" s="6" t="s">
        <v>232</v>
      </c>
      <c r="D231" s="6" t="s">
        <v>26</v>
      </c>
      <c r="E231" s="6" t="s">
        <v>966</v>
      </c>
      <c r="F231" s="6" t="s">
        <v>613</v>
      </c>
      <c r="G231" s="7">
        <f t="shared" si="3"/>
        <v>405</v>
      </c>
      <c r="H231" s="7">
        <v>60</v>
      </c>
      <c r="I231" s="7">
        <v>85</v>
      </c>
      <c r="J231" s="7">
        <v>42</v>
      </c>
      <c r="K231" s="7">
        <v>85</v>
      </c>
      <c r="L231" s="7">
        <v>42</v>
      </c>
      <c r="M231" s="7">
        <v>91</v>
      </c>
      <c r="N231" s="6"/>
    </row>
    <row r="232" spans="1:14" s="17" customFormat="1" ht="15.75" customHeight="1" x14ac:dyDescent="0.25">
      <c r="A232" s="4">
        <v>231</v>
      </c>
      <c r="B232" s="5" t="s">
        <v>465</v>
      </c>
      <c r="C232" s="6" t="s">
        <v>232</v>
      </c>
      <c r="D232" s="6" t="s">
        <v>26</v>
      </c>
      <c r="E232" s="6" t="s">
        <v>966</v>
      </c>
      <c r="F232" s="6" t="s">
        <v>613</v>
      </c>
      <c r="G232" s="7">
        <f t="shared" si="3"/>
        <v>505</v>
      </c>
      <c r="H232" s="7">
        <v>100</v>
      </c>
      <c r="I232" s="7">
        <v>125</v>
      </c>
      <c r="J232" s="7">
        <v>52</v>
      </c>
      <c r="K232" s="7">
        <v>105</v>
      </c>
      <c r="L232" s="7">
        <v>52</v>
      </c>
      <c r="M232" s="7">
        <v>71</v>
      </c>
      <c r="N232" s="6"/>
    </row>
    <row r="233" spans="1:14" s="17" customFormat="1" ht="15.75" customHeight="1" x14ac:dyDescent="0.25">
      <c r="A233" s="4">
        <v>232</v>
      </c>
      <c r="B233" s="5" t="s">
        <v>235</v>
      </c>
      <c r="C233" s="6" t="s">
        <v>125</v>
      </c>
      <c r="D233" s="6" t="s">
        <v>92</v>
      </c>
      <c r="E233" s="6" t="s">
        <v>581</v>
      </c>
      <c r="F233" s="6" t="s">
        <v>1400</v>
      </c>
      <c r="G233" s="7">
        <f t="shared" si="3"/>
        <v>435</v>
      </c>
      <c r="H233" s="7">
        <v>60</v>
      </c>
      <c r="I233" s="7">
        <v>60</v>
      </c>
      <c r="J233" s="7">
        <v>60</v>
      </c>
      <c r="K233" s="7">
        <v>85</v>
      </c>
      <c r="L233" s="7">
        <v>85</v>
      </c>
      <c r="M233" s="7">
        <v>85</v>
      </c>
      <c r="N233" s="6"/>
    </row>
    <row r="234" spans="1:14" s="17" customFormat="1" ht="15.75" customHeight="1" x14ac:dyDescent="0.25">
      <c r="A234" s="4">
        <v>233</v>
      </c>
      <c r="B234" s="5" t="s">
        <v>464</v>
      </c>
      <c r="C234" s="6" t="s">
        <v>125</v>
      </c>
      <c r="D234" s="6" t="s">
        <v>92</v>
      </c>
      <c r="E234" s="6" t="s">
        <v>581</v>
      </c>
      <c r="F234" s="6" t="s">
        <v>1400</v>
      </c>
      <c r="G234" s="7">
        <f t="shared" si="3"/>
        <v>525</v>
      </c>
      <c r="H234" s="7">
        <v>60</v>
      </c>
      <c r="I234" s="7">
        <v>60</v>
      </c>
      <c r="J234" s="7">
        <v>60</v>
      </c>
      <c r="K234" s="7">
        <v>115</v>
      </c>
      <c r="L234" s="7">
        <v>115</v>
      </c>
      <c r="M234" s="7">
        <v>115</v>
      </c>
      <c r="N234" s="6"/>
    </row>
    <row r="235" spans="1:14" s="17" customFormat="1" ht="15.75" customHeight="1" x14ac:dyDescent="0.25">
      <c r="A235" s="4">
        <v>234</v>
      </c>
      <c r="B235" s="5" t="s">
        <v>236</v>
      </c>
      <c r="C235" s="6" t="s">
        <v>92</v>
      </c>
      <c r="D235" s="6"/>
      <c r="E235" s="6" t="s">
        <v>581</v>
      </c>
      <c r="F235" s="6"/>
      <c r="G235" s="7">
        <f t="shared" si="3"/>
        <v>336</v>
      </c>
      <c r="H235" s="7">
        <v>48</v>
      </c>
      <c r="I235" s="7">
        <v>72</v>
      </c>
      <c r="J235" s="7">
        <v>48</v>
      </c>
      <c r="K235" s="7">
        <v>72</v>
      </c>
      <c r="L235" s="7">
        <v>48</v>
      </c>
      <c r="M235" s="7">
        <v>48</v>
      </c>
      <c r="N235" s="6"/>
    </row>
    <row r="236" spans="1:14" s="17" customFormat="1" ht="15.75" customHeight="1" x14ac:dyDescent="0.25">
      <c r="A236" s="4">
        <v>235</v>
      </c>
      <c r="B236" s="5" t="s">
        <v>395</v>
      </c>
      <c r="C236" s="6" t="s">
        <v>92</v>
      </c>
      <c r="D236" s="6"/>
      <c r="E236" s="6" t="s">
        <v>614</v>
      </c>
      <c r="F236" s="6"/>
      <c r="G236" s="7">
        <f t="shared" si="3"/>
        <v>260</v>
      </c>
      <c r="H236" s="7">
        <v>95</v>
      </c>
      <c r="I236" s="7">
        <v>23</v>
      </c>
      <c r="J236" s="7">
        <v>48</v>
      </c>
      <c r="K236" s="7">
        <v>23</v>
      </c>
      <c r="L236" s="7">
        <v>48</v>
      </c>
      <c r="M236" s="7">
        <v>23</v>
      </c>
      <c r="N236" s="6"/>
    </row>
    <row r="237" spans="1:14" s="17" customFormat="1" ht="15.75" customHeight="1" x14ac:dyDescent="0.25">
      <c r="A237" s="4">
        <v>236</v>
      </c>
      <c r="B237" s="5" t="s">
        <v>237</v>
      </c>
      <c r="C237" s="6" t="s">
        <v>92</v>
      </c>
      <c r="D237" s="6"/>
      <c r="E237" s="6" t="s">
        <v>614</v>
      </c>
      <c r="F237" s="6"/>
      <c r="G237" s="7">
        <f t="shared" si="3"/>
        <v>405</v>
      </c>
      <c r="H237" s="7">
        <v>190</v>
      </c>
      <c r="I237" s="7">
        <v>33</v>
      </c>
      <c r="J237" s="7">
        <v>58</v>
      </c>
      <c r="K237" s="7">
        <v>33</v>
      </c>
      <c r="L237" s="7">
        <v>58</v>
      </c>
      <c r="M237" s="7">
        <v>33</v>
      </c>
      <c r="N237" s="6"/>
    </row>
    <row r="238" spans="1:14" s="17" customFormat="1" ht="15.75" customHeight="1" x14ac:dyDescent="0.25">
      <c r="A238" s="4">
        <v>237</v>
      </c>
      <c r="B238" s="5" t="s">
        <v>238</v>
      </c>
      <c r="C238" s="6" t="s">
        <v>41</v>
      </c>
      <c r="D238" s="6" t="s">
        <v>92</v>
      </c>
      <c r="E238" s="6" t="s">
        <v>552</v>
      </c>
      <c r="F238" s="6" t="s">
        <v>574</v>
      </c>
      <c r="G238" s="7">
        <f t="shared" si="3"/>
        <v>455</v>
      </c>
      <c r="H238" s="7">
        <v>70</v>
      </c>
      <c r="I238" s="7">
        <v>80</v>
      </c>
      <c r="J238" s="7">
        <v>65</v>
      </c>
      <c r="K238" s="7">
        <v>90</v>
      </c>
      <c r="L238" s="7">
        <v>65</v>
      </c>
      <c r="M238" s="7">
        <v>85</v>
      </c>
      <c r="N238" s="6"/>
    </row>
    <row r="239" spans="1:14" s="17" customFormat="1" ht="15.75" customHeight="1" x14ac:dyDescent="0.25">
      <c r="A239" s="4">
        <v>238</v>
      </c>
      <c r="B239" s="5" t="s">
        <v>1165</v>
      </c>
      <c r="C239" s="6" t="s">
        <v>41</v>
      </c>
      <c r="D239" s="6" t="s">
        <v>92</v>
      </c>
      <c r="E239" s="6" t="s">
        <v>552</v>
      </c>
      <c r="F239" s="6" t="s">
        <v>574</v>
      </c>
      <c r="G239" s="7">
        <f t="shared" si="3"/>
        <v>520</v>
      </c>
      <c r="H239" s="7">
        <v>120</v>
      </c>
      <c r="I239" s="7">
        <v>90</v>
      </c>
      <c r="J239" s="7">
        <v>70</v>
      </c>
      <c r="K239" s="7">
        <v>110</v>
      </c>
      <c r="L239" s="7">
        <v>70</v>
      </c>
      <c r="M239" s="7">
        <v>60</v>
      </c>
      <c r="N239" s="6"/>
    </row>
    <row r="240" spans="1:14" s="17" customFormat="1" ht="15.75" customHeight="1" x14ac:dyDescent="0.25">
      <c r="A240" s="4">
        <v>239</v>
      </c>
      <c r="B240" s="5" t="s">
        <v>239</v>
      </c>
      <c r="C240" s="6" t="s">
        <v>34</v>
      </c>
      <c r="D240" s="6"/>
      <c r="E240" s="6" t="s">
        <v>570</v>
      </c>
      <c r="F240" s="6" t="s">
        <v>1506</v>
      </c>
      <c r="G240" s="7">
        <f t="shared" si="3"/>
        <v>290</v>
      </c>
      <c r="H240" s="7">
        <v>50</v>
      </c>
      <c r="I240" s="7">
        <v>65</v>
      </c>
      <c r="J240" s="7">
        <v>90</v>
      </c>
      <c r="K240" s="7">
        <v>35</v>
      </c>
      <c r="L240" s="7">
        <v>35</v>
      </c>
      <c r="M240" s="7">
        <v>15</v>
      </c>
      <c r="N240" s="6"/>
    </row>
    <row r="241" spans="1:20" s="17" customFormat="1" ht="15.75" customHeight="1" x14ac:dyDescent="0.25">
      <c r="A241" s="4">
        <v>240</v>
      </c>
      <c r="B241" s="5" t="s">
        <v>240</v>
      </c>
      <c r="C241" s="6" t="s">
        <v>34</v>
      </c>
      <c r="D241" s="6" t="s">
        <v>112</v>
      </c>
      <c r="E241" s="6" t="s">
        <v>570</v>
      </c>
      <c r="F241" s="6" t="s">
        <v>653</v>
      </c>
      <c r="G241" s="7">
        <f t="shared" si="3"/>
        <v>465</v>
      </c>
      <c r="H241" s="7">
        <v>75</v>
      </c>
      <c r="I241" s="7">
        <v>90</v>
      </c>
      <c r="J241" s="7">
        <v>140</v>
      </c>
      <c r="K241" s="7">
        <v>60</v>
      </c>
      <c r="L241" s="7">
        <v>60</v>
      </c>
      <c r="M241" s="7">
        <v>40</v>
      </c>
      <c r="N241" s="6"/>
    </row>
    <row r="242" spans="1:20" s="17" customFormat="1" ht="15.75" customHeight="1" x14ac:dyDescent="0.25">
      <c r="A242" s="4">
        <v>241</v>
      </c>
      <c r="B242" s="5" t="s">
        <v>241</v>
      </c>
      <c r="C242" s="6" t="s">
        <v>41</v>
      </c>
      <c r="D242" s="6"/>
      <c r="E242" s="6" t="s">
        <v>615</v>
      </c>
      <c r="F242" s="6" t="s">
        <v>542</v>
      </c>
      <c r="G242" s="7">
        <f t="shared" si="3"/>
        <v>415</v>
      </c>
      <c r="H242" s="7">
        <v>100</v>
      </c>
      <c r="I242" s="7">
        <v>70</v>
      </c>
      <c r="J242" s="7">
        <v>70</v>
      </c>
      <c r="K242" s="7">
        <v>65</v>
      </c>
      <c r="L242" s="7">
        <v>65</v>
      </c>
      <c r="M242" s="7">
        <v>45</v>
      </c>
      <c r="N242" s="6"/>
    </row>
    <row r="243" spans="1:20" s="17" customFormat="1" ht="15.75" customHeight="1" x14ac:dyDescent="0.25">
      <c r="A243" s="4">
        <v>242</v>
      </c>
      <c r="B243" s="5" t="s">
        <v>874</v>
      </c>
      <c r="C243" s="6" t="s">
        <v>41</v>
      </c>
      <c r="D243" s="6"/>
      <c r="E243" s="6" t="s">
        <v>615</v>
      </c>
      <c r="F243" s="6" t="s">
        <v>542</v>
      </c>
      <c r="G243" s="7">
        <f t="shared" si="3"/>
        <v>520</v>
      </c>
      <c r="H243" s="7">
        <v>125</v>
      </c>
      <c r="I243" s="7">
        <v>100</v>
      </c>
      <c r="J243" s="7">
        <v>80</v>
      </c>
      <c r="K243" s="7">
        <v>85</v>
      </c>
      <c r="L243" s="7">
        <v>75</v>
      </c>
      <c r="M243" s="7">
        <v>55</v>
      </c>
      <c r="N243" s="6"/>
    </row>
    <row r="244" spans="1:20" s="17" customFormat="1" ht="15.75" customHeight="1" x14ac:dyDescent="0.25">
      <c r="A244" s="4">
        <v>243</v>
      </c>
      <c r="B244" s="5" t="s">
        <v>242</v>
      </c>
      <c r="C244" s="6" t="s">
        <v>54</v>
      </c>
      <c r="D244" s="6" t="s">
        <v>26</v>
      </c>
      <c r="E244" s="6" t="s">
        <v>584</v>
      </c>
      <c r="F244" s="6" t="s">
        <v>606</v>
      </c>
      <c r="G244" s="7">
        <f t="shared" si="3"/>
        <v>430</v>
      </c>
      <c r="H244" s="7">
        <v>65</v>
      </c>
      <c r="I244" s="7">
        <v>75</v>
      </c>
      <c r="J244" s="7">
        <v>105</v>
      </c>
      <c r="K244" s="7">
        <v>35</v>
      </c>
      <c r="L244" s="7">
        <v>65</v>
      </c>
      <c r="M244" s="7">
        <v>85</v>
      </c>
      <c r="N244" s="6"/>
    </row>
    <row r="245" spans="1:20" s="17" customFormat="1" ht="15.75" customHeight="1" x14ac:dyDescent="0.25">
      <c r="A245" s="4">
        <v>244</v>
      </c>
      <c r="B245" s="5" t="s">
        <v>507</v>
      </c>
      <c r="C245" s="6" t="s">
        <v>54</v>
      </c>
      <c r="D245" s="6" t="s">
        <v>26</v>
      </c>
      <c r="E245" s="6" t="s">
        <v>584</v>
      </c>
      <c r="F245" s="6" t="s">
        <v>625</v>
      </c>
      <c r="G245" s="7">
        <f t="shared" si="3"/>
        <v>510</v>
      </c>
      <c r="H245" s="7">
        <v>75</v>
      </c>
      <c r="I245" s="7">
        <v>95</v>
      </c>
      <c r="J245" s="7">
        <v>125</v>
      </c>
      <c r="K245" s="7">
        <v>45</v>
      </c>
      <c r="L245" s="7">
        <v>75</v>
      </c>
      <c r="M245" s="7">
        <v>95</v>
      </c>
      <c r="N245" s="19"/>
      <c r="O245" s="19"/>
      <c r="P245" s="19"/>
      <c r="Q245" s="19"/>
      <c r="R245" s="19"/>
      <c r="S245" s="19"/>
      <c r="T245" s="19"/>
    </row>
    <row r="246" spans="1:20" s="17" customFormat="1" ht="15.75" customHeight="1" x14ac:dyDescent="0.25">
      <c r="A246" s="4">
        <v>245</v>
      </c>
      <c r="B246" s="5" t="s">
        <v>244</v>
      </c>
      <c r="C246" s="6" t="s">
        <v>41</v>
      </c>
      <c r="D246" s="6" t="s">
        <v>84</v>
      </c>
      <c r="E246" s="6" t="s">
        <v>544</v>
      </c>
      <c r="F246" s="6" t="s">
        <v>542</v>
      </c>
      <c r="G246" s="7">
        <f t="shared" si="3"/>
        <v>300</v>
      </c>
      <c r="H246" s="7">
        <v>60</v>
      </c>
      <c r="I246" s="7">
        <v>80</v>
      </c>
      <c r="J246" s="7">
        <v>50</v>
      </c>
      <c r="K246" s="7">
        <v>40</v>
      </c>
      <c r="L246" s="7">
        <v>40</v>
      </c>
      <c r="M246" s="7">
        <v>30</v>
      </c>
      <c r="N246" s="6"/>
    </row>
    <row r="247" spans="1:20" s="17" customFormat="1" ht="15.75" customHeight="1" x14ac:dyDescent="0.25">
      <c r="A247" s="4">
        <v>246</v>
      </c>
      <c r="B247" s="5" t="s">
        <v>245</v>
      </c>
      <c r="C247" s="6" t="s">
        <v>41</v>
      </c>
      <c r="D247" s="6" t="s">
        <v>84</v>
      </c>
      <c r="E247" s="6" t="s">
        <v>544</v>
      </c>
      <c r="F247" s="6" t="s">
        <v>616</v>
      </c>
      <c r="G247" s="7">
        <f t="shared" si="3"/>
        <v>450</v>
      </c>
      <c r="H247" s="7">
        <v>90</v>
      </c>
      <c r="I247" s="7">
        <v>120</v>
      </c>
      <c r="J247" s="7">
        <v>75</v>
      </c>
      <c r="K247" s="7">
        <v>60</v>
      </c>
      <c r="L247" s="7">
        <v>60</v>
      </c>
      <c r="M247" s="7">
        <v>45</v>
      </c>
      <c r="N247" s="6"/>
    </row>
    <row r="248" spans="1:20" s="17" customFormat="1" ht="15.75" customHeight="1" x14ac:dyDescent="0.25">
      <c r="A248" s="4">
        <v>247</v>
      </c>
      <c r="B248" s="5" t="s">
        <v>246</v>
      </c>
      <c r="C248" s="6" t="s">
        <v>28</v>
      </c>
      <c r="D248" s="6" t="s">
        <v>15</v>
      </c>
      <c r="E248" s="6" t="s">
        <v>547</v>
      </c>
      <c r="F248" s="6" t="s">
        <v>594</v>
      </c>
      <c r="G248" s="7">
        <f t="shared" si="3"/>
        <v>440</v>
      </c>
      <c r="H248" s="7">
        <v>65</v>
      </c>
      <c r="I248" s="7">
        <v>95</v>
      </c>
      <c r="J248" s="7">
        <v>85</v>
      </c>
      <c r="K248" s="7">
        <v>55</v>
      </c>
      <c r="L248" s="7">
        <v>55</v>
      </c>
      <c r="M248" s="7">
        <v>85</v>
      </c>
      <c r="N248" s="6"/>
    </row>
    <row r="249" spans="1:20" s="17" customFormat="1" ht="15.75" customHeight="1" x14ac:dyDescent="0.25">
      <c r="A249" s="4">
        <v>248</v>
      </c>
      <c r="B249" s="5" t="s">
        <v>1181</v>
      </c>
      <c r="C249" s="6" t="s">
        <v>28</v>
      </c>
      <c r="D249" s="6" t="s">
        <v>15</v>
      </c>
      <c r="E249" s="6" t="s">
        <v>547</v>
      </c>
      <c r="F249" s="6" t="s">
        <v>594</v>
      </c>
      <c r="G249" s="7">
        <f t="shared" si="3"/>
        <v>510</v>
      </c>
      <c r="H249" s="7">
        <v>85</v>
      </c>
      <c r="I249" s="7">
        <v>115</v>
      </c>
      <c r="J249" s="7">
        <v>95</v>
      </c>
      <c r="K249" s="7">
        <v>65</v>
      </c>
      <c r="L249" s="7">
        <v>65</v>
      </c>
      <c r="M249" s="7">
        <v>85</v>
      </c>
      <c r="N249" s="6"/>
    </row>
    <row r="250" spans="1:20" s="17" customFormat="1" ht="15.75" customHeight="1" x14ac:dyDescent="0.25">
      <c r="A250" s="4">
        <v>249</v>
      </c>
      <c r="B250" s="5" t="s">
        <v>248</v>
      </c>
      <c r="C250" s="6" t="s">
        <v>34</v>
      </c>
      <c r="D250" s="6" t="s">
        <v>104</v>
      </c>
      <c r="E250" s="6" t="s">
        <v>570</v>
      </c>
      <c r="F250" s="6" t="s">
        <v>617</v>
      </c>
      <c r="G250" s="7">
        <f t="shared" si="3"/>
        <v>505</v>
      </c>
      <c r="H250" s="7">
        <v>20</v>
      </c>
      <c r="I250" s="7">
        <v>10</v>
      </c>
      <c r="J250" s="7">
        <v>230</v>
      </c>
      <c r="K250" s="7">
        <v>10</v>
      </c>
      <c r="L250" s="7">
        <v>230</v>
      </c>
      <c r="M250" s="7">
        <v>5</v>
      </c>
      <c r="N250" s="6"/>
    </row>
    <row r="251" spans="1:20" s="17" customFormat="1" ht="15.75" customHeight="1" x14ac:dyDescent="0.25">
      <c r="A251" s="4">
        <v>250</v>
      </c>
      <c r="B251" s="5" t="s">
        <v>249</v>
      </c>
      <c r="C251" s="6" t="s">
        <v>34</v>
      </c>
      <c r="D251" s="6" t="s">
        <v>84</v>
      </c>
      <c r="E251" s="6" t="s">
        <v>539</v>
      </c>
      <c r="F251" s="6" t="s">
        <v>543</v>
      </c>
      <c r="G251" s="7">
        <f t="shared" si="3"/>
        <v>500</v>
      </c>
      <c r="H251" s="7">
        <v>80</v>
      </c>
      <c r="I251" s="7">
        <v>125</v>
      </c>
      <c r="J251" s="7">
        <v>75</v>
      </c>
      <c r="K251" s="7">
        <v>40</v>
      </c>
      <c r="L251" s="7">
        <v>95</v>
      </c>
      <c r="M251" s="7">
        <v>85</v>
      </c>
      <c r="N251" s="6"/>
    </row>
    <row r="252" spans="1:20" s="17" customFormat="1" ht="15.75" customHeight="1" x14ac:dyDescent="0.25">
      <c r="A252" s="4">
        <v>251</v>
      </c>
      <c r="B252" s="5" t="s">
        <v>250</v>
      </c>
      <c r="C252" s="6" t="s">
        <v>232</v>
      </c>
      <c r="D252" s="6" t="s">
        <v>119</v>
      </c>
      <c r="E252" s="6" t="s">
        <v>552</v>
      </c>
      <c r="F252" s="6" t="s">
        <v>540</v>
      </c>
      <c r="G252" s="7">
        <f t="shared" si="3"/>
        <v>430</v>
      </c>
      <c r="H252" s="7">
        <v>55</v>
      </c>
      <c r="I252" s="7">
        <v>95</v>
      </c>
      <c r="J252" s="7">
        <v>55</v>
      </c>
      <c r="K252" s="7">
        <v>35</v>
      </c>
      <c r="L252" s="7">
        <v>75</v>
      </c>
      <c r="M252" s="7">
        <v>115</v>
      </c>
      <c r="N252" s="6"/>
    </row>
    <row r="253" spans="1:20" s="17" customFormat="1" ht="15.75" customHeight="1" x14ac:dyDescent="0.25">
      <c r="A253" s="4">
        <v>252</v>
      </c>
      <c r="B253" s="5" t="s">
        <v>496</v>
      </c>
      <c r="C253" s="6" t="s">
        <v>232</v>
      </c>
      <c r="D253" s="6" t="s">
        <v>119</v>
      </c>
      <c r="E253" s="6" t="s">
        <v>605</v>
      </c>
      <c r="F253" s="6"/>
      <c r="G253" s="7">
        <f t="shared" si="3"/>
        <v>510</v>
      </c>
      <c r="H253" s="7">
        <v>70</v>
      </c>
      <c r="I253" s="7">
        <v>120</v>
      </c>
      <c r="J253" s="7">
        <v>65</v>
      </c>
      <c r="K253" s="7">
        <v>45</v>
      </c>
      <c r="L253" s="7">
        <v>85</v>
      </c>
      <c r="M253" s="7">
        <v>125</v>
      </c>
      <c r="N253" s="6"/>
    </row>
    <row r="254" spans="1:20" s="17" customFormat="1" ht="15.75" customHeight="1" x14ac:dyDescent="0.25">
      <c r="A254" s="4">
        <v>253</v>
      </c>
      <c r="B254" s="5" t="s">
        <v>251</v>
      </c>
      <c r="C254" s="6" t="s">
        <v>41</v>
      </c>
      <c r="D254" s="6"/>
      <c r="E254" s="6" t="s">
        <v>610</v>
      </c>
      <c r="F254" s="6" t="s">
        <v>616</v>
      </c>
      <c r="G254" s="7">
        <f t="shared" si="3"/>
        <v>330</v>
      </c>
      <c r="H254" s="7">
        <v>60</v>
      </c>
      <c r="I254" s="7">
        <v>80</v>
      </c>
      <c r="J254" s="7">
        <v>50</v>
      </c>
      <c r="K254" s="7">
        <v>50</v>
      </c>
      <c r="L254" s="7">
        <v>50</v>
      </c>
      <c r="M254" s="7">
        <v>40</v>
      </c>
      <c r="N254" s="6"/>
    </row>
    <row r="255" spans="1:20" s="17" customFormat="1" ht="15.75" customHeight="1" x14ac:dyDescent="0.25">
      <c r="A255" s="4">
        <v>254</v>
      </c>
      <c r="B255" s="5" t="s">
        <v>252</v>
      </c>
      <c r="C255" s="6" t="s">
        <v>41</v>
      </c>
      <c r="D255" s="6" t="s">
        <v>54</v>
      </c>
      <c r="E255" s="6" t="s">
        <v>543</v>
      </c>
      <c r="F255" s="6" t="s">
        <v>616</v>
      </c>
      <c r="G255" s="7">
        <f t="shared" si="3"/>
        <v>500</v>
      </c>
      <c r="H255" s="7">
        <v>90</v>
      </c>
      <c r="I255" s="7">
        <v>130</v>
      </c>
      <c r="J255" s="7">
        <v>75</v>
      </c>
      <c r="K255" s="7">
        <v>75</v>
      </c>
      <c r="L255" s="7">
        <v>75</v>
      </c>
      <c r="M255" s="7">
        <v>55</v>
      </c>
      <c r="N255" s="6"/>
    </row>
    <row r="256" spans="1:20" s="17" customFormat="1" ht="15.75" customHeight="1" x14ac:dyDescent="0.25">
      <c r="A256" s="4">
        <v>255</v>
      </c>
      <c r="B256" s="5" t="s">
        <v>1167</v>
      </c>
      <c r="C256" s="6" t="s">
        <v>41</v>
      </c>
      <c r="D256" s="6" t="s">
        <v>54</v>
      </c>
      <c r="E256" s="6" t="s">
        <v>1424</v>
      </c>
      <c r="F256" s="6" t="s">
        <v>1168</v>
      </c>
      <c r="G256" s="7">
        <f t="shared" si="3"/>
        <v>550</v>
      </c>
      <c r="H256" s="7">
        <v>130</v>
      </c>
      <c r="I256" s="7">
        <v>140</v>
      </c>
      <c r="J256" s="7">
        <v>105</v>
      </c>
      <c r="K256" s="7">
        <v>45</v>
      </c>
      <c r="L256" s="7">
        <v>80</v>
      </c>
      <c r="M256" s="7">
        <v>50</v>
      </c>
      <c r="N256" s="6"/>
    </row>
    <row r="257" spans="1:14" s="17" customFormat="1" ht="15.75" customHeight="1" x14ac:dyDescent="0.25">
      <c r="A257" s="4">
        <v>256</v>
      </c>
      <c r="B257" s="5" t="s">
        <v>253</v>
      </c>
      <c r="C257" s="6" t="s">
        <v>21</v>
      </c>
      <c r="D257" s="6" t="s">
        <v>28</v>
      </c>
      <c r="E257" s="6" t="s">
        <v>564</v>
      </c>
      <c r="F257" s="6" t="s">
        <v>598</v>
      </c>
      <c r="G257" s="7">
        <f t="shared" si="3"/>
        <v>250</v>
      </c>
      <c r="H257" s="7">
        <v>40</v>
      </c>
      <c r="I257" s="7">
        <v>40</v>
      </c>
      <c r="J257" s="7">
        <v>40</v>
      </c>
      <c r="K257" s="7">
        <v>70</v>
      </c>
      <c r="L257" s="7">
        <v>40</v>
      </c>
      <c r="M257" s="7">
        <v>20</v>
      </c>
      <c r="N257" s="6"/>
    </row>
    <row r="258" spans="1:14" s="17" customFormat="1" ht="15.75" customHeight="1" x14ac:dyDescent="0.25">
      <c r="A258" s="4">
        <v>257</v>
      </c>
      <c r="B258" s="5" t="s">
        <v>254</v>
      </c>
      <c r="C258" s="6" t="s">
        <v>21</v>
      </c>
      <c r="D258" s="6" t="s">
        <v>104</v>
      </c>
      <c r="E258" s="6" t="s">
        <v>564</v>
      </c>
      <c r="F258" s="6" t="s">
        <v>598</v>
      </c>
      <c r="G258" s="7">
        <f t="shared" ref="G258:G321" si="4">SUM(H258:M258)</f>
        <v>450</v>
      </c>
      <c r="H258" s="7">
        <v>60</v>
      </c>
      <c r="I258" s="7">
        <v>40</v>
      </c>
      <c r="J258" s="7">
        <v>120</v>
      </c>
      <c r="K258" s="7">
        <v>105</v>
      </c>
      <c r="L258" s="7">
        <v>95</v>
      </c>
      <c r="M258" s="7">
        <v>30</v>
      </c>
      <c r="N258" s="6"/>
    </row>
    <row r="259" spans="1:14" s="17" customFormat="1" ht="15.75" customHeight="1" x14ac:dyDescent="0.25">
      <c r="A259" s="4">
        <v>258</v>
      </c>
      <c r="B259" s="5" t="s">
        <v>255</v>
      </c>
      <c r="C259" s="6" t="s">
        <v>119</v>
      </c>
      <c r="D259" s="6" t="s">
        <v>54</v>
      </c>
      <c r="E259" s="6" t="s">
        <v>571</v>
      </c>
      <c r="F259" s="6" t="s">
        <v>862</v>
      </c>
      <c r="G259" s="7">
        <f t="shared" si="4"/>
        <v>250</v>
      </c>
      <c r="H259" s="7">
        <v>50</v>
      </c>
      <c r="I259" s="7">
        <v>50</v>
      </c>
      <c r="J259" s="7">
        <v>40</v>
      </c>
      <c r="K259" s="7">
        <v>30</v>
      </c>
      <c r="L259" s="7">
        <v>30</v>
      </c>
      <c r="M259" s="7">
        <v>50</v>
      </c>
      <c r="N259" s="6"/>
    </row>
    <row r="260" spans="1:14" s="17" customFormat="1" ht="15.75" customHeight="1" x14ac:dyDescent="0.25">
      <c r="A260" s="4">
        <v>259</v>
      </c>
      <c r="B260" s="5" t="s">
        <v>256</v>
      </c>
      <c r="C260" s="6" t="s">
        <v>119</v>
      </c>
      <c r="D260" s="6" t="s">
        <v>54</v>
      </c>
      <c r="E260" s="6" t="s">
        <v>571</v>
      </c>
      <c r="F260" s="6" t="s">
        <v>862</v>
      </c>
      <c r="G260" s="7">
        <f t="shared" si="4"/>
        <v>450</v>
      </c>
      <c r="H260" s="7">
        <v>100</v>
      </c>
      <c r="I260" s="7">
        <v>100</v>
      </c>
      <c r="J260" s="7">
        <v>80</v>
      </c>
      <c r="K260" s="7">
        <v>60</v>
      </c>
      <c r="L260" s="7">
        <v>60</v>
      </c>
      <c r="M260" s="7">
        <v>50</v>
      </c>
      <c r="N260" s="6"/>
    </row>
    <row r="261" spans="1:14" s="17" customFormat="1" ht="15.75" customHeight="1" x14ac:dyDescent="0.25">
      <c r="A261" s="4">
        <v>260</v>
      </c>
      <c r="B261" s="5" t="s">
        <v>508</v>
      </c>
      <c r="C261" s="6" t="s">
        <v>119</v>
      </c>
      <c r="D261" s="6" t="s">
        <v>54</v>
      </c>
      <c r="E261" s="6" t="s">
        <v>571</v>
      </c>
      <c r="F261" s="6" t="s">
        <v>862</v>
      </c>
      <c r="G261" s="7">
        <f t="shared" si="4"/>
        <v>530</v>
      </c>
      <c r="H261" s="7">
        <v>110</v>
      </c>
      <c r="I261" s="7">
        <v>130</v>
      </c>
      <c r="J261" s="7">
        <v>80</v>
      </c>
      <c r="K261" s="7">
        <v>70</v>
      </c>
      <c r="L261" s="7">
        <v>60</v>
      </c>
      <c r="M261" s="7">
        <v>80</v>
      </c>
      <c r="N261" s="6"/>
    </row>
    <row r="262" spans="1:14" s="17" customFormat="1" ht="15.75" customHeight="1" x14ac:dyDescent="0.25">
      <c r="A262" s="4">
        <v>261</v>
      </c>
      <c r="B262" s="5" t="s">
        <v>257</v>
      </c>
      <c r="C262" s="6" t="s">
        <v>104</v>
      </c>
      <c r="D262" s="6" t="s">
        <v>125</v>
      </c>
      <c r="E262" s="6" t="s">
        <v>1183</v>
      </c>
      <c r="F262" s="6" t="s">
        <v>1241</v>
      </c>
      <c r="G262" s="7">
        <f t="shared" si="4"/>
        <v>410</v>
      </c>
      <c r="H262" s="7">
        <v>65</v>
      </c>
      <c r="I262" s="7">
        <v>55</v>
      </c>
      <c r="J262" s="7">
        <v>95</v>
      </c>
      <c r="K262" s="7">
        <v>65</v>
      </c>
      <c r="L262" s="7">
        <v>95</v>
      </c>
      <c r="M262" s="7">
        <v>35</v>
      </c>
      <c r="N262" s="6"/>
    </row>
    <row r="263" spans="1:14" s="17" customFormat="1" ht="15.75" customHeight="1" x14ac:dyDescent="0.25">
      <c r="A263" s="4">
        <v>262</v>
      </c>
      <c r="B263" s="5" t="s">
        <v>1182</v>
      </c>
      <c r="C263" s="6" t="s">
        <v>104</v>
      </c>
      <c r="D263" s="6" t="s">
        <v>125</v>
      </c>
      <c r="E263" s="6" t="s">
        <v>1183</v>
      </c>
      <c r="F263" s="6" t="s">
        <v>1241</v>
      </c>
      <c r="G263" s="7">
        <f t="shared" si="4"/>
        <v>510</v>
      </c>
      <c r="H263" s="7">
        <v>60</v>
      </c>
      <c r="I263" s="7">
        <v>95</v>
      </c>
      <c r="J263" s="7">
        <v>50</v>
      </c>
      <c r="K263" s="7">
        <v>145</v>
      </c>
      <c r="L263" s="7">
        <v>130</v>
      </c>
      <c r="M263" s="7">
        <v>30</v>
      </c>
      <c r="N263" s="6"/>
    </row>
    <row r="264" spans="1:14" s="17" customFormat="1" ht="15.75" customHeight="1" x14ac:dyDescent="0.25">
      <c r="A264" s="4">
        <v>263</v>
      </c>
      <c r="B264" s="5" t="s">
        <v>258</v>
      </c>
      <c r="C264" s="6" t="s">
        <v>28</v>
      </c>
      <c r="D264" s="6"/>
      <c r="E264" s="6" t="s">
        <v>608</v>
      </c>
      <c r="F264" s="6" t="s">
        <v>595</v>
      </c>
      <c r="G264" s="7">
        <f t="shared" si="4"/>
        <v>300</v>
      </c>
      <c r="H264" s="7">
        <v>35</v>
      </c>
      <c r="I264" s="7">
        <v>60</v>
      </c>
      <c r="J264" s="7">
        <v>35</v>
      </c>
      <c r="K264" s="7">
        <v>65</v>
      </c>
      <c r="L264" s="7">
        <v>35</v>
      </c>
      <c r="M264" s="7">
        <v>70</v>
      </c>
      <c r="N264" s="6"/>
    </row>
    <row r="265" spans="1:14" s="17" customFormat="1" ht="15.75" customHeight="1" x14ac:dyDescent="0.25">
      <c r="A265" s="4">
        <v>264</v>
      </c>
      <c r="B265" s="5" t="s">
        <v>259</v>
      </c>
      <c r="C265" s="6" t="s">
        <v>28</v>
      </c>
      <c r="D265" s="6"/>
      <c r="E265" s="6" t="s">
        <v>620</v>
      </c>
      <c r="F265" s="6" t="s">
        <v>595</v>
      </c>
      <c r="G265" s="7">
        <f t="shared" si="4"/>
        <v>480</v>
      </c>
      <c r="H265" s="7">
        <v>80</v>
      </c>
      <c r="I265" s="7">
        <v>60</v>
      </c>
      <c r="J265" s="7">
        <v>85</v>
      </c>
      <c r="K265" s="7">
        <v>105</v>
      </c>
      <c r="L265" s="7">
        <v>85</v>
      </c>
      <c r="M265" s="7">
        <v>65</v>
      </c>
      <c r="N265" s="6"/>
    </row>
    <row r="266" spans="1:14" s="17" customFormat="1" ht="15.75" customHeight="1" x14ac:dyDescent="0.25">
      <c r="A266" s="4">
        <v>265</v>
      </c>
      <c r="B266" s="5" t="s">
        <v>260</v>
      </c>
      <c r="C266" s="6" t="s">
        <v>119</v>
      </c>
      <c r="D266" s="6" t="s">
        <v>26</v>
      </c>
      <c r="E266" s="6" t="s">
        <v>562</v>
      </c>
      <c r="F266" s="6" t="s">
        <v>608</v>
      </c>
      <c r="G266" s="7">
        <f t="shared" si="4"/>
        <v>390</v>
      </c>
      <c r="H266" s="7">
        <v>45</v>
      </c>
      <c r="I266" s="7">
        <v>90</v>
      </c>
      <c r="J266" s="7">
        <v>45</v>
      </c>
      <c r="K266" s="7">
        <v>90</v>
      </c>
      <c r="L266" s="7">
        <v>45</v>
      </c>
      <c r="M266" s="7">
        <v>75</v>
      </c>
      <c r="N266" s="6"/>
    </row>
    <row r="267" spans="1:14" s="17" customFormat="1" ht="15.75" customHeight="1" x14ac:dyDescent="0.25">
      <c r="A267" s="4">
        <v>266</v>
      </c>
      <c r="B267" s="5" t="s">
        <v>493</v>
      </c>
      <c r="C267" s="6" t="s">
        <v>28</v>
      </c>
      <c r="D267" s="6" t="s">
        <v>26</v>
      </c>
      <c r="E267" s="6" t="s">
        <v>594</v>
      </c>
      <c r="F267" s="6" t="s">
        <v>564</v>
      </c>
      <c r="G267" s="7">
        <f t="shared" si="4"/>
        <v>345</v>
      </c>
      <c r="H267" s="7">
        <v>45</v>
      </c>
      <c r="I267" s="7">
        <v>20</v>
      </c>
      <c r="J267" s="7">
        <v>50</v>
      </c>
      <c r="K267" s="7">
        <v>60</v>
      </c>
      <c r="L267" s="7">
        <v>120</v>
      </c>
      <c r="M267" s="7">
        <v>50</v>
      </c>
      <c r="N267" s="6"/>
    </row>
    <row r="268" spans="1:14" s="17" customFormat="1" ht="15.75" customHeight="1" x14ac:dyDescent="0.25">
      <c r="A268" s="4">
        <v>267</v>
      </c>
      <c r="B268" s="5" t="s">
        <v>261</v>
      </c>
      <c r="C268" s="6" t="s">
        <v>28</v>
      </c>
      <c r="D268" s="6" t="s">
        <v>26</v>
      </c>
      <c r="E268" s="6" t="s">
        <v>594</v>
      </c>
      <c r="F268" s="6" t="s">
        <v>1382</v>
      </c>
      <c r="G268" s="7">
        <f t="shared" si="4"/>
        <v>485</v>
      </c>
      <c r="H268" s="7">
        <v>85</v>
      </c>
      <c r="I268" s="7">
        <v>40</v>
      </c>
      <c r="J268" s="7">
        <v>70</v>
      </c>
      <c r="K268" s="7">
        <v>80</v>
      </c>
      <c r="L268" s="7">
        <v>140</v>
      </c>
      <c r="M268" s="7">
        <v>70</v>
      </c>
      <c r="N268" s="6"/>
    </row>
    <row r="269" spans="1:14" s="17" customFormat="1" ht="15.75" customHeight="1" x14ac:dyDescent="0.25">
      <c r="A269" s="4">
        <v>268</v>
      </c>
      <c r="B269" s="5" t="s">
        <v>263</v>
      </c>
      <c r="C269" s="6" t="s">
        <v>232</v>
      </c>
      <c r="D269" s="6" t="s">
        <v>21</v>
      </c>
      <c r="E269" s="6" t="s">
        <v>574</v>
      </c>
      <c r="F269" s="6" t="s">
        <v>551</v>
      </c>
      <c r="G269" s="7">
        <f t="shared" si="4"/>
        <v>330</v>
      </c>
      <c r="H269" s="7">
        <v>45</v>
      </c>
      <c r="I269" s="7">
        <v>60</v>
      </c>
      <c r="J269" s="7">
        <v>30</v>
      </c>
      <c r="K269" s="7">
        <v>80</v>
      </c>
      <c r="L269" s="7">
        <v>50</v>
      </c>
      <c r="M269" s="7">
        <v>65</v>
      </c>
      <c r="N269" s="6"/>
    </row>
    <row r="270" spans="1:14" s="17" customFormat="1" ht="15.75" customHeight="1" x14ac:dyDescent="0.25">
      <c r="A270" s="4">
        <v>269</v>
      </c>
      <c r="B270" s="5" t="s">
        <v>264</v>
      </c>
      <c r="C270" s="6" t="s">
        <v>232</v>
      </c>
      <c r="D270" s="6" t="s">
        <v>21</v>
      </c>
      <c r="E270" s="6" t="s">
        <v>574</v>
      </c>
      <c r="F270" s="6" t="s">
        <v>551</v>
      </c>
      <c r="G270" s="7">
        <f t="shared" si="4"/>
        <v>500</v>
      </c>
      <c r="H270" s="7">
        <v>75</v>
      </c>
      <c r="I270" s="7">
        <v>90</v>
      </c>
      <c r="J270" s="7">
        <v>50</v>
      </c>
      <c r="K270" s="7">
        <v>110</v>
      </c>
      <c r="L270" s="7">
        <v>80</v>
      </c>
      <c r="M270" s="7">
        <v>95</v>
      </c>
      <c r="N270" s="6"/>
    </row>
    <row r="271" spans="1:14" s="17" customFormat="1" ht="15.75" customHeight="1" x14ac:dyDescent="0.25">
      <c r="A271" s="4">
        <v>270</v>
      </c>
      <c r="B271" s="5" t="s">
        <v>266</v>
      </c>
      <c r="C271" s="6" t="s">
        <v>54</v>
      </c>
      <c r="D271" s="6"/>
      <c r="E271" s="6" t="s">
        <v>546</v>
      </c>
      <c r="F271" s="6" t="s">
        <v>1234</v>
      </c>
      <c r="G271" s="7">
        <f t="shared" si="4"/>
        <v>330</v>
      </c>
      <c r="H271" s="7">
        <v>90</v>
      </c>
      <c r="I271" s="7">
        <v>60</v>
      </c>
      <c r="J271" s="7">
        <v>60</v>
      </c>
      <c r="K271" s="7">
        <v>40</v>
      </c>
      <c r="L271" s="7">
        <v>40</v>
      </c>
      <c r="M271" s="7">
        <v>40</v>
      </c>
      <c r="N271" s="6"/>
    </row>
    <row r="272" spans="1:14" s="17" customFormat="1" ht="15.75" customHeight="1" x14ac:dyDescent="0.25">
      <c r="A272" s="4">
        <v>271</v>
      </c>
      <c r="B272" s="5" t="s">
        <v>267</v>
      </c>
      <c r="C272" s="6" t="s">
        <v>54</v>
      </c>
      <c r="D272" s="6"/>
      <c r="E272" s="6" t="s">
        <v>1155</v>
      </c>
      <c r="F272" s="6" t="s">
        <v>612</v>
      </c>
      <c r="G272" s="7">
        <f t="shared" si="4"/>
        <v>500</v>
      </c>
      <c r="H272" s="7">
        <v>90</v>
      </c>
      <c r="I272" s="7">
        <v>120</v>
      </c>
      <c r="J272" s="7">
        <v>120</v>
      </c>
      <c r="K272" s="7">
        <v>60</v>
      </c>
      <c r="L272" s="7">
        <v>60</v>
      </c>
      <c r="M272" s="7">
        <v>50</v>
      </c>
      <c r="N272" s="6"/>
    </row>
    <row r="273" spans="1:14" s="17" customFormat="1" ht="15.75" customHeight="1" x14ac:dyDescent="0.25">
      <c r="A273" s="4">
        <v>272</v>
      </c>
      <c r="B273" s="5" t="s">
        <v>269</v>
      </c>
      <c r="C273" s="6" t="s">
        <v>41</v>
      </c>
      <c r="D273" s="6"/>
      <c r="E273" s="6" t="s">
        <v>544</v>
      </c>
      <c r="F273" s="6" t="s">
        <v>621</v>
      </c>
      <c r="G273" s="7">
        <f t="shared" si="4"/>
        <v>465</v>
      </c>
      <c r="H273" s="7">
        <v>73</v>
      </c>
      <c r="I273" s="7">
        <v>95</v>
      </c>
      <c r="J273" s="7">
        <v>62</v>
      </c>
      <c r="K273" s="7">
        <v>85</v>
      </c>
      <c r="L273" s="7">
        <v>65</v>
      </c>
      <c r="M273" s="7">
        <v>85</v>
      </c>
      <c r="N273" s="6"/>
    </row>
    <row r="274" spans="1:14" s="17" customFormat="1" ht="15.75" customHeight="1" x14ac:dyDescent="0.25">
      <c r="A274" s="4">
        <v>273</v>
      </c>
      <c r="B274" s="5" t="s">
        <v>1169</v>
      </c>
      <c r="C274" s="6" t="s">
        <v>41</v>
      </c>
      <c r="D274" s="6" t="s">
        <v>92</v>
      </c>
      <c r="E274" s="6" t="s">
        <v>544</v>
      </c>
      <c r="F274" s="6" t="s">
        <v>621</v>
      </c>
      <c r="G274" s="7">
        <f t="shared" si="4"/>
        <v>525</v>
      </c>
      <c r="H274" s="7">
        <v>103</v>
      </c>
      <c r="I274" s="7">
        <v>105</v>
      </c>
      <c r="J274" s="7">
        <v>72</v>
      </c>
      <c r="K274" s="7">
        <v>105</v>
      </c>
      <c r="L274" s="7">
        <v>75</v>
      </c>
      <c r="M274" s="7">
        <v>65</v>
      </c>
      <c r="N274" s="6"/>
    </row>
    <row r="275" spans="1:14" s="17" customFormat="1" ht="15.75" customHeight="1" x14ac:dyDescent="0.25">
      <c r="A275" s="4">
        <v>274</v>
      </c>
      <c r="B275" s="5" t="s">
        <v>270</v>
      </c>
      <c r="C275" s="6" t="s">
        <v>41</v>
      </c>
      <c r="D275" s="6"/>
      <c r="E275" s="6" t="s">
        <v>572</v>
      </c>
      <c r="F275" s="6" t="s">
        <v>558</v>
      </c>
      <c r="G275" s="7">
        <f t="shared" si="4"/>
        <v>250</v>
      </c>
      <c r="H275" s="7">
        <v>55</v>
      </c>
      <c r="I275" s="7">
        <v>20</v>
      </c>
      <c r="J275" s="7">
        <v>35</v>
      </c>
      <c r="K275" s="7">
        <v>20</v>
      </c>
      <c r="L275" s="7">
        <v>45</v>
      </c>
      <c r="M275" s="7">
        <v>75</v>
      </c>
      <c r="N275" s="6"/>
    </row>
    <row r="276" spans="1:14" s="17" customFormat="1" ht="15.75" customHeight="1" x14ac:dyDescent="0.25">
      <c r="A276" s="4">
        <v>275</v>
      </c>
      <c r="B276" s="5" t="s">
        <v>276</v>
      </c>
      <c r="C276" s="6" t="s">
        <v>41</v>
      </c>
      <c r="D276" s="6"/>
      <c r="E276" s="6" t="s">
        <v>918</v>
      </c>
      <c r="F276" s="6" t="s">
        <v>1237</v>
      </c>
      <c r="G276" s="7">
        <f t="shared" si="4"/>
        <v>490</v>
      </c>
      <c r="H276" s="7">
        <v>95</v>
      </c>
      <c r="I276" s="7">
        <v>80</v>
      </c>
      <c r="J276" s="7">
        <v>105</v>
      </c>
      <c r="K276" s="7">
        <v>40</v>
      </c>
      <c r="L276" s="7">
        <v>70</v>
      </c>
      <c r="M276" s="7">
        <v>100</v>
      </c>
      <c r="N276" s="6"/>
    </row>
    <row r="277" spans="1:14" s="17" customFormat="1" ht="15.75" customHeight="1" x14ac:dyDescent="0.25">
      <c r="A277" s="4">
        <v>276</v>
      </c>
      <c r="B277" s="5" t="s">
        <v>278</v>
      </c>
      <c r="C277" s="6" t="s">
        <v>51</v>
      </c>
      <c r="D277" s="6"/>
      <c r="E277" s="6" t="s">
        <v>605</v>
      </c>
      <c r="F277" s="6" t="s">
        <v>1135</v>
      </c>
      <c r="G277" s="7">
        <f t="shared" si="4"/>
        <v>580</v>
      </c>
      <c r="H277" s="7">
        <v>90</v>
      </c>
      <c r="I277" s="7">
        <v>85</v>
      </c>
      <c r="J277" s="7">
        <v>75</v>
      </c>
      <c r="K277" s="7">
        <v>115</v>
      </c>
      <c r="L277" s="7">
        <v>100</v>
      </c>
      <c r="M277" s="7">
        <v>115</v>
      </c>
      <c r="N277" s="6"/>
    </row>
    <row r="278" spans="1:14" s="17" customFormat="1" ht="15.75" customHeight="1" x14ac:dyDescent="0.25">
      <c r="A278" s="4">
        <v>277</v>
      </c>
      <c r="B278" s="5" t="s">
        <v>279</v>
      </c>
      <c r="C278" s="6" t="s">
        <v>21</v>
      </c>
      <c r="D278" s="6"/>
      <c r="E278" s="6" t="s">
        <v>605</v>
      </c>
      <c r="F278" s="6" t="s">
        <v>1505</v>
      </c>
      <c r="G278" s="7">
        <f t="shared" si="4"/>
        <v>580</v>
      </c>
      <c r="H278" s="7">
        <v>115</v>
      </c>
      <c r="I278" s="7">
        <v>115</v>
      </c>
      <c r="J278" s="7">
        <v>85</v>
      </c>
      <c r="K278" s="7">
        <v>90</v>
      </c>
      <c r="L278" s="7">
        <v>75</v>
      </c>
      <c r="M278" s="7">
        <v>100</v>
      </c>
      <c r="N278" s="6"/>
    </row>
    <row r="279" spans="1:14" s="17" customFormat="1" ht="15.75" customHeight="1" x14ac:dyDescent="0.25">
      <c r="A279" s="4">
        <v>278</v>
      </c>
      <c r="B279" s="5" t="s">
        <v>280</v>
      </c>
      <c r="C279" s="6" t="s">
        <v>28</v>
      </c>
      <c r="D279" s="6"/>
      <c r="E279" s="6" t="s">
        <v>605</v>
      </c>
      <c r="F279" s="6" t="s">
        <v>606</v>
      </c>
      <c r="G279" s="7">
        <f t="shared" si="4"/>
        <v>580</v>
      </c>
      <c r="H279" s="7">
        <v>100</v>
      </c>
      <c r="I279" s="7">
        <v>75</v>
      </c>
      <c r="J279" s="7">
        <v>115</v>
      </c>
      <c r="K279" s="7">
        <v>90</v>
      </c>
      <c r="L279" s="7">
        <v>115</v>
      </c>
      <c r="M279" s="7">
        <v>85</v>
      </c>
      <c r="N279" s="6"/>
    </row>
    <row r="280" spans="1:14" s="17" customFormat="1" ht="15.75" customHeight="1" x14ac:dyDescent="0.25">
      <c r="A280" s="4">
        <v>279</v>
      </c>
      <c r="B280" s="5" t="s">
        <v>281</v>
      </c>
      <c r="C280" s="6" t="s">
        <v>104</v>
      </c>
      <c r="D280" s="6" t="s">
        <v>54</v>
      </c>
      <c r="E280" s="6" t="s">
        <v>543</v>
      </c>
      <c r="F280" s="6"/>
      <c r="G280" s="7">
        <f t="shared" si="4"/>
        <v>300</v>
      </c>
      <c r="H280" s="7">
        <v>50</v>
      </c>
      <c r="I280" s="7">
        <v>64</v>
      </c>
      <c r="J280" s="7">
        <v>50</v>
      </c>
      <c r="K280" s="7">
        <v>45</v>
      </c>
      <c r="L280" s="7">
        <v>50</v>
      </c>
      <c r="M280" s="7">
        <v>41</v>
      </c>
      <c r="N280" s="6"/>
    </row>
    <row r="281" spans="1:14" s="17" customFormat="1" ht="15.75" customHeight="1" x14ac:dyDescent="0.25">
      <c r="A281" s="4">
        <v>280</v>
      </c>
      <c r="B281" s="5" t="s">
        <v>282</v>
      </c>
      <c r="C281" s="6" t="s">
        <v>104</v>
      </c>
      <c r="D281" s="6" t="s">
        <v>54</v>
      </c>
      <c r="E281" s="6" t="s">
        <v>537</v>
      </c>
      <c r="F281" s="6"/>
      <c r="G281" s="7">
        <f t="shared" si="4"/>
        <v>410</v>
      </c>
      <c r="H281" s="7">
        <v>70</v>
      </c>
      <c r="I281" s="7">
        <v>84</v>
      </c>
      <c r="J281" s="7">
        <v>70</v>
      </c>
      <c r="K281" s="7">
        <v>65</v>
      </c>
      <c r="L281" s="7">
        <v>70</v>
      </c>
      <c r="M281" s="7">
        <v>51</v>
      </c>
      <c r="N281" s="6"/>
    </row>
    <row r="282" spans="1:14" s="17" customFormat="1" ht="15.75" customHeight="1" x14ac:dyDescent="0.25">
      <c r="A282" s="4">
        <v>281</v>
      </c>
      <c r="B282" s="5" t="s">
        <v>283</v>
      </c>
      <c r="C282" s="6" t="s">
        <v>104</v>
      </c>
      <c r="D282" s="6" t="s">
        <v>232</v>
      </c>
      <c r="E282" s="6" t="s">
        <v>623</v>
      </c>
      <c r="F282" s="6"/>
      <c r="G282" s="7">
        <f t="shared" si="4"/>
        <v>600</v>
      </c>
      <c r="H282" s="7">
        <v>100</v>
      </c>
      <c r="I282" s="7">
        <v>134</v>
      </c>
      <c r="J282" s="7">
        <v>110</v>
      </c>
      <c r="K282" s="7">
        <v>105</v>
      </c>
      <c r="L282" s="7">
        <v>90</v>
      </c>
      <c r="M282" s="7">
        <v>61</v>
      </c>
      <c r="N282" s="6"/>
    </row>
    <row r="283" spans="1:14" s="17" customFormat="1" ht="15.75" customHeight="1" x14ac:dyDescent="0.25">
      <c r="A283" s="4">
        <v>282</v>
      </c>
      <c r="B283" s="5" t="s">
        <v>284</v>
      </c>
      <c r="C283" s="6" t="s">
        <v>92</v>
      </c>
      <c r="D283" s="6" t="s">
        <v>26</v>
      </c>
      <c r="E283" s="6" t="s">
        <v>605</v>
      </c>
      <c r="F283" s="6"/>
      <c r="G283" s="7">
        <f t="shared" si="4"/>
        <v>680</v>
      </c>
      <c r="H283" s="7">
        <v>106</v>
      </c>
      <c r="I283" s="7">
        <v>90</v>
      </c>
      <c r="J283" s="7">
        <v>130</v>
      </c>
      <c r="K283" s="7">
        <v>90</v>
      </c>
      <c r="L283" s="7">
        <v>154</v>
      </c>
      <c r="M283" s="7">
        <v>110</v>
      </c>
      <c r="N283" s="6"/>
    </row>
    <row r="284" spans="1:14" s="17" customFormat="1" ht="15.75" customHeight="1" x14ac:dyDescent="0.25">
      <c r="A284" s="4">
        <v>283</v>
      </c>
      <c r="B284" s="5" t="s">
        <v>285</v>
      </c>
      <c r="C284" s="6" t="s">
        <v>21</v>
      </c>
      <c r="D284" s="6" t="s">
        <v>26</v>
      </c>
      <c r="E284" s="6" t="s">
        <v>605</v>
      </c>
      <c r="F284" s="6"/>
      <c r="G284" s="7">
        <f t="shared" si="4"/>
        <v>680</v>
      </c>
      <c r="H284" s="7">
        <v>106</v>
      </c>
      <c r="I284" s="7">
        <v>130</v>
      </c>
      <c r="J284" s="7">
        <v>90</v>
      </c>
      <c r="K284" s="7">
        <v>110</v>
      </c>
      <c r="L284" s="7">
        <v>154</v>
      </c>
      <c r="M284" s="7">
        <v>90</v>
      </c>
      <c r="N284" s="6"/>
    </row>
    <row r="285" spans="1:14" s="17" customFormat="1" ht="15.75" customHeight="1" x14ac:dyDescent="0.25">
      <c r="A285" s="4">
        <v>284</v>
      </c>
      <c r="B285" s="5" t="s">
        <v>286</v>
      </c>
      <c r="C285" s="6" t="s">
        <v>92</v>
      </c>
      <c r="D285" s="6" t="s">
        <v>14</v>
      </c>
      <c r="E285" s="6" t="s">
        <v>590</v>
      </c>
      <c r="F285" s="6"/>
      <c r="G285" s="7">
        <f t="shared" si="4"/>
        <v>600</v>
      </c>
      <c r="H285" s="7">
        <v>100</v>
      </c>
      <c r="I285" s="7">
        <v>100</v>
      </c>
      <c r="J285" s="7">
        <v>100</v>
      </c>
      <c r="K285" s="7">
        <v>100</v>
      </c>
      <c r="L285" s="7">
        <v>100</v>
      </c>
      <c r="M285" s="7">
        <v>100</v>
      </c>
      <c r="N285" s="6"/>
    </row>
    <row r="286" spans="1:14" s="17" customFormat="1" ht="15.75" customHeight="1" x14ac:dyDescent="0.25">
      <c r="A286" s="4">
        <v>285</v>
      </c>
      <c r="B286" s="5" t="s">
        <v>287</v>
      </c>
      <c r="C286" s="6" t="s">
        <v>14</v>
      </c>
      <c r="D286" s="6"/>
      <c r="E286" s="6" t="s">
        <v>16</v>
      </c>
      <c r="F286" s="6" t="s">
        <v>905</v>
      </c>
      <c r="G286" s="7">
        <f t="shared" si="4"/>
        <v>310</v>
      </c>
      <c r="H286" s="7">
        <v>40</v>
      </c>
      <c r="I286" s="7">
        <v>45</v>
      </c>
      <c r="J286" s="7">
        <v>35</v>
      </c>
      <c r="K286" s="7">
        <v>65</v>
      </c>
      <c r="L286" s="7">
        <v>55</v>
      </c>
      <c r="M286" s="7">
        <v>70</v>
      </c>
      <c r="N286" s="6"/>
    </row>
    <row r="287" spans="1:14" s="17" customFormat="1" ht="15.75" customHeight="1" x14ac:dyDescent="0.25">
      <c r="A287" s="4">
        <v>286</v>
      </c>
      <c r="B287" s="5" t="s">
        <v>288</v>
      </c>
      <c r="C287" s="6" t="s">
        <v>14</v>
      </c>
      <c r="D287" s="6"/>
      <c r="E287" s="6" t="s">
        <v>16</v>
      </c>
      <c r="F287" s="6" t="s">
        <v>905</v>
      </c>
      <c r="G287" s="7">
        <f t="shared" si="4"/>
        <v>405</v>
      </c>
      <c r="H287" s="7">
        <v>50</v>
      </c>
      <c r="I287" s="7">
        <v>65</v>
      </c>
      <c r="J287" s="7">
        <v>45</v>
      </c>
      <c r="K287" s="7">
        <v>85</v>
      </c>
      <c r="L287" s="7">
        <v>65</v>
      </c>
      <c r="M287" s="7">
        <v>95</v>
      </c>
      <c r="N287" s="6"/>
    </row>
    <row r="288" spans="1:14" s="17" customFormat="1" ht="15.75" customHeight="1" x14ac:dyDescent="0.25">
      <c r="A288" s="4">
        <v>287</v>
      </c>
      <c r="B288" s="5" t="s">
        <v>289</v>
      </c>
      <c r="C288" s="6" t="s">
        <v>14</v>
      </c>
      <c r="D288" s="6" t="s">
        <v>181</v>
      </c>
      <c r="E288" s="6" t="s">
        <v>16</v>
      </c>
      <c r="F288" s="6" t="s">
        <v>905</v>
      </c>
      <c r="G288" s="7">
        <f t="shared" si="4"/>
        <v>530</v>
      </c>
      <c r="H288" s="7">
        <v>70</v>
      </c>
      <c r="I288" s="7">
        <v>100</v>
      </c>
      <c r="J288" s="7">
        <v>65</v>
      </c>
      <c r="K288" s="7">
        <v>100</v>
      </c>
      <c r="L288" s="7">
        <v>75</v>
      </c>
      <c r="M288" s="7">
        <v>120</v>
      </c>
      <c r="N288" s="6"/>
    </row>
    <row r="289" spans="1:14" s="17" customFormat="1" ht="15.75" customHeight="1" x14ac:dyDescent="0.25">
      <c r="A289" s="4">
        <v>288</v>
      </c>
      <c r="B289" s="5" t="s">
        <v>290</v>
      </c>
      <c r="C289" s="6" t="s">
        <v>21</v>
      </c>
      <c r="D289" s="6"/>
      <c r="E289" s="6" t="s">
        <v>22</v>
      </c>
      <c r="F289" s="6" t="s">
        <v>612</v>
      </c>
      <c r="G289" s="7">
        <f t="shared" si="4"/>
        <v>310</v>
      </c>
      <c r="H289" s="7">
        <v>45</v>
      </c>
      <c r="I289" s="7">
        <v>60</v>
      </c>
      <c r="J289" s="7">
        <v>40</v>
      </c>
      <c r="K289" s="7">
        <v>70</v>
      </c>
      <c r="L289" s="7">
        <v>50</v>
      </c>
      <c r="M289" s="7">
        <v>45</v>
      </c>
      <c r="N289" s="6"/>
    </row>
    <row r="290" spans="1:14" s="17" customFormat="1" ht="15.75" customHeight="1" x14ac:dyDescent="0.25">
      <c r="A290" s="4">
        <v>289</v>
      </c>
      <c r="B290" s="5" t="s">
        <v>291</v>
      </c>
      <c r="C290" s="6" t="s">
        <v>21</v>
      </c>
      <c r="D290" s="6" t="s">
        <v>84</v>
      </c>
      <c r="E290" s="6" t="s">
        <v>22</v>
      </c>
      <c r="F290" s="6" t="s">
        <v>612</v>
      </c>
      <c r="G290" s="7">
        <f t="shared" si="4"/>
        <v>405</v>
      </c>
      <c r="H290" s="7">
        <v>60</v>
      </c>
      <c r="I290" s="7">
        <v>85</v>
      </c>
      <c r="J290" s="7">
        <v>60</v>
      </c>
      <c r="K290" s="7">
        <v>85</v>
      </c>
      <c r="L290" s="7">
        <v>60</v>
      </c>
      <c r="M290" s="7">
        <v>55</v>
      </c>
      <c r="N290" s="6"/>
    </row>
    <row r="291" spans="1:14" s="17" customFormat="1" ht="15.75" customHeight="1" x14ac:dyDescent="0.25">
      <c r="A291" s="4">
        <v>290</v>
      </c>
      <c r="B291" s="5" t="s">
        <v>292</v>
      </c>
      <c r="C291" s="6" t="s">
        <v>21</v>
      </c>
      <c r="D291" s="6" t="s">
        <v>84</v>
      </c>
      <c r="E291" s="6" t="s">
        <v>22</v>
      </c>
      <c r="F291" s="6" t="s">
        <v>612</v>
      </c>
      <c r="G291" s="7">
        <f t="shared" si="4"/>
        <v>530</v>
      </c>
      <c r="H291" s="7">
        <v>80</v>
      </c>
      <c r="I291" s="7">
        <v>120</v>
      </c>
      <c r="J291" s="7">
        <v>70</v>
      </c>
      <c r="K291" s="7">
        <v>110</v>
      </c>
      <c r="L291" s="7">
        <v>70</v>
      </c>
      <c r="M291" s="7">
        <v>80</v>
      </c>
      <c r="N291" s="6"/>
    </row>
    <row r="292" spans="1:14" s="17" customFormat="1" ht="15.75" customHeight="1" x14ac:dyDescent="0.25">
      <c r="A292" s="4">
        <v>291</v>
      </c>
      <c r="B292" s="5" t="s">
        <v>293</v>
      </c>
      <c r="C292" s="6" t="s">
        <v>28</v>
      </c>
      <c r="D292" s="6"/>
      <c r="E292" s="6" t="s">
        <v>29</v>
      </c>
      <c r="F292" s="6" t="s">
        <v>843</v>
      </c>
      <c r="G292" s="7">
        <f t="shared" si="4"/>
        <v>310</v>
      </c>
      <c r="H292" s="7">
        <v>50</v>
      </c>
      <c r="I292" s="7">
        <v>70</v>
      </c>
      <c r="J292" s="7">
        <v>50</v>
      </c>
      <c r="K292" s="7">
        <v>50</v>
      </c>
      <c r="L292" s="7">
        <v>50</v>
      </c>
      <c r="M292" s="7">
        <v>40</v>
      </c>
      <c r="N292" s="6"/>
    </row>
    <row r="293" spans="1:14" s="17" customFormat="1" ht="15.75" customHeight="1" x14ac:dyDescent="0.25">
      <c r="A293" s="4">
        <v>292</v>
      </c>
      <c r="B293" s="5" t="s">
        <v>294</v>
      </c>
      <c r="C293" s="6" t="s">
        <v>28</v>
      </c>
      <c r="D293" s="6" t="s">
        <v>54</v>
      </c>
      <c r="E293" s="6" t="s">
        <v>29</v>
      </c>
      <c r="F293" s="6" t="s">
        <v>843</v>
      </c>
      <c r="G293" s="7">
        <f t="shared" si="4"/>
        <v>405</v>
      </c>
      <c r="H293" s="7">
        <v>70</v>
      </c>
      <c r="I293" s="7">
        <v>85</v>
      </c>
      <c r="J293" s="7">
        <v>70</v>
      </c>
      <c r="K293" s="7">
        <v>60</v>
      </c>
      <c r="L293" s="7">
        <v>70</v>
      </c>
      <c r="M293" s="7">
        <v>50</v>
      </c>
      <c r="N293" s="6"/>
    </row>
    <row r="294" spans="1:14" s="17" customFormat="1" ht="15.75" customHeight="1" x14ac:dyDescent="0.25">
      <c r="A294" s="4">
        <v>293</v>
      </c>
      <c r="B294" s="5" t="s">
        <v>295</v>
      </c>
      <c r="C294" s="6" t="s">
        <v>28</v>
      </c>
      <c r="D294" s="6" t="s">
        <v>54</v>
      </c>
      <c r="E294" s="6" t="s">
        <v>29</v>
      </c>
      <c r="F294" s="6" t="s">
        <v>843</v>
      </c>
      <c r="G294" s="7">
        <f t="shared" si="4"/>
        <v>530</v>
      </c>
      <c r="H294" s="7">
        <v>100</v>
      </c>
      <c r="I294" s="7">
        <v>105</v>
      </c>
      <c r="J294" s="7">
        <v>90</v>
      </c>
      <c r="K294" s="7">
        <v>85</v>
      </c>
      <c r="L294" s="7">
        <v>90</v>
      </c>
      <c r="M294" s="7">
        <v>60</v>
      </c>
      <c r="N294" s="6"/>
    </row>
    <row r="295" spans="1:14" s="17" customFormat="1" ht="15.75" customHeight="1" x14ac:dyDescent="0.25">
      <c r="A295" s="4">
        <v>294</v>
      </c>
      <c r="B295" s="5" t="s">
        <v>296</v>
      </c>
      <c r="C295" s="6" t="s">
        <v>232</v>
      </c>
      <c r="D295" s="6"/>
      <c r="E295" s="6" t="s">
        <v>542</v>
      </c>
      <c r="F295" s="6" t="s">
        <v>616</v>
      </c>
      <c r="G295" s="7">
        <f t="shared" si="4"/>
        <v>220</v>
      </c>
      <c r="H295" s="7">
        <v>35</v>
      </c>
      <c r="I295" s="7">
        <v>55</v>
      </c>
      <c r="J295" s="7">
        <v>35</v>
      </c>
      <c r="K295" s="7">
        <v>30</v>
      </c>
      <c r="L295" s="7">
        <v>30</v>
      </c>
      <c r="M295" s="7">
        <v>35</v>
      </c>
      <c r="N295" s="6"/>
    </row>
    <row r="296" spans="1:14" s="17" customFormat="1" ht="15.75" customHeight="1" x14ac:dyDescent="0.25">
      <c r="A296" s="4">
        <v>295</v>
      </c>
      <c r="B296" s="5" t="s">
        <v>297</v>
      </c>
      <c r="C296" s="6" t="s">
        <v>232</v>
      </c>
      <c r="D296" s="6"/>
      <c r="E296" s="6" t="s">
        <v>544</v>
      </c>
      <c r="F296" s="6" t="s">
        <v>616</v>
      </c>
      <c r="G296" s="7">
        <f t="shared" si="4"/>
        <v>420</v>
      </c>
      <c r="H296" s="7">
        <v>70</v>
      </c>
      <c r="I296" s="7">
        <v>90</v>
      </c>
      <c r="J296" s="7">
        <v>70</v>
      </c>
      <c r="K296" s="7">
        <v>60</v>
      </c>
      <c r="L296" s="7">
        <v>60</v>
      </c>
      <c r="M296" s="7">
        <v>70</v>
      </c>
      <c r="N296" s="6"/>
    </row>
    <row r="297" spans="1:14" s="17" customFormat="1" ht="15.75" customHeight="1" x14ac:dyDescent="0.25">
      <c r="A297" s="4">
        <v>296</v>
      </c>
      <c r="B297" s="5" t="s">
        <v>298</v>
      </c>
      <c r="C297" s="6" t="s">
        <v>41</v>
      </c>
      <c r="D297" s="6" t="s">
        <v>232</v>
      </c>
      <c r="E297" s="6" t="s">
        <v>610</v>
      </c>
      <c r="F297" s="6" t="s">
        <v>617</v>
      </c>
      <c r="G297" s="7">
        <f t="shared" si="4"/>
        <v>240</v>
      </c>
      <c r="H297" s="7">
        <v>38</v>
      </c>
      <c r="I297" s="7">
        <v>30</v>
      </c>
      <c r="J297" s="7">
        <v>41</v>
      </c>
      <c r="K297" s="7">
        <v>30</v>
      </c>
      <c r="L297" s="7">
        <v>41</v>
      </c>
      <c r="M297" s="7">
        <v>60</v>
      </c>
      <c r="N297" s="6"/>
    </row>
    <row r="298" spans="1:14" s="17" customFormat="1" ht="15.75" customHeight="1" x14ac:dyDescent="0.25">
      <c r="A298" s="4">
        <v>297</v>
      </c>
      <c r="B298" s="5" t="s">
        <v>299</v>
      </c>
      <c r="C298" s="6" t="s">
        <v>41</v>
      </c>
      <c r="D298" s="6" t="s">
        <v>232</v>
      </c>
      <c r="E298" s="6" t="s">
        <v>610</v>
      </c>
      <c r="F298" s="6" t="s">
        <v>617</v>
      </c>
      <c r="G298" s="7">
        <f t="shared" si="4"/>
        <v>420</v>
      </c>
      <c r="H298" s="7">
        <v>78</v>
      </c>
      <c r="I298" s="7">
        <v>70</v>
      </c>
      <c r="J298" s="7">
        <v>61</v>
      </c>
      <c r="K298" s="7">
        <v>50</v>
      </c>
      <c r="L298" s="7">
        <v>61</v>
      </c>
      <c r="M298" s="7">
        <v>100</v>
      </c>
      <c r="N298" s="6"/>
    </row>
    <row r="299" spans="1:14" s="17" customFormat="1" ht="15.75" customHeight="1" x14ac:dyDescent="0.25">
      <c r="A299" s="4">
        <v>298</v>
      </c>
      <c r="B299" s="5" t="s">
        <v>1184</v>
      </c>
      <c r="C299" s="6" t="s">
        <v>41</v>
      </c>
      <c r="D299" s="6" t="s">
        <v>232</v>
      </c>
      <c r="E299" s="6" t="s">
        <v>588</v>
      </c>
      <c r="F299" s="6" t="s">
        <v>1147</v>
      </c>
      <c r="G299" s="7">
        <f t="shared" si="4"/>
        <v>520</v>
      </c>
      <c r="H299" s="7">
        <v>93</v>
      </c>
      <c r="I299" s="7">
        <v>90</v>
      </c>
      <c r="J299" s="7">
        <v>101</v>
      </c>
      <c r="K299" s="7">
        <v>60</v>
      </c>
      <c r="L299" s="7">
        <v>81</v>
      </c>
      <c r="M299" s="7">
        <v>95</v>
      </c>
      <c r="N299" s="6"/>
    </row>
    <row r="300" spans="1:14" s="17" customFormat="1" ht="15.75" customHeight="1" x14ac:dyDescent="0.25">
      <c r="A300" s="4">
        <v>299</v>
      </c>
      <c r="B300" s="5" t="s">
        <v>300</v>
      </c>
      <c r="C300" s="6" t="s">
        <v>34</v>
      </c>
      <c r="D300" s="6"/>
      <c r="E300" s="6" t="s">
        <v>536</v>
      </c>
      <c r="F300" s="6"/>
      <c r="G300" s="7">
        <f t="shared" si="4"/>
        <v>195</v>
      </c>
      <c r="H300" s="7">
        <v>45</v>
      </c>
      <c r="I300" s="7">
        <v>45</v>
      </c>
      <c r="J300" s="7">
        <v>35</v>
      </c>
      <c r="K300" s="7">
        <v>20</v>
      </c>
      <c r="L300" s="7">
        <v>30</v>
      </c>
      <c r="M300" s="7">
        <v>20</v>
      </c>
      <c r="N300" s="6"/>
    </row>
    <row r="301" spans="1:14" s="17" customFormat="1" ht="15.75" customHeight="1" x14ac:dyDescent="0.25">
      <c r="A301" s="4">
        <v>300</v>
      </c>
      <c r="B301" s="5" t="s">
        <v>301</v>
      </c>
      <c r="C301" s="6" t="s">
        <v>34</v>
      </c>
      <c r="D301" s="6"/>
      <c r="E301" s="6" t="s">
        <v>537</v>
      </c>
      <c r="F301" s="6"/>
      <c r="G301" s="7">
        <f t="shared" si="4"/>
        <v>205</v>
      </c>
      <c r="H301" s="7">
        <v>50</v>
      </c>
      <c r="I301" s="7">
        <v>35</v>
      </c>
      <c r="J301" s="7">
        <v>55</v>
      </c>
      <c r="K301" s="7">
        <v>25</v>
      </c>
      <c r="L301" s="7">
        <v>25</v>
      </c>
      <c r="M301" s="7">
        <v>15</v>
      </c>
      <c r="N301" s="6"/>
    </row>
    <row r="302" spans="1:14" s="17" customFormat="1" ht="15.75" customHeight="1" x14ac:dyDescent="0.25">
      <c r="A302" s="4">
        <v>301</v>
      </c>
      <c r="B302" s="5" t="s">
        <v>302</v>
      </c>
      <c r="C302" s="6" t="s">
        <v>34</v>
      </c>
      <c r="D302" s="6" t="s">
        <v>26</v>
      </c>
      <c r="E302" s="6" t="s">
        <v>539</v>
      </c>
      <c r="F302" s="6"/>
      <c r="G302" s="7">
        <f t="shared" si="4"/>
        <v>385</v>
      </c>
      <c r="H302" s="7">
        <v>60</v>
      </c>
      <c r="I302" s="7">
        <v>90</v>
      </c>
      <c r="J302" s="7">
        <v>50</v>
      </c>
      <c r="K302" s="7">
        <v>70</v>
      </c>
      <c r="L302" s="7">
        <v>50</v>
      </c>
      <c r="M302" s="7">
        <v>65</v>
      </c>
      <c r="N302" s="6"/>
    </row>
    <row r="303" spans="1:14" s="17" customFormat="1" ht="15.75" customHeight="1" x14ac:dyDescent="0.25">
      <c r="A303" s="4">
        <v>302</v>
      </c>
      <c r="B303" s="5" t="s">
        <v>303</v>
      </c>
      <c r="C303" s="6" t="s">
        <v>34</v>
      </c>
      <c r="D303" s="6"/>
      <c r="E303" s="6" t="s">
        <v>537</v>
      </c>
      <c r="F303" s="6"/>
      <c r="G303" s="7">
        <f t="shared" si="4"/>
        <v>205</v>
      </c>
      <c r="H303" s="7">
        <v>50</v>
      </c>
      <c r="I303" s="7">
        <v>35</v>
      </c>
      <c r="J303" s="7">
        <v>55</v>
      </c>
      <c r="K303" s="7">
        <v>25</v>
      </c>
      <c r="L303" s="7">
        <v>25</v>
      </c>
      <c r="M303" s="7">
        <v>15</v>
      </c>
      <c r="N303" s="6"/>
    </row>
    <row r="304" spans="1:14" s="17" customFormat="1" ht="15.75" customHeight="1" x14ac:dyDescent="0.25">
      <c r="A304" s="4">
        <v>303</v>
      </c>
      <c r="B304" s="5" t="s">
        <v>304</v>
      </c>
      <c r="C304" s="6" t="s">
        <v>34</v>
      </c>
      <c r="D304" s="6" t="s">
        <v>232</v>
      </c>
      <c r="E304" s="6" t="s">
        <v>536</v>
      </c>
      <c r="F304" s="6"/>
      <c r="G304" s="7">
        <f t="shared" si="4"/>
        <v>385</v>
      </c>
      <c r="H304" s="7">
        <v>60</v>
      </c>
      <c r="I304" s="7">
        <v>50</v>
      </c>
      <c r="J304" s="7">
        <v>70</v>
      </c>
      <c r="K304" s="7">
        <v>50</v>
      </c>
      <c r="L304" s="7">
        <v>90</v>
      </c>
      <c r="M304" s="7">
        <v>65</v>
      </c>
      <c r="N304" s="6"/>
    </row>
    <row r="305" spans="1:14" s="17" customFormat="1" ht="15.75" customHeight="1" x14ac:dyDescent="0.25">
      <c r="A305" s="4">
        <v>304</v>
      </c>
      <c r="B305" s="5" t="s">
        <v>305</v>
      </c>
      <c r="C305" s="6" t="s">
        <v>28</v>
      </c>
      <c r="D305" s="6" t="s">
        <v>14</v>
      </c>
      <c r="E305" s="6" t="s">
        <v>594</v>
      </c>
      <c r="F305" s="6" t="s">
        <v>624</v>
      </c>
      <c r="G305" s="7">
        <f t="shared" si="4"/>
        <v>220</v>
      </c>
      <c r="H305" s="7">
        <v>40</v>
      </c>
      <c r="I305" s="7">
        <v>30</v>
      </c>
      <c r="J305" s="7">
        <v>30</v>
      </c>
      <c r="K305" s="7">
        <v>40</v>
      </c>
      <c r="L305" s="7">
        <v>50</v>
      </c>
      <c r="M305" s="7">
        <v>30</v>
      </c>
      <c r="N305" s="6"/>
    </row>
    <row r="306" spans="1:14" s="17" customFormat="1" ht="15.75" customHeight="1" x14ac:dyDescent="0.25">
      <c r="A306" s="4">
        <v>305</v>
      </c>
      <c r="B306" s="5" t="s">
        <v>306</v>
      </c>
      <c r="C306" s="6" t="s">
        <v>28</v>
      </c>
      <c r="D306" s="6" t="s">
        <v>14</v>
      </c>
      <c r="E306" s="6" t="s">
        <v>594</v>
      </c>
      <c r="F306" s="6" t="s">
        <v>624</v>
      </c>
      <c r="G306" s="7">
        <f t="shared" si="4"/>
        <v>340</v>
      </c>
      <c r="H306" s="7">
        <v>60</v>
      </c>
      <c r="I306" s="7">
        <v>50</v>
      </c>
      <c r="J306" s="7">
        <v>50</v>
      </c>
      <c r="K306" s="7">
        <v>60</v>
      </c>
      <c r="L306" s="7">
        <v>70</v>
      </c>
      <c r="M306" s="7">
        <v>50</v>
      </c>
      <c r="N306" s="6"/>
    </row>
    <row r="307" spans="1:14" s="17" customFormat="1" ht="15.75" customHeight="1" x14ac:dyDescent="0.25">
      <c r="A307" s="4">
        <v>306</v>
      </c>
      <c r="B307" s="5" t="s">
        <v>307</v>
      </c>
      <c r="C307" s="6" t="s">
        <v>28</v>
      </c>
      <c r="D307" s="6" t="s">
        <v>14</v>
      </c>
      <c r="E307" s="6" t="s">
        <v>594</v>
      </c>
      <c r="F307" s="6" t="s">
        <v>624</v>
      </c>
      <c r="G307" s="7">
        <f t="shared" si="4"/>
        <v>480</v>
      </c>
      <c r="H307" s="7">
        <v>80</v>
      </c>
      <c r="I307" s="7">
        <v>70</v>
      </c>
      <c r="J307" s="7">
        <v>70</v>
      </c>
      <c r="K307" s="7">
        <v>90</v>
      </c>
      <c r="L307" s="7">
        <v>100</v>
      </c>
      <c r="M307" s="7">
        <v>70</v>
      </c>
      <c r="N307" s="6"/>
    </row>
    <row r="308" spans="1:14" s="17" customFormat="1" ht="15.75" customHeight="1" x14ac:dyDescent="0.25">
      <c r="A308" s="4">
        <v>307</v>
      </c>
      <c r="B308" s="5" t="s">
        <v>308</v>
      </c>
      <c r="C308" s="6" t="s">
        <v>14</v>
      </c>
      <c r="D308" s="6"/>
      <c r="E308" s="6" t="s">
        <v>17</v>
      </c>
      <c r="F308" s="6" t="s">
        <v>574</v>
      </c>
      <c r="G308" s="7">
        <f t="shared" si="4"/>
        <v>220</v>
      </c>
      <c r="H308" s="7">
        <v>40</v>
      </c>
      <c r="I308" s="7">
        <v>40</v>
      </c>
      <c r="J308" s="7">
        <v>50</v>
      </c>
      <c r="K308" s="7">
        <v>30</v>
      </c>
      <c r="L308" s="7">
        <v>30</v>
      </c>
      <c r="M308" s="7">
        <v>30</v>
      </c>
      <c r="N308" s="6"/>
    </row>
    <row r="309" spans="1:14" s="17" customFormat="1" ht="15.75" customHeight="1" x14ac:dyDescent="0.25">
      <c r="A309" s="4">
        <v>308</v>
      </c>
      <c r="B309" s="5" t="s">
        <v>309</v>
      </c>
      <c r="C309" s="6" t="s">
        <v>14</v>
      </c>
      <c r="D309" s="6" t="s">
        <v>232</v>
      </c>
      <c r="E309" s="6" t="s">
        <v>17</v>
      </c>
      <c r="F309" s="6" t="s">
        <v>574</v>
      </c>
      <c r="G309" s="7">
        <f t="shared" si="4"/>
        <v>340</v>
      </c>
      <c r="H309" s="7">
        <v>70</v>
      </c>
      <c r="I309" s="7">
        <v>70</v>
      </c>
      <c r="J309" s="7">
        <v>40</v>
      </c>
      <c r="K309" s="7">
        <v>60</v>
      </c>
      <c r="L309" s="7">
        <v>40</v>
      </c>
      <c r="M309" s="7">
        <v>60</v>
      </c>
      <c r="N309" s="6"/>
    </row>
    <row r="310" spans="1:14" s="17" customFormat="1" ht="15.75" customHeight="1" x14ac:dyDescent="0.25">
      <c r="A310" s="4">
        <v>309</v>
      </c>
      <c r="B310" s="5" t="s">
        <v>310</v>
      </c>
      <c r="C310" s="6" t="s">
        <v>14</v>
      </c>
      <c r="D310" s="6" t="s">
        <v>232</v>
      </c>
      <c r="E310" s="6" t="s">
        <v>17</v>
      </c>
      <c r="F310" s="6" t="s">
        <v>574</v>
      </c>
      <c r="G310" s="7">
        <f t="shared" si="4"/>
        <v>480</v>
      </c>
      <c r="H310" s="7">
        <v>90</v>
      </c>
      <c r="I310" s="7">
        <v>100</v>
      </c>
      <c r="J310" s="7">
        <v>60</v>
      </c>
      <c r="K310" s="7">
        <v>90</v>
      </c>
      <c r="L310" s="7">
        <v>60</v>
      </c>
      <c r="M310" s="7">
        <v>80</v>
      </c>
      <c r="N310" s="6"/>
    </row>
    <row r="311" spans="1:14" s="17" customFormat="1" ht="15.75" customHeight="1" x14ac:dyDescent="0.25">
      <c r="A311" s="4">
        <v>310</v>
      </c>
      <c r="B311" s="5" t="s">
        <v>311</v>
      </c>
      <c r="C311" s="6" t="s">
        <v>41</v>
      </c>
      <c r="D311" s="6" t="s">
        <v>26</v>
      </c>
      <c r="E311" s="6" t="s">
        <v>543</v>
      </c>
      <c r="F311" s="6"/>
      <c r="G311" s="7">
        <f t="shared" si="4"/>
        <v>270</v>
      </c>
      <c r="H311" s="7">
        <v>40</v>
      </c>
      <c r="I311" s="7">
        <v>55</v>
      </c>
      <c r="J311" s="7">
        <v>30</v>
      </c>
      <c r="K311" s="7">
        <v>30</v>
      </c>
      <c r="L311" s="7">
        <v>30</v>
      </c>
      <c r="M311" s="7">
        <v>85</v>
      </c>
      <c r="N311" s="6"/>
    </row>
    <row r="312" spans="1:14" s="17" customFormat="1" ht="15.75" customHeight="1" x14ac:dyDescent="0.25">
      <c r="A312" s="4">
        <v>311</v>
      </c>
      <c r="B312" s="5" t="s">
        <v>312</v>
      </c>
      <c r="C312" s="6" t="s">
        <v>41</v>
      </c>
      <c r="D312" s="6" t="s">
        <v>26</v>
      </c>
      <c r="E312" s="6" t="s">
        <v>543</v>
      </c>
      <c r="F312" s="6"/>
      <c r="G312" s="7">
        <f t="shared" si="4"/>
        <v>455</v>
      </c>
      <c r="H312" s="7">
        <v>60</v>
      </c>
      <c r="I312" s="7">
        <v>85</v>
      </c>
      <c r="J312" s="7">
        <v>60</v>
      </c>
      <c r="K312" s="7">
        <v>75</v>
      </c>
      <c r="L312" s="7">
        <v>50</v>
      </c>
      <c r="M312" s="7">
        <v>125</v>
      </c>
      <c r="N312" s="6"/>
    </row>
    <row r="313" spans="1:14" s="17" customFormat="1" ht="15.75" customHeight="1" x14ac:dyDescent="0.25">
      <c r="A313" s="4">
        <v>312</v>
      </c>
      <c r="B313" s="5" t="s">
        <v>313</v>
      </c>
      <c r="C313" s="6" t="s">
        <v>28</v>
      </c>
      <c r="D313" s="6" t="s">
        <v>26</v>
      </c>
      <c r="E313" s="6" t="s">
        <v>540</v>
      </c>
      <c r="F313" s="6" t="s">
        <v>624</v>
      </c>
      <c r="G313" s="7">
        <f t="shared" si="4"/>
        <v>270</v>
      </c>
      <c r="H313" s="7">
        <v>40</v>
      </c>
      <c r="I313" s="7">
        <v>30</v>
      </c>
      <c r="J313" s="7">
        <v>30</v>
      </c>
      <c r="K313" s="7">
        <v>55</v>
      </c>
      <c r="L313" s="7">
        <v>30</v>
      </c>
      <c r="M313" s="7">
        <v>85</v>
      </c>
      <c r="N313" s="6"/>
    </row>
    <row r="314" spans="1:14" s="17" customFormat="1" ht="15.75" customHeight="1" x14ac:dyDescent="0.25">
      <c r="A314" s="4">
        <v>313</v>
      </c>
      <c r="B314" s="5" t="s">
        <v>314</v>
      </c>
      <c r="C314" s="6" t="s">
        <v>28</v>
      </c>
      <c r="D314" s="6" t="s">
        <v>26</v>
      </c>
      <c r="E314" s="6" t="s">
        <v>540</v>
      </c>
      <c r="F314" s="6" t="s">
        <v>644</v>
      </c>
      <c r="G314" s="7">
        <f t="shared" si="4"/>
        <v>440</v>
      </c>
      <c r="H314" s="7">
        <v>60</v>
      </c>
      <c r="I314" s="7">
        <v>50</v>
      </c>
      <c r="J314" s="7">
        <v>100</v>
      </c>
      <c r="K314" s="7">
        <v>95</v>
      </c>
      <c r="L314" s="7">
        <v>70</v>
      </c>
      <c r="M314" s="7">
        <v>65</v>
      </c>
      <c r="N314" s="6"/>
    </row>
    <row r="315" spans="1:14" s="17" customFormat="1" ht="15.75" customHeight="1" x14ac:dyDescent="0.25">
      <c r="A315" s="4">
        <v>314</v>
      </c>
      <c r="B315" s="5" t="s">
        <v>315</v>
      </c>
      <c r="C315" s="6" t="s">
        <v>92</v>
      </c>
      <c r="D315" s="6"/>
      <c r="E315" s="6" t="s">
        <v>565</v>
      </c>
      <c r="F315" s="6" t="s">
        <v>602</v>
      </c>
      <c r="G315" s="7">
        <f t="shared" si="4"/>
        <v>198</v>
      </c>
      <c r="H315" s="7">
        <v>28</v>
      </c>
      <c r="I315" s="7">
        <v>25</v>
      </c>
      <c r="J315" s="7">
        <v>25</v>
      </c>
      <c r="K315" s="7">
        <v>45</v>
      </c>
      <c r="L315" s="7">
        <v>35</v>
      </c>
      <c r="M315" s="7">
        <v>40</v>
      </c>
      <c r="N315" s="6"/>
    </row>
    <row r="316" spans="1:14" s="17" customFormat="1" ht="15.75" customHeight="1" x14ac:dyDescent="0.25">
      <c r="A316" s="4">
        <v>315</v>
      </c>
      <c r="B316" s="5" t="s">
        <v>316</v>
      </c>
      <c r="C316" s="6" t="s">
        <v>92</v>
      </c>
      <c r="D316" s="6"/>
      <c r="E316" s="6" t="s">
        <v>565</v>
      </c>
      <c r="F316" s="6" t="s">
        <v>602</v>
      </c>
      <c r="G316" s="7">
        <f t="shared" si="4"/>
        <v>278</v>
      </c>
      <c r="H316" s="7">
        <v>38</v>
      </c>
      <c r="I316" s="7">
        <v>35</v>
      </c>
      <c r="J316" s="7">
        <v>35</v>
      </c>
      <c r="K316" s="7">
        <v>65</v>
      </c>
      <c r="L316" s="7">
        <v>55</v>
      </c>
      <c r="M316" s="7">
        <v>50</v>
      </c>
      <c r="N316" s="6"/>
    </row>
    <row r="317" spans="1:14" s="17" customFormat="1" ht="15.75" customHeight="1" x14ac:dyDescent="0.25">
      <c r="A317" s="4">
        <v>316</v>
      </c>
      <c r="B317" s="5" t="s">
        <v>317</v>
      </c>
      <c r="C317" s="6" t="s">
        <v>92</v>
      </c>
      <c r="D317" s="6"/>
      <c r="E317" s="6" t="s">
        <v>565</v>
      </c>
      <c r="F317" s="6" t="s">
        <v>602</v>
      </c>
      <c r="G317" s="7">
        <f t="shared" si="4"/>
        <v>518</v>
      </c>
      <c r="H317" s="7">
        <v>68</v>
      </c>
      <c r="I317" s="7">
        <v>65</v>
      </c>
      <c r="J317" s="7">
        <v>65</v>
      </c>
      <c r="K317" s="7">
        <v>125</v>
      </c>
      <c r="L317" s="7">
        <v>115</v>
      </c>
      <c r="M317" s="7">
        <v>80</v>
      </c>
      <c r="N317" s="6"/>
    </row>
    <row r="318" spans="1:14" s="17" customFormat="1" ht="15.75" customHeight="1" x14ac:dyDescent="0.25">
      <c r="A318" s="4">
        <v>317</v>
      </c>
      <c r="B318" s="5" t="s">
        <v>510</v>
      </c>
      <c r="C318" s="6" t="s">
        <v>92</v>
      </c>
      <c r="D318" s="6" t="s">
        <v>84</v>
      </c>
      <c r="E318" s="6" t="s">
        <v>622</v>
      </c>
      <c r="F318" s="6" t="s">
        <v>905</v>
      </c>
      <c r="G318" s="7">
        <f t="shared" si="4"/>
        <v>518</v>
      </c>
      <c r="H318" s="7">
        <v>68</v>
      </c>
      <c r="I318" s="7">
        <v>125</v>
      </c>
      <c r="J318" s="7">
        <v>65</v>
      </c>
      <c r="K318" s="7">
        <v>65</v>
      </c>
      <c r="L318" s="7">
        <v>115</v>
      </c>
      <c r="M318" s="7">
        <v>80</v>
      </c>
      <c r="N318" s="6"/>
    </row>
    <row r="319" spans="1:14" s="17" customFormat="1" ht="15.75" customHeight="1" x14ac:dyDescent="0.25">
      <c r="A319" s="4">
        <v>318</v>
      </c>
      <c r="B319" s="5" t="s">
        <v>318</v>
      </c>
      <c r="C319" s="6" t="s">
        <v>34</v>
      </c>
      <c r="D319" s="6" t="s">
        <v>28</v>
      </c>
      <c r="E319" s="6" t="s">
        <v>594</v>
      </c>
      <c r="F319" s="6" t="s">
        <v>1214</v>
      </c>
      <c r="G319" s="7">
        <f t="shared" si="4"/>
        <v>269</v>
      </c>
      <c r="H319" s="7">
        <v>40</v>
      </c>
      <c r="I319" s="7">
        <v>30</v>
      </c>
      <c r="J319" s="7">
        <v>32</v>
      </c>
      <c r="K319" s="7">
        <v>50</v>
      </c>
      <c r="L319" s="7">
        <v>52</v>
      </c>
      <c r="M319" s="7">
        <v>65</v>
      </c>
      <c r="N319" s="6"/>
    </row>
    <row r="320" spans="1:14" s="17" customFormat="1" ht="15.75" customHeight="1" x14ac:dyDescent="0.25">
      <c r="A320" s="4">
        <v>319</v>
      </c>
      <c r="B320" s="5" t="s">
        <v>319</v>
      </c>
      <c r="C320" s="6" t="s">
        <v>34</v>
      </c>
      <c r="D320" s="6" t="s">
        <v>28</v>
      </c>
      <c r="E320" s="6" t="s">
        <v>544</v>
      </c>
      <c r="F320" s="6" t="s">
        <v>1214</v>
      </c>
      <c r="G320" s="7">
        <f t="shared" si="4"/>
        <v>454</v>
      </c>
      <c r="H320" s="7">
        <v>70</v>
      </c>
      <c r="I320" s="7">
        <v>60</v>
      </c>
      <c r="J320" s="7">
        <v>62</v>
      </c>
      <c r="K320" s="7">
        <v>100</v>
      </c>
      <c r="L320" s="7">
        <v>82</v>
      </c>
      <c r="M320" s="7">
        <v>80</v>
      </c>
      <c r="N320" s="6"/>
    </row>
    <row r="321" spans="1:14" s="17" customFormat="1" ht="15.75" customHeight="1" x14ac:dyDescent="0.25">
      <c r="A321" s="4">
        <v>320</v>
      </c>
      <c r="B321" s="5" t="s">
        <v>320</v>
      </c>
      <c r="C321" s="6" t="s">
        <v>14</v>
      </c>
      <c r="D321" s="6"/>
      <c r="E321" s="6" t="s">
        <v>553</v>
      </c>
      <c r="F321" s="6" t="s">
        <v>625</v>
      </c>
      <c r="G321" s="7">
        <f t="shared" si="4"/>
        <v>295</v>
      </c>
      <c r="H321" s="7">
        <v>60</v>
      </c>
      <c r="I321" s="7">
        <v>40</v>
      </c>
      <c r="J321" s="7">
        <v>60</v>
      </c>
      <c r="K321" s="7">
        <v>40</v>
      </c>
      <c r="L321" s="7">
        <v>60</v>
      </c>
      <c r="M321" s="7">
        <v>35</v>
      </c>
      <c r="N321" s="6"/>
    </row>
    <row r="322" spans="1:14" s="17" customFormat="1" ht="15.75" customHeight="1" x14ac:dyDescent="0.25">
      <c r="A322" s="4">
        <v>321</v>
      </c>
      <c r="B322" s="5" t="s">
        <v>321</v>
      </c>
      <c r="C322" s="6" t="s">
        <v>14</v>
      </c>
      <c r="D322" s="6" t="s">
        <v>84</v>
      </c>
      <c r="E322" s="6" t="s">
        <v>553</v>
      </c>
      <c r="F322" s="6" t="s">
        <v>625</v>
      </c>
      <c r="G322" s="7">
        <f t="shared" ref="G322:G385" si="5">SUM(H322:M322)</f>
        <v>460</v>
      </c>
      <c r="H322" s="7">
        <v>60</v>
      </c>
      <c r="I322" s="7">
        <v>130</v>
      </c>
      <c r="J322" s="7">
        <v>80</v>
      </c>
      <c r="K322" s="7">
        <v>60</v>
      </c>
      <c r="L322" s="7">
        <v>60</v>
      </c>
      <c r="M322" s="7">
        <v>70</v>
      </c>
      <c r="N322" s="6"/>
    </row>
    <row r="323" spans="1:14" s="17" customFormat="1" ht="15.75" customHeight="1" x14ac:dyDescent="0.25">
      <c r="A323" s="4">
        <v>322</v>
      </c>
      <c r="B323" s="5" t="s">
        <v>322</v>
      </c>
      <c r="C323" s="6" t="s">
        <v>41</v>
      </c>
      <c r="D323" s="6"/>
      <c r="E323" s="6" t="s">
        <v>626</v>
      </c>
      <c r="F323" s="6" t="s">
        <v>630</v>
      </c>
      <c r="G323" s="7">
        <f t="shared" si="5"/>
        <v>280</v>
      </c>
      <c r="H323" s="7">
        <v>60</v>
      </c>
      <c r="I323" s="7">
        <v>60</v>
      </c>
      <c r="J323" s="7">
        <v>60</v>
      </c>
      <c r="K323" s="7">
        <v>35</v>
      </c>
      <c r="L323" s="7">
        <v>35</v>
      </c>
      <c r="M323" s="7">
        <v>30</v>
      </c>
      <c r="N323" s="6"/>
    </row>
    <row r="324" spans="1:14" s="17" customFormat="1" ht="15.75" customHeight="1" x14ac:dyDescent="0.25">
      <c r="A324" s="4">
        <v>323</v>
      </c>
      <c r="B324" s="5" t="s">
        <v>323</v>
      </c>
      <c r="C324" s="6" t="s">
        <v>41</v>
      </c>
      <c r="D324" s="6"/>
      <c r="E324" s="6" t="s">
        <v>562</v>
      </c>
      <c r="F324" s="6" t="s">
        <v>562</v>
      </c>
      <c r="G324" s="7">
        <f t="shared" si="5"/>
        <v>440</v>
      </c>
      <c r="H324" s="7">
        <v>80</v>
      </c>
      <c r="I324" s="7">
        <v>80</v>
      </c>
      <c r="J324" s="7">
        <v>80</v>
      </c>
      <c r="K324" s="7">
        <v>55</v>
      </c>
      <c r="L324" s="7">
        <v>55</v>
      </c>
      <c r="M324" s="7">
        <v>90</v>
      </c>
      <c r="N324" s="6"/>
    </row>
    <row r="325" spans="1:14" s="17" customFormat="1" ht="15.75" customHeight="1" x14ac:dyDescent="0.25">
      <c r="A325" s="4">
        <v>324</v>
      </c>
      <c r="B325" s="5" t="s">
        <v>324</v>
      </c>
      <c r="C325" s="6" t="s">
        <v>41</v>
      </c>
      <c r="D325" s="6"/>
      <c r="E325" s="6" t="s">
        <v>626</v>
      </c>
      <c r="F325" s="6" t="s">
        <v>630</v>
      </c>
      <c r="G325" s="7">
        <f t="shared" si="5"/>
        <v>670</v>
      </c>
      <c r="H325" s="7">
        <v>150</v>
      </c>
      <c r="I325" s="7">
        <v>160</v>
      </c>
      <c r="J325" s="7">
        <v>100</v>
      </c>
      <c r="K325" s="7">
        <v>95</v>
      </c>
      <c r="L325" s="7">
        <v>65</v>
      </c>
      <c r="M325" s="7">
        <v>100</v>
      </c>
      <c r="N325" s="6"/>
    </row>
    <row r="326" spans="1:14" s="17" customFormat="1" ht="15.75" customHeight="1" x14ac:dyDescent="0.25">
      <c r="A326" s="4">
        <v>325</v>
      </c>
      <c r="B326" s="5" t="s">
        <v>325</v>
      </c>
      <c r="C326" s="6" t="s">
        <v>34</v>
      </c>
      <c r="D326" s="6" t="s">
        <v>54</v>
      </c>
      <c r="E326" s="6" t="s">
        <v>538</v>
      </c>
      <c r="F326" s="6"/>
      <c r="G326" s="7">
        <f t="shared" si="5"/>
        <v>266</v>
      </c>
      <c r="H326" s="7">
        <v>31</v>
      </c>
      <c r="I326" s="7">
        <v>45</v>
      </c>
      <c r="J326" s="7">
        <v>90</v>
      </c>
      <c r="K326" s="7">
        <v>30</v>
      </c>
      <c r="L326" s="7">
        <v>30</v>
      </c>
      <c r="M326" s="7">
        <v>40</v>
      </c>
      <c r="N326" s="6"/>
    </row>
    <row r="327" spans="1:14" s="17" customFormat="1" ht="15.75" customHeight="1" x14ac:dyDescent="0.25">
      <c r="A327" s="4">
        <v>326</v>
      </c>
      <c r="B327" s="5" t="s">
        <v>326</v>
      </c>
      <c r="C327" s="6" t="s">
        <v>34</v>
      </c>
      <c r="D327" s="6" t="s">
        <v>26</v>
      </c>
      <c r="E327" s="6" t="s">
        <v>612</v>
      </c>
      <c r="F327" s="6"/>
      <c r="G327" s="7">
        <f t="shared" si="5"/>
        <v>456</v>
      </c>
      <c r="H327" s="7">
        <v>61</v>
      </c>
      <c r="I327" s="7">
        <v>90</v>
      </c>
      <c r="J327" s="7">
        <v>45</v>
      </c>
      <c r="K327" s="7">
        <v>50</v>
      </c>
      <c r="L327" s="7">
        <v>50</v>
      </c>
      <c r="M327" s="7">
        <v>160</v>
      </c>
      <c r="N327" s="6"/>
    </row>
    <row r="328" spans="1:14" s="17" customFormat="1" ht="15.75" customHeight="1" x14ac:dyDescent="0.25">
      <c r="A328" s="4">
        <v>327</v>
      </c>
      <c r="B328" s="5" t="s">
        <v>327</v>
      </c>
      <c r="C328" s="6" t="s">
        <v>34</v>
      </c>
      <c r="D328" s="6" t="s">
        <v>125</v>
      </c>
      <c r="E328" s="6" t="s">
        <v>627</v>
      </c>
      <c r="F328" s="6"/>
      <c r="G328" s="7">
        <f t="shared" si="5"/>
        <v>236</v>
      </c>
      <c r="H328" s="7">
        <v>1</v>
      </c>
      <c r="I328" s="7">
        <v>90</v>
      </c>
      <c r="J328" s="7">
        <v>45</v>
      </c>
      <c r="K328" s="7">
        <v>30</v>
      </c>
      <c r="L328" s="7">
        <v>30</v>
      </c>
      <c r="M328" s="7">
        <v>40</v>
      </c>
      <c r="N328" s="6"/>
    </row>
    <row r="329" spans="1:14" s="17" customFormat="1" ht="15.75" customHeight="1" x14ac:dyDescent="0.25">
      <c r="A329" s="4">
        <v>328</v>
      </c>
      <c r="B329" s="5" t="s">
        <v>328</v>
      </c>
      <c r="C329" s="6" t="s">
        <v>41</v>
      </c>
      <c r="D329" s="6"/>
      <c r="E329" s="6" t="s">
        <v>585</v>
      </c>
      <c r="F329" s="6" t="s">
        <v>1147</v>
      </c>
      <c r="G329" s="7">
        <f t="shared" si="5"/>
        <v>240</v>
      </c>
      <c r="H329" s="7">
        <v>64</v>
      </c>
      <c r="I329" s="7">
        <v>51</v>
      </c>
      <c r="J329" s="7">
        <v>23</v>
      </c>
      <c r="K329" s="7">
        <v>51</v>
      </c>
      <c r="L329" s="7">
        <v>23</v>
      </c>
      <c r="M329" s="7">
        <v>28</v>
      </c>
      <c r="N329" s="6"/>
    </row>
    <row r="330" spans="1:14" s="17" customFormat="1" ht="15.75" customHeight="1" x14ac:dyDescent="0.25">
      <c r="A330" s="4">
        <v>329</v>
      </c>
      <c r="B330" s="5" t="s">
        <v>329</v>
      </c>
      <c r="C330" s="6" t="s">
        <v>41</v>
      </c>
      <c r="D330" s="6" t="s">
        <v>112</v>
      </c>
      <c r="E330" s="6" t="s">
        <v>585</v>
      </c>
      <c r="F330" s="6" t="s">
        <v>1147</v>
      </c>
      <c r="G330" s="7">
        <f t="shared" si="5"/>
        <v>360</v>
      </c>
      <c r="H330" s="7">
        <v>84</v>
      </c>
      <c r="I330" s="7">
        <v>71</v>
      </c>
      <c r="J330" s="7">
        <v>43</v>
      </c>
      <c r="K330" s="7">
        <v>71</v>
      </c>
      <c r="L330" s="7">
        <v>43</v>
      </c>
      <c r="M330" s="7">
        <v>48</v>
      </c>
      <c r="N330" s="6"/>
    </row>
    <row r="331" spans="1:14" s="17" customFormat="1" ht="15.75" customHeight="1" x14ac:dyDescent="0.25">
      <c r="A331" s="4">
        <v>330</v>
      </c>
      <c r="B331" s="5" t="s">
        <v>330</v>
      </c>
      <c r="C331" s="6" t="s">
        <v>41</v>
      </c>
      <c r="D331" s="6" t="s">
        <v>112</v>
      </c>
      <c r="E331" s="6" t="s">
        <v>585</v>
      </c>
      <c r="F331" s="6" t="s">
        <v>1147</v>
      </c>
      <c r="G331" s="7">
        <f t="shared" si="5"/>
        <v>480</v>
      </c>
      <c r="H331" s="7">
        <v>104</v>
      </c>
      <c r="I331" s="7">
        <v>91</v>
      </c>
      <c r="J331" s="7">
        <v>63</v>
      </c>
      <c r="K331" s="7">
        <v>91</v>
      </c>
      <c r="L331" s="7">
        <v>63</v>
      </c>
      <c r="M331" s="7">
        <v>68</v>
      </c>
      <c r="N331" s="6"/>
    </row>
    <row r="332" spans="1:14" s="17" customFormat="1" ht="15.75" customHeight="1" x14ac:dyDescent="0.25">
      <c r="A332" s="4">
        <v>331</v>
      </c>
      <c r="B332" s="5" t="s">
        <v>331</v>
      </c>
      <c r="C332" s="6" t="s">
        <v>84</v>
      </c>
      <c r="D332" s="6"/>
      <c r="E332" s="6" t="s">
        <v>575</v>
      </c>
      <c r="F332" s="6" t="s">
        <v>543</v>
      </c>
      <c r="G332" s="7">
        <f t="shared" si="5"/>
        <v>237</v>
      </c>
      <c r="H332" s="7">
        <v>72</v>
      </c>
      <c r="I332" s="7">
        <v>60</v>
      </c>
      <c r="J332" s="7">
        <v>30</v>
      </c>
      <c r="K332" s="7">
        <v>20</v>
      </c>
      <c r="L332" s="7">
        <v>30</v>
      </c>
      <c r="M332" s="7">
        <v>25</v>
      </c>
      <c r="N332" s="6"/>
    </row>
    <row r="333" spans="1:14" s="17" customFormat="1" ht="15.75" customHeight="1" x14ac:dyDescent="0.25">
      <c r="A333" s="4">
        <v>332</v>
      </c>
      <c r="B333" s="5" t="s">
        <v>332</v>
      </c>
      <c r="C333" s="6" t="s">
        <v>84</v>
      </c>
      <c r="D333" s="6"/>
      <c r="E333" s="6" t="s">
        <v>575</v>
      </c>
      <c r="F333" s="6" t="s">
        <v>543</v>
      </c>
      <c r="G333" s="7">
        <f t="shared" si="5"/>
        <v>474</v>
      </c>
      <c r="H333" s="7">
        <v>144</v>
      </c>
      <c r="I333" s="7">
        <v>120</v>
      </c>
      <c r="J333" s="7">
        <v>60</v>
      </c>
      <c r="K333" s="7">
        <v>40</v>
      </c>
      <c r="L333" s="7">
        <v>60</v>
      </c>
      <c r="M333" s="7">
        <v>50</v>
      </c>
      <c r="N333" s="6"/>
    </row>
    <row r="334" spans="1:14" s="17" customFormat="1" ht="15.75" customHeight="1" x14ac:dyDescent="0.25">
      <c r="A334" s="4">
        <v>333</v>
      </c>
      <c r="B334" s="5" t="s">
        <v>334</v>
      </c>
      <c r="C334" s="6" t="s">
        <v>104</v>
      </c>
      <c r="D334" s="6"/>
      <c r="E334" s="6" t="s">
        <v>570</v>
      </c>
      <c r="F334" s="6" t="s">
        <v>1154</v>
      </c>
      <c r="G334" s="7">
        <f t="shared" si="5"/>
        <v>375</v>
      </c>
      <c r="H334" s="7">
        <v>30</v>
      </c>
      <c r="I334" s="7">
        <v>45</v>
      </c>
      <c r="J334" s="7">
        <v>135</v>
      </c>
      <c r="K334" s="7">
        <v>45</v>
      </c>
      <c r="L334" s="7">
        <v>90</v>
      </c>
      <c r="M334" s="7">
        <v>30</v>
      </c>
      <c r="N334" s="6"/>
    </row>
    <row r="335" spans="1:14" s="17" customFormat="1" ht="15.75" customHeight="1" x14ac:dyDescent="0.25">
      <c r="A335" s="4">
        <v>334</v>
      </c>
      <c r="B335" s="5" t="s">
        <v>511</v>
      </c>
      <c r="C335" s="6" t="s">
        <v>104</v>
      </c>
      <c r="D335" s="6" t="s">
        <v>112</v>
      </c>
      <c r="E335" s="6" t="s">
        <v>581</v>
      </c>
      <c r="F335" s="6" t="s">
        <v>1154</v>
      </c>
      <c r="G335" s="7">
        <f t="shared" si="5"/>
        <v>525</v>
      </c>
      <c r="H335" s="7">
        <v>60</v>
      </c>
      <c r="I335" s="7">
        <v>55</v>
      </c>
      <c r="J335" s="7">
        <v>145</v>
      </c>
      <c r="K335" s="7">
        <v>75</v>
      </c>
      <c r="L335" s="7">
        <v>150</v>
      </c>
      <c r="M335" s="7">
        <v>40</v>
      </c>
      <c r="N335" s="6"/>
    </row>
    <row r="336" spans="1:14" s="17" customFormat="1" ht="15.75" customHeight="1" x14ac:dyDescent="0.25">
      <c r="A336" s="4">
        <v>335</v>
      </c>
      <c r="B336" s="5" t="s">
        <v>335</v>
      </c>
      <c r="C336" s="6" t="s">
        <v>41</v>
      </c>
      <c r="D336" s="6"/>
      <c r="E336" s="6" t="s">
        <v>549</v>
      </c>
      <c r="F336" s="6" t="s">
        <v>629</v>
      </c>
      <c r="G336" s="7">
        <f t="shared" si="5"/>
        <v>260</v>
      </c>
      <c r="H336" s="7">
        <v>50</v>
      </c>
      <c r="I336" s="7">
        <v>45</v>
      </c>
      <c r="J336" s="7">
        <v>45</v>
      </c>
      <c r="K336" s="7">
        <v>35</v>
      </c>
      <c r="L336" s="7">
        <v>35</v>
      </c>
      <c r="M336" s="7">
        <v>50</v>
      </c>
      <c r="N336" s="6"/>
    </row>
    <row r="337" spans="1:14" s="17" customFormat="1" ht="15.75" customHeight="1" x14ac:dyDescent="0.25">
      <c r="A337" s="4">
        <v>336</v>
      </c>
      <c r="B337" s="5" t="s">
        <v>336</v>
      </c>
      <c r="C337" s="6" t="s">
        <v>41</v>
      </c>
      <c r="D337" s="6"/>
      <c r="E337" s="6" t="s">
        <v>549</v>
      </c>
      <c r="F337" s="6" t="s">
        <v>629</v>
      </c>
      <c r="G337" s="7">
        <f t="shared" si="5"/>
        <v>400</v>
      </c>
      <c r="H337" s="7">
        <v>70</v>
      </c>
      <c r="I337" s="7">
        <v>65</v>
      </c>
      <c r="J337" s="7">
        <v>65</v>
      </c>
      <c r="K337" s="7">
        <v>55</v>
      </c>
      <c r="L337" s="7">
        <v>55</v>
      </c>
      <c r="M337" s="7">
        <v>90</v>
      </c>
      <c r="N337" s="6"/>
    </row>
    <row r="338" spans="1:14" s="17" customFormat="1" ht="15.75" customHeight="1" x14ac:dyDescent="0.25">
      <c r="A338" s="4">
        <v>337</v>
      </c>
      <c r="B338" s="5" t="s">
        <v>337</v>
      </c>
      <c r="C338" s="6" t="s">
        <v>232</v>
      </c>
      <c r="D338" s="6" t="s">
        <v>125</v>
      </c>
      <c r="E338" s="6" t="s">
        <v>540</v>
      </c>
      <c r="F338" s="6" t="s">
        <v>966</v>
      </c>
      <c r="G338" s="7">
        <f t="shared" si="5"/>
        <v>380</v>
      </c>
      <c r="H338" s="7">
        <v>50</v>
      </c>
      <c r="I338" s="7">
        <v>75</v>
      </c>
      <c r="J338" s="7">
        <v>75</v>
      </c>
      <c r="K338" s="7">
        <v>65</v>
      </c>
      <c r="L338" s="7">
        <v>65</v>
      </c>
      <c r="M338" s="7">
        <v>50</v>
      </c>
      <c r="N338" s="6"/>
    </row>
    <row r="339" spans="1:14" s="17" customFormat="1" ht="15.75" customHeight="1" x14ac:dyDescent="0.25">
      <c r="A339" s="4">
        <v>338</v>
      </c>
      <c r="B339" s="5" t="s">
        <v>338</v>
      </c>
      <c r="C339" s="6" t="s">
        <v>112</v>
      </c>
      <c r="D339" s="6" t="s">
        <v>232</v>
      </c>
      <c r="E339" s="6" t="s">
        <v>584</v>
      </c>
      <c r="F339" s="6" t="s">
        <v>631</v>
      </c>
      <c r="G339" s="7">
        <f t="shared" si="5"/>
        <v>380</v>
      </c>
      <c r="H339" s="7">
        <v>50</v>
      </c>
      <c r="I339" s="7">
        <v>85</v>
      </c>
      <c r="J339" s="7">
        <v>85</v>
      </c>
      <c r="K339" s="7">
        <v>55</v>
      </c>
      <c r="L339" s="7">
        <v>55</v>
      </c>
      <c r="M339" s="7">
        <v>50</v>
      </c>
      <c r="N339" s="6"/>
    </row>
    <row r="340" spans="1:14" s="17" customFormat="1" ht="15.75" customHeight="1" x14ac:dyDescent="0.25">
      <c r="A340" s="4">
        <v>339</v>
      </c>
      <c r="B340" s="5" t="s">
        <v>339</v>
      </c>
      <c r="C340" s="6" t="s">
        <v>112</v>
      </c>
      <c r="D340" s="6" t="s">
        <v>1136</v>
      </c>
      <c r="E340" s="6" t="s">
        <v>570</v>
      </c>
      <c r="F340" s="6" t="s">
        <v>569</v>
      </c>
      <c r="G340" s="7">
        <f t="shared" si="5"/>
        <v>320</v>
      </c>
      <c r="H340" s="7">
        <v>50</v>
      </c>
      <c r="I340" s="7">
        <v>60</v>
      </c>
      <c r="J340" s="7">
        <v>100</v>
      </c>
      <c r="K340" s="7">
        <v>40</v>
      </c>
      <c r="L340" s="7">
        <v>40</v>
      </c>
      <c r="M340" s="7">
        <v>30</v>
      </c>
      <c r="N340" s="6"/>
    </row>
    <row r="341" spans="1:14" s="17" customFormat="1" ht="15.75" customHeight="1" x14ac:dyDescent="0.25">
      <c r="A341" s="4">
        <v>340</v>
      </c>
      <c r="B341" s="5" t="s">
        <v>340</v>
      </c>
      <c r="C341" s="6" t="s">
        <v>112</v>
      </c>
      <c r="D341" s="6" t="s">
        <v>1136</v>
      </c>
      <c r="E341" s="6" t="s">
        <v>30</v>
      </c>
      <c r="F341" s="6" t="s">
        <v>569</v>
      </c>
      <c r="G341" s="7">
        <f t="shared" si="5"/>
        <v>420</v>
      </c>
      <c r="H341" s="7">
        <v>60</v>
      </c>
      <c r="I341" s="7">
        <v>80</v>
      </c>
      <c r="J341" s="7">
        <v>140</v>
      </c>
      <c r="K341" s="7">
        <v>50</v>
      </c>
      <c r="L341" s="7">
        <v>50</v>
      </c>
      <c r="M341" s="7">
        <v>40</v>
      </c>
      <c r="N341" s="6"/>
    </row>
    <row r="342" spans="1:14" s="17" customFormat="1" ht="15.75" customHeight="1" x14ac:dyDescent="0.25">
      <c r="A342" s="4">
        <v>341</v>
      </c>
      <c r="B342" s="5" t="s">
        <v>341</v>
      </c>
      <c r="C342" s="6" t="s">
        <v>112</v>
      </c>
      <c r="D342" s="6" t="s">
        <v>1136</v>
      </c>
      <c r="E342" s="6" t="s">
        <v>30</v>
      </c>
      <c r="F342" s="6" t="s">
        <v>569</v>
      </c>
      <c r="G342" s="7">
        <f t="shared" si="5"/>
        <v>530</v>
      </c>
      <c r="H342" s="7">
        <v>70</v>
      </c>
      <c r="I342" s="7">
        <v>100</v>
      </c>
      <c r="J342" s="7">
        <v>190</v>
      </c>
      <c r="K342" s="7">
        <v>60</v>
      </c>
      <c r="L342" s="7">
        <v>60</v>
      </c>
      <c r="M342" s="7">
        <v>50</v>
      </c>
      <c r="N342" s="6"/>
    </row>
    <row r="343" spans="1:14" s="17" customFormat="1" ht="15.75" customHeight="1" x14ac:dyDescent="0.25">
      <c r="A343" s="4">
        <v>342</v>
      </c>
      <c r="B343" s="5" t="s">
        <v>342</v>
      </c>
      <c r="C343" s="6" t="s">
        <v>84</v>
      </c>
      <c r="D343" s="6" t="s">
        <v>92</v>
      </c>
      <c r="E343" s="6" t="s">
        <v>632</v>
      </c>
      <c r="F343" s="6"/>
      <c r="G343" s="7">
        <f t="shared" si="5"/>
        <v>280</v>
      </c>
      <c r="H343" s="7">
        <v>30</v>
      </c>
      <c r="I343" s="7">
        <v>40</v>
      </c>
      <c r="J343" s="7">
        <v>55</v>
      </c>
      <c r="K343" s="7">
        <v>40</v>
      </c>
      <c r="L343" s="7">
        <v>55</v>
      </c>
      <c r="M343" s="7">
        <v>60</v>
      </c>
      <c r="N343" s="6"/>
    </row>
    <row r="344" spans="1:14" s="17" customFormat="1" ht="15.75" customHeight="1" x14ac:dyDescent="0.25">
      <c r="A344" s="4">
        <v>343</v>
      </c>
      <c r="B344" s="5" t="s">
        <v>343</v>
      </c>
      <c r="C344" s="6" t="s">
        <v>84</v>
      </c>
      <c r="D344" s="6" t="s">
        <v>92</v>
      </c>
      <c r="E344" s="6" t="s">
        <v>632</v>
      </c>
      <c r="F344" s="6"/>
      <c r="G344" s="7">
        <f t="shared" si="5"/>
        <v>410</v>
      </c>
      <c r="H344" s="7">
        <v>60</v>
      </c>
      <c r="I344" s="7">
        <v>60</v>
      </c>
      <c r="J344" s="7">
        <v>75</v>
      </c>
      <c r="K344" s="7">
        <v>60</v>
      </c>
      <c r="L344" s="7">
        <v>75</v>
      </c>
      <c r="M344" s="7">
        <v>80</v>
      </c>
      <c r="N344" s="6"/>
    </row>
    <row r="345" spans="1:14" s="17" customFormat="1" ht="15.75" customHeight="1" x14ac:dyDescent="0.25">
      <c r="A345" s="4">
        <v>344</v>
      </c>
      <c r="B345" s="5" t="s">
        <v>344</v>
      </c>
      <c r="C345" s="6" t="s">
        <v>51</v>
      </c>
      <c r="D345" s="6" t="s">
        <v>14</v>
      </c>
      <c r="E345" s="6" t="s">
        <v>545</v>
      </c>
      <c r="F345" s="6" t="s">
        <v>586</v>
      </c>
      <c r="G345" s="7">
        <f t="shared" si="5"/>
        <v>295</v>
      </c>
      <c r="H345" s="7">
        <v>40</v>
      </c>
      <c r="I345" s="7">
        <v>45</v>
      </c>
      <c r="J345" s="7">
        <v>40</v>
      </c>
      <c r="K345" s="7">
        <v>65</v>
      </c>
      <c r="L345" s="7">
        <v>40</v>
      </c>
      <c r="M345" s="7">
        <v>65</v>
      </c>
      <c r="N345" s="6"/>
    </row>
    <row r="346" spans="1:14" s="17" customFormat="1" ht="15.75" customHeight="1" x14ac:dyDescent="0.25">
      <c r="A346" s="4">
        <v>345</v>
      </c>
      <c r="B346" s="5" t="s">
        <v>345</v>
      </c>
      <c r="C346" s="6" t="s">
        <v>51</v>
      </c>
      <c r="D346" s="6" t="s">
        <v>14</v>
      </c>
      <c r="E346" s="6" t="s">
        <v>545</v>
      </c>
      <c r="F346" s="6" t="s">
        <v>586</v>
      </c>
      <c r="G346" s="7">
        <f t="shared" si="5"/>
        <v>475</v>
      </c>
      <c r="H346" s="7">
        <v>70</v>
      </c>
      <c r="I346" s="7">
        <v>75</v>
      </c>
      <c r="J346" s="7">
        <v>60</v>
      </c>
      <c r="K346" s="7">
        <v>105</v>
      </c>
      <c r="L346" s="7">
        <v>60</v>
      </c>
      <c r="M346" s="7">
        <v>105</v>
      </c>
      <c r="N346" s="6"/>
    </row>
    <row r="347" spans="1:14" s="17" customFormat="1" ht="15.75" customHeight="1" x14ac:dyDescent="0.25">
      <c r="A347" s="4">
        <v>346</v>
      </c>
      <c r="B347" s="5" t="s">
        <v>346</v>
      </c>
      <c r="C347" s="6" t="s">
        <v>51</v>
      </c>
      <c r="D347" s="6"/>
      <c r="E347" s="6" t="s">
        <v>633</v>
      </c>
      <c r="F347" s="6"/>
      <c r="G347" s="7">
        <f t="shared" si="5"/>
        <v>405</v>
      </c>
      <c r="H347" s="7">
        <v>60</v>
      </c>
      <c r="I347" s="7">
        <v>50</v>
      </c>
      <c r="J347" s="7">
        <v>40</v>
      </c>
      <c r="K347" s="7">
        <v>85</v>
      </c>
      <c r="L347" s="7">
        <v>75</v>
      </c>
      <c r="M347" s="7">
        <v>95</v>
      </c>
      <c r="N347" s="6"/>
    </row>
    <row r="348" spans="1:14" s="17" customFormat="1" ht="15.75" customHeight="1" x14ac:dyDescent="0.25">
      <c r="A348" s="4">
        <v>347</v>
      </c>
      <c r="B348" s="5" t="s">
        <v>347</v>
      </c>
      <c r="C348" s="6" t="s">
        <v>51</v>
      </c>
      <c r="D348" s="6"/>
      <c r="E348" s="6" t="s">
        <v>634</v>
      </c>
      <c r="F348" s="6"/>
      <c r="G348" s="7">
        <f t="shared" si="5"/>
        <v>405</v>
      </c>
      <c r="H348" s="7">
        <v>60</v>
      </c>
      <c r="I348" s="7">
        <v>40</v>
      </c>
      <c r="J348" s="7">
        <v>50</v>
      </c>
      <c r="K348" s="7">
        <v>75</v>
      </c>
      <c r="L348" s="7">
        <v>85</v>
      </c>
      <c r="M348" s="7">
        <v>95</v>
      </c>
      <c r="N348" s="6"/>
    </row>
    <row r="349" spans="1:14" s="17" customFormat="1" ht="15.75" customHeight="1" x14ac:dyDescent="0.25">
      <c r="A349" s="4">
        <v>348</v>
      </c>
      <c r="B349" s="5" t="s">
        <v>348</v>
      </c>
      <c r="C349" s="6" t="s">
        <v>34</v>
      </c>
      <c r="D349" s="6"/>
      <c r="E349" s="6" t="s">
        <v>634</v>
      </c>
      <c r="F349" s="6" t="s">
        <v>539</v>
      </c>
      <c r="G349" s="7">
        <f t="shared" si="5"/>
        <v>430</v>
      </c>
      <c r="H349" s="7">
        <v>65</v>
      </c>
      <c r="I349" s="7">
        <v>73</v>
      </c>
      <c r="J349" s="7">
        <v>75</v>
      </c>
      <c r="K349" s="7">
        <v>47</v>
      </c>
      <c r="L349" s="7">
        <v>85</v>
      </c>
      <c r="M349" s="7">
        <v>85</v>
      </c>
      <c r="N349" s="6"/>
    </row>
    <row r="350" spans="1:14" s="17" customFormat="1" ht="15.75" customHeight="1" x14ac:dyDescent="0.25">
      <c r="A350" s="4">
        <v>349</v>
      </c>
      <c r="B350" s="5" t="s">
        <v>349</v>
      </c>
      <c r="C350" s="6" t="s">
        <v>34</v>
      </c>
      <c r="D350" s="6"/>
      <c r="E350" s="6" t="s">
        <v>571</v>
      </c>
      <c r="F350" s="6" t="s">
        <v>555</v>
      </c>
      <c r="G350" s="7">
        <f t="shared" si="5"/>
        <v>430</v>
      </c>
      <c r="H350" s="7">
        <v>65</v>
      </c>
      <c r="I350" s="7">
        <v>47</v>
      </c>
      <c r="J350" s="7">
        <v>75</v>
      </c>
      <c r="K350" s="7">
        <v>73</v>
      </c>
      <c r="L350" s="7">
        <v>85</v>
      </c>
      <c r="M350" s="7">
        <v>85</v>
      </c>
      <c r="N350" s="6"/>
    </row>
    <row r="351" spans="1:14" s="17" customFormat="1" ht="15.75" customHeight="1" x14ac:dyDescent="0.25">
      <c r="A351" s="4">
        <v>350</v>
      </c>
      <c r="B351" s="5" t="s">
        <v>441</v>
      </c>
      <c r="C351" s="6" t="s">
        <v>14</v>
      </c>
      <c r="D351" s="6" t="s">
        <v>15</v>
      </c>
      <c r="E351" s="6" t="s">
        <v>590</v>
      </c>
      <c r="F351" s="6" t="s">
        <v>547</v>
      </c>
      <c r="G351" s="7">
        <f t="shared" si="5"/>
        <v>280</v>
      </c>
      <c r="H351" s="7">
        <v>40</v>
      </c>
      <c r="I351" s="7">
        <v>30</v>
      </c>
      <c r="J351" s="7">
        <v>35</v>
      </c>
      <c r="K351" s="7">
        <v>50</v>
      </c>
      <c r="L351" s="7">
        <v>70</v>
      </c>
      <c r="M351" s="7">
        <v>55</v>
      </c>
      <c r="N351" s="6"/>
    </row>
    <row r="352" spans="1:14" s="17" customFormat="1" ht="15.75" customHeight="1" x14ac:dyDescent="0.25">
      <c r="A352" s="4">
        <v>351</v>
      </c>
      <c r="B352" s="5" t="s">
        <v>350</v>
      </c>
      <c r="C352" s="6" t="s">
        <v>14</v>
      </c>
      <c r="D352" s="6" t="s">
        <v>15</v>
      </c>
      <c r="E352" s="6" t="s">
        <v>590</v>
      </c>
      <c r="F352" s="6" t="s">
        <v>547</v>
      </c>
      <c r="G352" s="7">
        <f t="shared" si="5"/>
        <v>400</v>
      </c>
      <c r="H352" s="7">
        <v>50</v>
      </c>
      <c r="I352" s="7">
        <v>60</v>
      </c>
      <c r="J352" s="7">
        <v>45</v>
      </c>
      <c r="K352" s="7">
        <v>100</v>
      </c>
      <c r="L352" s="7">
        <v>80</v>
      </c>
      <c r="M352" s="7">
        <v>65</v>
      </c>
      <c r="N352" s="6"/>
    </row>
    <row r="353" spans="1:14" s="17" customFormat="1" ht="15.75" customHeight="1" x14ac:dyDescent="0.25">
      <c r="A353" s="4">
        <v>352</v>
      </c>
      <c r="B353" s="5" t="s">
        <v>442</v>
      </c>
      <c r="C353" s="6" t="s">
        <v>14</v>
      </c>
      <c r="D353" s="6" t="s">
        <v>15</v>
      </c>
      <c r="E353" s="6" t="s">
        <v>590</v>
      </c>
      <c r="F353" s="6" t="s">
        <v>547</v>
      </c>
      <c r="G353" s="7">
        <f t="shared" si="5"/>
        <v>525</v>
      </c>
      <c r="H353" s="7">
        <v>60</v>
      </c>
      <c r="I353" s="7">
        <v>120</v>
      </c>
      <c r="J353" s="7">
        <v>55</v>
      </c>
      <c r="K353" s="7">
        <v>110</v>
      </c>
      <c r="L353" s="7">
        <v>85</v>
      </c>
      <c r="M353" s="7">
        <v>95</v>
      </c>
      <c r="N353" s="6"/>
    </row>
    <row r="354" spans="1:14" s="17" customFormat="1" ht="15.75" customHeight="1" x14ac:dyDescent="0.25">
      <c r="A354" s="4">
        <v>353</v>
      </c>
      <c r="B354" s="5" t="s">
        <v>351</v>
      </c>
      <c r="C354" s="6" t="s">
        <v>15</v>
      </c>
      <c r="D354" s="6"/>
      <c r="E354" s="6" t="s">
        <v>568</v>
      </c>
      <c r="F354" s="6" t="s">
        <v>578</v>
      </c>
      <c r="G354" s="7">
        <f t="shared" si="5"/>
        <v>302</v>
      </c>
      <c r="H354" s="7">
        <v>70</v>
      </c>
      <c r="I354" s="7">
        <v>43</v>
      </c>
      <c r="J354" s="7">
        <v>53</v>
      </c>
      <c r="K354" s="7">
        <v>43</v>
      </c>
      <c r="L354" s="7">
        <v>53</v>
      </c>
      <c r="M354" s="7">
        <v>40</v>
      </c>
      <c r="N354" s="6"/>
    </row>
    <row r="355" spans="1:14" s="17" customFormat="1" ht="15.75" customHeight="1" x14ac:dyDescent="0.25">
      <c r="A355" s="4">
        <v>354</v>
      </c>
      <c r="B355" s="5" t="s">
        <v>352</v>
      </c>
      <c r="C355" s="6" t="s">
        <v>15</v>
      </c>
      <c r="D355" s="6"/>
      <c r="E355" s="6" t="s">
        <v>568</v>
      </c>
      <c r="F355" s="6" t="s">
        <v>578</v>
      </c>
      <c r="G355" s="7">
        <f t="shared" si="5"/>
        <v>467</v>
      </c>
      <c r="H355" s="7">
        <v>100</v>
      </c>
      <c r="I355" s="7">
        <v>73</v>
      </c>
      <c r="J355" s="7">
        <v>83</v>
      </c>
      <c r="K355" s="7">
        <v>73</v>
      </c>
      <c r="L355" s="7">
        <v>83</v>
      </c>
      <c r="M355" s="7">
        <v>55</v>
      </c>
      <c r="N355" s="6"/>
    </row>
    <row r="356" spans="1:14" s="17" customFormat="1" ht="15.75" customHeight="1" x14ac:dyDescent="0.25">
      <c r="A356" s="4">
        <v>355</v>
      </c>
      <c r="B356" s="5" t="s">
        <v>353</v>
      </c>
      <c r="C356" s="6" t="s">
        <v>28</v>
      </c>
      <c r="D356" s="6" t="s">
        <v>232</v>
      </c>
      <c r="E356" s="6" t="s">
        <v>635</v>
      </c>
      <c r="F356" s="6" t="s">
        <v>612</v>
      </c>
      <c r="G356" s="7">
        <f t="shared" si="5"/>
        <v>305</v>
      </c>
      <c r="H356" s="7">
        <v>45</v>
      </c>
      <c r="I356" s="7">
        <v>90</v>
      </c>
      <c r="J356" s="7">
        <v>20</v>
      </c>
      <c r="K356" s="7">
        <v>65</v>
      </c>
      <c r="L356" s="7">
        <v>20</v>
      </c>
      <c r="M356" s="7">
        <v>65</v>
      </c>
      <c r="N356" s="6"/>
    </row>
    <row r="357" spans="1:14" s="17" customFormat="1" ht="15.75" customHeight="1" x14ac:dyDescent="0.25">
      <c r="A357" s="4">
        <v>356</v>
      </c>
      <c r="B357" s="5" t="s">
        <v>354</v>
      </c>
      <c r="C357" s="6" t="s">
        <v>28</v>
      </c>
      <c r="D357" s="6" t="s">
        <v>232</v>
      </c>
      <c r="E357" s="6" t="s">
        <v>635</v>
      </c>
      <c r="F357" s="6" t="s">
        <v>612</v>
      </c>
      <c r="G357" s="7">
        <f t="shared" si="5"/>
        <v>460</v>
      </c>
      <c r="H357" s="7">
        <v>70</v>
      </c>
      <c r="I357" s="7">
        <v>120</v>
      </c>
      <c r="J357" s="7">
        <v>40</v>
      </c>
      <c r="K357" s="7">
        <v>95</v>
      </c>
      <c r="L357" s="7">
        <v>40</v>
      </c>
      <c r="M357" s="7">
        <v>95</v>
      </c>
      <c r="N357" s="6"/>
    </row>
    <row r="358" spans="1:14" s="17" customFormat="1" ht="15.75" customHeight="1" x14ac:dyDescent="0.25">
      <c r="A358" s="4">
        <v>357</v>
      </c>
      <c r="B358" s="5" t="s">
        <v>355</v>
      </c>
      <c r="C358" s="6" t="s">
        <v>28</v>
      </c>
      <c r="D358" s="6"/>
      <c r="E358" s="6" t="s">
        <v>596</v>
      </c>
      <c r="F358" s="6" t="s">
        <v>571</v>
      </c>
      <c r="G358" s="7">
        <f t="shared" si="5"/>
        <v>400</v>
      </c>
      <c r="H358" s="7">
        <v>150</v>
      </c>
      <c r="I358" s="7">
        <v>70</v>
      </c>
      <c r="J358" s="7">
        <v>35</v>
      </c>
      <c r="K358" s="7">
        <v>70</v>
      </c>
      <c r="L358" s="7">
        <v>35</v>
      </c>
      <c r="M358" s="7">
        <v>40</v>
      </c>
      <c r="N358" s="6"/>
    </row>
    <row r="359" spans="1:14" s="17" customFormat="1" ht="15.75" customHeight="1" x14ac:dyDescent="0.25">
      <c r="A359" s="4">
        <v>358</v>
      </c>
      <c r="B359" s="5" t="s">
        <v>356</v>
      </c>
      <c r="C359" s="6" t="s">
        <v>28</v>
      </c>
      <c r="D359" s="6"/>
      <c r="E359" s="6" t="s">
        <v>596</v>
      </c>
      <c r="F359" s="6" t="s">
        <v>571</v>
      </c>
      <c r="G359" s="7">
        <f t="shared" si="5"/>
        <v>520</v>
      </c>
      <c r="H359" s="7">
        <v>190</v>
      </c>
      <c r="I359" s="7">
        <v>90</v>
      </c>
      <c r="J359" s="7">
        <v>45</v>
      </c>
      <c r="K359" s="7">
        <v>90</v>
      </c>
      <c r="L359" s="7">
        <v>45</v>
      </c>
      <c r="M359" s="7">
        <v>60</v>
      </c>
      <c r="N359" s="6"/>
    </row>
    <row r="360" spans="1:14" s="17" customFormat="1" ht="15.75" customHeight="1" x14ac:dyDescent="0.25">
      <c r="A360" s="4">
        <v>359</v>
      </c>
      <c r="B360" s="5" t="s">
        <v>357</v>
      </c>
      <c r="C360" s="6" t="s">
        <v>21</v>
      </c>
      <c r="D360" s="6" t="s">
        <v>54</v>
      </c>
      <c r="E360" s="6" t="s">
        <v>636</v>
      </c>
      <c r="F360" s="6" t="s">
        <v>571</v>
      </c>
      <c r="G360" s="7">
        <f t="shared" si="5"/>
        <v>305</v>
      </c>
      <c r="H360" s="7">
        <v>60</v>
      </c>
      <c r="I360" s="7">
        <v>60</v>
      </c>
      <c r="J360" s="7">
        <v>40</v>
      </c>
      <c r="K360" s="7">
        <v>65</v>
      </c>
      <c r="L360" s="7">
        <v>45</v>
      </c>
      <c r="M360" s="7">
        <v>35</v>
      </c>
      <c r="N360" s="6"/>
    </row>
    <row r="361" spans="1:14" s="17" customFormat="1" ht="15.75" customHeight="1" x14ac:dyDescent="0.25">
      <c r="A361" s="4">
        <v>360</v>
      </c>
      <c r="B361" s="5" t="s">
        <v>358</v>
      </c>
      <c r="C361" s="6" t="s">
        <v>21</v>
      </c>
      <c r="D361" s="6" t="s">
        <v>54</v>
      </c>
      <c r="E361" s="6" t="s">
        <v>618</v>
      </c>
      <c r="F361" s="6" t="s">
        <v>599</v>
      </c>
      <c r="G361" s="7">
        <f t="shared" si="5"/>
        <v>460</v>
      </c>
      <c r="H361" s="7">
        <v>70</v>
      </c>
      <c r="I361" s="7">
        <v>100</v>
      </c>
      <c r="J361" s="7">
        <v>70</v>
      </c>
      <c r="K361" s="7">
        <v>105</v>
      </c>
      <c r="L361" s="7">
        <v>75</v>
      </c>
      <c r="M361" s="7">
        <v>40</v>
      </c>
      <c r="N361" s="6"/>
    </row>
    <row r="362" spans="1:14" s="17" customFormat="1" ht="15.75" customHeight="1" x14ac:dyDescent="0.25">
      <c r="A362" s="4">
        <v>361</v>
      </c>
      <c r="B362" s="5" t="s">
        <v>359</v>
      </c>
      <c r="C362" s="6" t="s">
        <v>21</v>
      </c>
      <c r="D362" s="6"/>
      <c r="E362" s="6" t="s">
        <v>638</v>
      </c>
      <c r="F362" s="6" t="s">
        <v>23</v>
      </c>
      <c r="G362" s="7">
        <f t="shared" si="5"/>
        <v>470</v>
      </c>
      <c r="H362" s="7">
        <v>70</v>
      </c>
      <c r="I362" s="7">
        <v>85</v>
      </c>
      <c r="J362" s="7">
        <v>140</v>
      </c>
      <c r="K362" s="7">
        <v>85</v>
      </c>
      <c r="L362" s="7">
        <v>70</v>
      </c>
      <c r="M362" s="7">
        <v>20</v>
      </c>
      <c r="N362" s="6"/>
    </row>
    <row r="363" spans="1:14" s="17" customFormat="1" ht="15.75" customHeight="1" x14ac:dyDescent="0.25">
      <c r="A363" s="4">
        <v>362</v>
      </c>
      <c r="B363" s="5" t="s">
        <v>360</v>
      </c>
      <c r="C363" s="6" t="s">
        <v>92</v>
      </c>
      <c r="D363" s="6" t="s">
        <v>232</v>
      </c>
      <c r="E363" s="6" t="s">
        <v>575</v>
      </c>
      <c r="F363" s="6" t="s">
        <v>572</v>
      </c>
      <c r="G363" s="7">
        <f t="shared" si="5"/>
        <v>330</v>
      </c>
      <c r="H363" s="7">
        <v>60</v>
      </c>
      <c r="I363" s="7">
        <v>25</v>
      </c>
      <c r="J363" s="7">
        <v>35</v>
      </c>
      <c r="K363" s="7">
        <v>70</v>
      </c>
      <c r="L363" s="7">
        <v>80</v>
      </c>
      <c r="M363" s="7">
        <v>60</v>
      </c>
      <c r="N363" s="6"/>
    </row>
    <row r="364" spans="1:14" s="17" customFormat="1" ht="15.75" customHeight="1" x14ac:dyDescent="0.25">
      <c r="A364" s="4">
        <v>363</v>
      </c>
      <c r="B364" s="5" t="s">
        <v>361</v>
      </c>
      <c r="C364" s="6" t="s">
        <v>92</v>
      </c>
      <c r="D364" s="6" t="s">
        <v>232</v>
      </c>
      <c r="E364" s="6" t="s">
        <v>575</v>
      </c>
      <c r="F364" s="6" t="s">
        <v>572</v>
      </c>
      <c r="G364" s="7">
        <f t="shared" si="5"/>
        <v>470</v>
      </c>
      <c r="H364" s="7">
        <v>80</v>
      </c>
      <c r="I364" s="7">
        <v>45</v>
      </c>
      <c r="J364" s="7">
        <v>65</v>
      </c>
      <c r="K364" s="7">
        <v>90</v>
      </c>
      <c r="L364" s="7">
        <v>110</v>
      </c>
      <c r="M364" s="7">
        <v>80</v>
      </c>
      <c r="N364" s="6"/>
    </row>
    <row r="365" spans="1:14" s="17" customFormat="1" ht="15.75" customHeight="1" x14ac:dyDescent="0.25">
      <c r="A365" s="4">
        <v>364</v>
      </c>
      <c r="B365" s="5" t="s">
        <v>362</v>
      </c>
      <c r="C365" s="6" t="s">
        <v>41</v>
      </c>
      <c r="D365" s="6"/>
      <c r="E365" s="6" t="s">
        <v>572</v>
      </c>
      <c r="F365" s="6" t="s">
        <v>541</v>
      </c>
      <c r="G365" s="7">
        <f t="shared" si="5"/>
        <v>360</v>
      </c>
      <c r="H365" s="7">
        <v>60</v>
      </c>
      <c r="I365" s="7">
        <v>60</v>
      </c>
      <c r="J365" s="7">
        <v>60</v>
      </c>
      <c r="K365" s="7">
        <v>60</v>
      </c>
      <c r="L365" s="7">
        <v>60</v>
      </c>
      <c r="M365" s="7">
        <v>60</v>
      </c>
      <c r="N365" s="6"/>
    </row>
    <row r="366" spans="1:14" s="17" customFormat="1" ht="15.75" customHeight="1" x14ac:dyDescent="0.25">
      <c r="A366" s="4">
        <v>365</v>
      </c>
      <c r="B366" s="5" t="s">
        <v>363</v>
      </c>
      <c r="C366" s="6" t="s">
        <v>54</v>
      </c>
      <c r="D366" s="6"/>
      <c r="E366" s="6" t="s">
        <v>584</v>
      </c>
      <c r="F366" s="6" t="s">
        <v>556</v>
      </c>
      <c r="G366" s="7">
        <f t="shared" si="5"/>
        <v>290</v>
      </c>
      <c r="H366" s="7">
        <v>45</v>
      </c>
      <c r="I366" s="7">
        <v>100</v>
      </c>
      <c r="J366" s="7">
        <v>45</v>
      </c>
      <c r="K366" s="7">
        <v>45</v>
      </c>
      <c r="L366" s="7">
        <v>45</v>
      </c>
      <c r="M366" s="7">
        <v>10</v>
      </c>
      <c r="N366" s="6"/>
    </row>
    <row r="367" spans="1:14" s="17" customFormat="1" ht="15.75" customHeight="1" x14ac:dyDescent="0.25">
      <c r="A367" s="4">
        <v>366</v>
      </c>
      <c r="B367" s="5" t="s">
        <v>364</v>
      </c>
      <c r="C367" s="6" t="s">
        <v>54</v>
      </c>
      <c r="D367" s="6" t="s">
        <v>181</v>
      </c>
      <c r="E367" s="6" t="s">
        <v>581</v>
      </c>
      <c r="F367" s="6"/>
      <c r="G367" s="7">
        <f t="shared" si="5"/>
        <v>340</v>
      </c>
      <c r="H367" s="7">
        <v>50</v>
      </c>
      <c r="I367" s="7">
        <v>70</v>
      </c>
      <c r="J367" s="7">
        <v>50</v>
      </c>
      <c r="K367" s="7">
        <v>50</v>
      </c>
      <c r="L367" s="7">
        <v>50</v>
      </c>
      <c r="M367" s="7">
        <v>70</v>
      </c>
      <c r="N367" s="6"/>
    </row>
    <row r="368" spans="1:14" s="17" customFormat="1" ht="15.75" customHeight="1" x14ac:dyDescent="0.25">
      <c r="A368" s="4">
        <v>367</v>
      </c>
      <c r="B368" s="5" t="s">
        <v>365</v>
      </c>
      <c r="C368" s="6" t="s">
        <v>54</v>
      </c>
      <c r="D368" s="6" t="s">
        <v>181</v>
      </c>
      <c r="E368" s="6" t="s">
        <v>581</v>
      </c>
      <c r="F368" s="6" t="s">
        <v>623</v>
      </c>
      <c r="G368" s="7">
        <f t="shared" si="5"/>
        <v>520</v>
      </c>
      <c r="H368" s="7">
        <v>80</v>
      </c>
      <c r="I368" s="7">
        <v>60</v>
      </c>
      <c r="J368" s="7">
        <v>80</v>
      </c>
      <c r="K368" s="7">
        <v>100</v>
      </c>
      <c r="L368" s="7">
        <v>100</v>
      </c>
      <c r="M368" s="7">
        <v>100</v>
      </c>
      <c r="N368" s="6"/>
    </row>
    <row r="369" spans="1:15" s="17" customFormat="1" ht="15.75" customHeight="1" x14ac:dyDescent="0.25">
      <c r="A369" s="4">
        <v>368</v>
      </c>
      <c r="B369" s="5" t="s">
        <v>366</v>
      </c>
      <c r="C369" s="6" t="s">
        <v>14</v>
      </c>
      <c r="D369" s="6"/>
      <c r="E369" s="6" t="s">
        <v>546</v>
      </c>
      <c r="F369" s="6"/>
      <c r="G369" s="7">
        <f t="shared" si="5"/>
        <v>335</v>
      </c>
      <c r="H369" s="7">
        <v>50</v>
      </c>
      <c r="I369" s="7">
        <v>85</v>
      </c>
      <c r="J369" s="7">
        <v>40</v>
      </c>
      <c r="K369" s="7">
        <v>85</v>
      </c>
      <c r="L369" s="7">
        <v>40</v>
      </c>
      <c r="M369" s="7">
        <v>35</v>
      </c>
      <c r="N369" s="6"/>
      <c r="O369" s="6"/>
    </row>
    <row r="370" spans="1:15" s="17" customFormat="1" ht="15.75" customHeight="1" x14ac:dyDescent="0.25">
      <c r="A370" s="4">
        <v>369</v>
      </c>
      <c r="B370" s="5" t="s">
        <v>367</v>
      </c>
      <c r="C370" s="6" t="s">
        <v>14</v>
      </c>
      <c r="D370" s="6" t="s">
        <v>232</v>
      </c>
      <c r="E370" s="6" t="s">
        <v>546</v>
      </c>
      <c r="F370" s="6"/>
      <c r="G370" s="7">
        <f t="shared" si="5"/>
        <v>475</v>
      </c>
      <c r="H370" s="7">
        <v>70</v>
      </c>
      <c r="I370" s="7">
        <v>115</v>
      </c>
      <c r="J370" s="7">
        <v>60</v>
      </c>
      <c r="K370" s="7">
        <v>115</v>
      </c>
      <c r="L370" s="7">
        <v>60</v>
      </c>
      <c r="M370" s="7">
        <v>55</v>
      </c>
      <c r="N370" s="6"/>
    </row>
    <row r="371" spans="1:15" s="17" customFormat="1" ht="15.75" customHeight="1" x14ac:dyDescent="0.25">
      <c r="A371" s="4">
        <v>370</v>
      </c>
      <c r="B371" s="5" t="s">
        <v>368</v>
      </c>
      <c r="C371" s="6" t="s">
        <v>41</v>
      </c>
      <c r="D371" s="6" t="s">
        <v>1136</v>
      </c>
      <c r="E371" s="6" t="s">
        <v>590</v>
      </c>
      <c r="F371" s="6" t="s">
        <v>561</v>
      </c>
      <c r="G371" s="7">
        <f t="shared" si="5"/>
        <v>310</v>
      </c>
      <c r="H371" s="7">
        <v>45</v>
      </c>
      <c r="I371" s="7">
        <v>40</v>
      </c>
      <c r="J371" s="7">
        <v>60</v>
      </c>
      <c r="K371" s="7">
        <v>40</v>
      </c>
      <c r="L371" s="7">
        <v>75</v>
      </c>
      <c r="M371" s="7">
        <v>50</v>
      </c>
      <c r="N371" s="6"/>
    </row>
    <row r="372" spans="1:15" s="17" customFormat="1" ht="15.75" customHeight="1" x14ac:dyDescent="0.25">
      <c r="A372" s="4">
        <v>371</v>
      </c>
      <c r="B372" s="5" t="s">
        <v>369</v>
      </c>
      <c r="C372" s="6" t="s">
        <v>181</v>
      </c>
      <c r="D372" s="6" t="s">
        <v>1136</v>
      </c>
      <c r="E372" s="6" t="s">
        <v>590</v>
      </c>
      <c r="F372" s="6" t="s">
        <v>561</v>
      </c>
      <c r="G372" s="7">
        <f t="shared" si="5"/>
        <v>490</v>
      </c>
      <c r="H372" s="7">
        <v>75</v>
      </c>
      <c r="I372" s="7">
        <v>70</v>
      </c>
      <c r="J372" s="7">
        <v>90</v>
      </c>
      <c r="K372" s="7">
        <v>70</v>
      </c>
      <c r="L372" s="7">
        <v>105</v>
      </c>
      <c r="M372" s="7">
        <v>80</v>
      </c>
      <c r="N372" s="6"/>
    </row>
    <row r="373" spans="1:15" s="17" customFormat="1" ht="15.75" customHeight="1" x14ac:dyDescent="0.25">
      <c r="A373" s="4">
        <v>372</v>
      </c>
      <c r="B373" s="5" t="s">
        <v>370</v>
      </c>
      <c r="C373" s="6" t="s">
        <v>41</v>
      </c>
      <c r="D373" s="6"/>
      <c r="E373" s="6" t="s">
        <v>606</v>
      </c>
      <c r="F373" s="6"/>
      <c r="G373" s="7">
        <f t="shared" si="5"/>
        <v>458</v>
      </c>
      <c r="H373" s="7">
        <v>73</v>
      </c>
      <c r="I373" s="7">
        <v>115</v>
      </c>
      <c r="J373" s="7">
        <v>60</v>
      </c>
      <c r="K373" s="7">
        <v>60</v>
      </c>
      <c r="L373" s="7">
        <v>60</v>
      </c>
      <c r="M373" s="7">
        <v>90</v>
      </c>
      <c r="N373" s="6"/>
    </row>
    <row r="374" spans="1:15" s="17" customFormat="1" ht="15.75" customHeight="1" x14ac:dyDescent="0.25">
      <c r="A374" s="4">
        <v>373</v>
      </c>
      <c r="B374" s="5" t="s">
        <v>371</v>
      </c>
      <c r="C374" s="6" t="s">
        <v>15</v>
      </c>
      <c r="D374" s="6"/>
      <c r="E374" s="6" t="s">
        <v>537</v>
      </c>
      <c r="F374" s="6"/>
      <c r="G374" s="7">
        <f t="shared" si="5"/>
        <v>458</v>
      </c>
      <c r="H374" s="7">
        <v>73</v>
      </c>
      <c r="I374" s="7">
        <v>100</v>
      </c>
      <c r="J374" s="7">
        <v>60</v>
      </c>
      <c r="K374" s="7">
        <v>100</v>
      </c>
      <c r="L374" s="7">
        <v>60</v>
      </c>
      <c r="M374" s="7">
        <v>65</v>
      </c>
      <c r="N374" s="6"/>
    </row>
    <row r="375" spans="1:15" s="17" customFormat="1" ht="15.75" customHeight="1" x14ac:dyDescent="0.25">
      <c r="A375" s="4">
        <v>374</v>
      </c>
      <c r="B375" s="5" t="s">
        <v>372</v>
      </c>
      <c r="C375" s="6" t="s">
        <v>104</v>
      </c>
      <c r="D375" s="6" t="s">
        <v>92</v>
      </c>
      <c r="E375" s="6" t="s">
        <v>581</v>
      </c>
      <c r="F375" s="6"/>
      <c r="G375" s="7">
        <f t="shared" si="5"/>
        <v>460</v>
      </c>
      <c r="H375" s="7">
        <v>90</v>
      </c>
      <c r="I375" s="7">
        <v>55</v>
      </c>
      <c r="J375" s="7">
        <v>65</v>
      </c>
      <c r="K375" s="7">
        <v>95</v>
      </c>
      <c r="L375" s="7">
        <v>85</v>
      </c>
      <c r="M375" s="7">
        <v>70</v>
      </c>
      <c r="N375" s="6"/>
    </row>
    <row r="376" spans="1:15" s="17" customFormat="1" ht="15.75" customHeight="1" x14ac:dyDescent="0.25">
      <c r="A376" s="4">
        <v>375</v>
      </c>
      <c r="B376" s="5" t="s">
        <v>373</v>
      </c>
      <c r="C376" s="6" t="s">
        <v>104</v>
      </c>
      <c r="D376" s="6" t="s">
        <v>21</v>
      </c>
      <c r="E376" s="6" t="s">
        <v>581</v>
      </c>
      <c r="F376" s="6"/>
      <c r="G376" s="7">
        <f t="shared" si="5"/>
        <v>460</v>
      </c>
      <c r="H376" s="7">
        <v>90</v>
      </c>
      <c r="I376" s="7">
        <v>95</v>
      </c>
      <c r="J376" s="7">
        <v>85</v>
      </c>
      <c r="K376" s="7">
        <v>55</v>
      </c>
      <c r="L376" s="7">
        <v>65</v>
      </c>
      <c r="M376" s="7">
        <v>70</v>
      </c>
      <c r="N376" s="6"/>
    </row>
    <row r="377" spans="1:15" s="17" customFormat="1" ht="15.75" customHeight="1" x14ac:dyDescent="0.25">
      <c r="A377" s="4">
        <v>376</v>
      </c>
      <c r="B377" s="5" t="s">
        <v>374</v>
      </c>
      <c r="C377" s="6" t="s">
        <v>51</v>
      </c>
      <c r="D377" s="6" t="s">
        <v>54</v>
      </c>
      <c r="E377" s="6" t="s">
        <v>571</v>
      </c>
      <c r="F377" s="6" t="s">
        <v>639</v>
      </c>
      <c r="G377" s="7">
        <f t="shared" si="5"/>
        <v>288</v>
      </c>
      <c r="H377" s="7">
        <v>50</v>
      </c>
      <c r="I377" s="7">
        <v>48</v>
      </c>
      <c r="J377" s="7">
        <v>43</v>
      </c>
      <c r="K377" s="7">
        <v>46</v>
      </c>
      <c r="L377" s="7">
        <v>41</v>
      </c>
      <c r="M377" s="7">
        <v>60</v>
      </c>
      <c r="N377" s="6"/>
    </row>
    <row r="378" spans="1:15" s="17" customFormat="1" ht="15.75" customHeight="1" x14ac:dyDescent="0.25">
      <c r="A378" s="4">
        <v>377</v>
      </c>
      <c r="B378" s="5" t="s">
        <v>375</v>
      </c>
      <c r="C378" s="6" t="s">
        <v>51</v>
      </c>
      <c r="D378" s="6" t="s">
        <v>54</v>
      </c>
      <c r="E378" s="6" t="s">
        <v>571</v>
      </c>
      <c r="F378" s="6" t="s">
        <v>639</v>
      </c>
      <c r="G378" s="7">
        <f t="shared" si="5"/>
        <v>468</v>
      </c>
      <c r="H378" s="7">
        <v>110</v>
      </c>
      <c r="I378" s="7">
        <v>78</v>
      </c>
      <c r="J378" s="7">
        <v>73</v>
      </c>
      <c r="K378" s="7">
        <v>76</v>
      </c>
      <c r="L378" s="7">
        <v>71</v>
      </c>
      <c r="M378" s="7">
        <v>60</v>
      </c>
      <c r="N378" s="6"/>
    </row>
    <row r="379" spans="1:15" s="17" customFormat="1" ht="15.75" customHeight="1" x14ac:dyDescent="0.25">
      <c r="A379" s="4">
        <v>378</v>
      </c>
      <c r="B379" s="5" t="s">
        <v>376</v>
      </c>
      <c r="C379" s="6" t="s">
        <v>28</v>
      </c>
      <c r="D379" s="6"/>
      <c r="E379" s="6" t="s">
        <v>584</v>
      </c>
      <c r="F379" s="6" t="s">
        <v>579</v>
      </c>
      <c r="G379" s="7">
        <f t="shared" si="5"/>
        <v>308</v>
      </c>
      <c r="H379" s="7">
        <v>43</v>
      </c>
      <c r="I379" s="7">
        <v>80</v>
      </c>
      <c r="J379" s="7">
        <v>65</v>
      </c>
      <c r="K379" s="7">
        <v>50</v>
      </c>
      <c r="L379" s="7">
        <v>35</v>
      </c>
      <c r="M379" s="7">
        <v>35</v>
      </c>
      <c r="N379" s="6"/>
    </row>
    <row r="380" spans="1:15" s="17" customFormat="1" ht="15.75" customHeight="1" x14ac:dyDescent="0.25">
      <c r="A380" s="4">
        <v>379</v>
      </c>
      <c r="B380" s="5" t="s">
        <v>377</v>
      </c>
      <c r="C380" s="6" t="s">
        <v>28</v>
      </c>
      <c r="D380" s="6" t="s">
        <v>232</v>
      </c>
      <c r="E380" s="6" t="s">
        <v>584</v>
      </c>
      <c r="F380" s="6" t="s">
        <v>579</v>
      </c>
      <c r="G380" s="7">
        <f t="shared" si="5"/>
        <v>468</v>
      </c>
      <c r="H380" s="7">
        <v>63</v>
      </c>
      <c r="I380" s="7">
        <v>120</v>
      </c>
      <c r="J380" s="7">
        <v>85</v>
      </c>
      <c r="K380" s="7">
        <v>90</v>
      </c>
      <c r="L380" s="7">
        <v>55</v>
      </c>
      <c r="M380" s="7">
        <v>55</v>
      </c>
      <c r="N380" s="6"/>
    </row>
    <row r="381" spans="1:15" s="17" customFormat="1" ht="15.75" customHeight="1" x14ac:dyDescent="0.25">
      <c r="A381" s="4">
        <v>380</v>
      </c>
      <c r="B381" s="5" t="s">
        <v>378</v>
      </c>
      <c r="C381" s="6" t="s">
        <v>54</v>
      </c>
      <c r="D381" s="6" t="s">
        <v>92</v>
      </c>
      <c r="E381" s="6" t="s">
        <v>581</v>
      </c>
      <c r="F381" s="6"/>
      <c r="G381" s="7">
        <f t="shared" si="5"/>
        <v>300</v>
      </c>
      <c r="H381" s="7">
        <v>40</v>
      </c>
      <c r="I381" s="7">
        <v>40</v>
      </c>
      <c r="J381" s="7">
        <v>55</v>
      </c>
      <c r="K381" s="7">
        <v>40</v>
      </c>
      <c r="L381" s="7">
        <v>70</v>
      </c>
      <c r="M381" s="7">
        <v>55</v>
      </c>
      <c r="N381" s="6"/>
    </row>
    <row r="382" spans="1:15" s="17" customFormat="1" ht="15.75" customHeight="1" x14ac:dyDescent="0.25">
      <c r="A382" s="4">
        <v>381</v>
      </c>
      <c r="B382" s="5" t="s">
        <v>379</v>
      </c>
      <c r="C382" s="6" t="s">
        <v>54</v>
      </c>
      <c r="D382" s="6" t="s">
        <v>92</v>
      </c>
      <c r="E382" s="6" t="s">
        <v>581</v>
      </c>
      <c r="F382" s="6"/>
      <c r="G382" s="7">
        <f t="shared" si="5"/>
        <v>500</v>
      </c>
      <c r="H382" s="7">
        <v>60</v>
      </c>
      <c r="I382" s="7">
        <v>70</v>
      </c>
      <c r="J382" s="7">
        <v>105</v>
      </c>
      <c r="K382" s="7">
        <v>70</v>
      </c>
      <c r="L382" s="7">
        <v>120</v>
      </c>
      <c r="M382" s="7">
        <v>75</v>
      </c>
      <c r="N382" s="6"/>
    </row>
    <row r="383" spans="1:15" s="17" customFormat="1" ht="15.75" customHeight="1" x14ac:dyDescent="0.25">
      <c r="A383" s="4">
        <v>382</v>
      </c>
      <c r="B383" s="5" t="s">
        <v>380</v>
      </c>
      <c r="C383" s="6" t="s">
        <v>104</v>
      </c>
      <c r="D383" s="6" t="s">
        <v>14</v>
      </c>
      <c r="E383" s="6" t="s">
        <v>620</v>
      </c>
      <c r="F383" s="6"/>
      <c r="G383" s="7">
        <f t="shared" si="5"/>
        <v>355</v>
      </c>
      <c r="H383" s="7">
        <v>66</v>
      </c>
      <c r="I383" s="7">
        <v>41</v>
      </c>
      <c r="J383" s="7">
        <v>77</v>
      </c>
      <c r="K383" s="7">
        <v>61</v>
      </c>
      <c r="L383" s="7">
        <v>87</v>
      </c>
      <c r="M383" s="7">
        <v>23</v>
      </c>
      <c r="N383" s="6"/>
    </row>
    <row r="384" spans="1:15" s="17" customFormat="1" ht="15.75" customHeight="1" x14ac:dyDescent="0.25">
      <c r="A384" s="4">
        <v>383</v>
      </c>
      <c r="B384" s="5" t="s">
        <v>381</v>
      </c>
      <c r="C384" s="6" t="s">
        <v>104</v>
      </c>
      <c r="D384" s="6" t="s">
        <v>14</v>
      </c>
      <c r="E384" s="6" t="s">
        <v>620</v>
      </c>
      <c r="F384" s="6"/>
      <c r="G384" s="7">
        <f t="shared" si="5"/>
        <v>495</v>
      </c>
      <c r="H384" s="7">
        <v>86</v>
      </c>
      <c r="I384" s="7">
        <v>81</v>
      </c>
      <c r="J384" s="7">
        <v>97</v>
      </c>
      <c r="K384" s="7">
        <v>81</v>
      </c>
      <c r="L384" s="7">
        <v>107</v>
      </c>
      <c r="M384" s="7">
        <v>43</v>
      </c>
      <c r="N384" s="6"/>
    </row>
    <row r="385" spans="1:14" s="17" customFormat="1" ht="15.75" customHeight="1" x14ac:dyDescent="0.25">
      <c r="A385" s="4">
        <v>384</v>
      </c>
      <c r="B385" s="5" t="s">
        <v>382</v>
      </c>
      <c r="C385" s="6" t="s">
        <v>104</v>
      </c>
      <c r="D385" s="6" t="s">
        <v>14</v>
      </c>
      <c r="E385" s="6" t="s">
        <v>604</v>
      </c>
      <c r="F385" s="6"/>
      <c r="G385" s="7">
        <f t="shared" si="5"/>
        <v>355</v>
      </c>
      <c r="H385" s="7">
        <v>45</v>
      </c>
      <c r="I385" s="7">
        <v>95</v>
      </c>
      <c r="J385" s="7">
        <v>50</v>
      </c>
      <c r="K385" s="7">
        <v>40</v>
      </c>
      <c r="L385" s="7">
        <v>50</v>
      </c>
      <c r="M385" s="7">
        <v>75</v>
      </c>
      <c r="N385" s="6"/>
    </row>
    <row r="386" spans="1:14" s="17" customFormat="1" ht="15.75" customHeight="1" x14ac:dyDescent="0.25">
      <c r="A386" s="4">
        <v>385</v>
      </c>
      <c r="B386" s="5" t="s">
        <v>383</v>
      </c>
      <c r="C386" s="6" t="s">
        <v>104</v>
      </c>
      <c r="D386" s="6" t="s">
        <v>14</v>
      </c>
      <c r="E386" s="6" t="s">
        <v>604</v>
      </c>
      <c r="F386" s="6"/>
      <c r="G386" s="7">
        <f t="shared" ref="G386:G449" si="6">SUM(H386:M386)</f>
        <v>495</v>
      </c>
      <c r="H386" s="7">
        <v>75</v>
      </c>
      <c r="I386" s="7">
        <v>125</v>
      </c>
      <c r="J386" s="7">
        <v>100</v>
      </c>
      <c r="K386" s="7">
        <v>70</v>
      </c>
      <c r="L386" s="7">
        <v>80</v>
      </c>
      <c r="M386" s="7">
        <v>45</v>
      </c>
      <c r="N386" s="6"/>
    </row>
    <row r="387" spans="1:14" s="17" customFormat="1" ht="15.75" customHeight="1" x14ac:dyDescent="0.25">
      <c r="A387" s="4">
        <v>386</v>
      </c>
      <c r="B387" s="5" t="s">
        <v>384</v>
      </c>
      <c r="C387" s="6" t="s">
        <v>28</v>
      </c>
      <c r="D387" s="6"/>
      <c r="E387" s="6" t="s">
        <v>594</v>
      </c>
      <c r="F387" s="6"/>
      <c r="G387" s="7">
        <f t="shared" si="6"/>
        <v>200</v>
      </c>
      <c r="H387" s="7">
        <v>20</v>
      </c>
      <c r="I387" s="7">
        <v>15</v>
      </c>
      <c r="J387" s="7">
        <v>20</v>
      </c>
      <c r="K387" s="7">
        <v>10</v>
      </c>
      <c r="L387" s="7">
        <v>55</v>
      </c>
      <c r="M387" s="7">
        <v>80</v>
      </c>
      <c r="N387" s="6"/>
    </row>
    <row r="388" spans="1:14" s="17" customFormat="1" ht="15.75" customHeight="1" x14ac:dyDescent="0.25">
      <c r="A388" s="4">
        <v>387</v>
      </c>
      <c r="B388" s="5" t="s">
        <v>385</v>
      </c>
      <c r="C388" s="6" t="s">
        <v>28</v>
      </c>
      <c r="D388" s="6" t="s">
        <v>181</v>
      </c>
      <c r="E388" s="6" t="s">
        <v>640</v>
      </c>
      <c r="F388" s="6"/>
      <c r="G388" s="7">
        <f t="shared" si="6"/>
        <v>540</v>
      </c>
      <c r="H388" s="7">
        <v>95</v>
      </c>
      <c r="I388" s="7">
        <v>60</v>
      </c>
      <c r="J388" s="7">
        <v>79</v>
      </c>
      <c r="K388" s="7">
        <v>100</v>
      </c>
      <c r="L388" s="7">
        <v>125</v>
      </c>
      <c r="M388" s="7">
        <v>81</v>
      </c>
      <c r="N388" s="6"/>
    </row>
    <row r="389" spans="1:14" s="17" customFormat="1" ht="15.75" customHeight="1" x14ac:dyDescent="0.25">
      <c r="A389" s="4">
        <v>388</v>
      </c>
      <c r="B389" s="5" t="s">
        <v>386</v>
      </c>
      <c r="C389" s="6" t="s">
        <v>41</v>
      </c>
      <c r="D389" s="6"/>
      <c r="E389" s="6" t="s">
        <v>641</v>
      </c>
      <c r="F389" s="6"/>
      <c r="G389" s="7">
        <f t="shared" si="6"/>
        <v>420</v>
      </c>
      <c r="H389" s="7">
        <v>70</v>
      </c>
      <c r="I389" s="7">
        <v>70</v>
      </c>
      <c r="J389" s="7">
        <v>70</v>
      </c>
      <c r="K389" s="7">
        <v>70</v>
      </c>
      <c r="L389" s="7">
        <v>70</v>
      </c>
      <c r="M389" s="7">
        <v>70</v>
      </c>
      <c r="N389" s="6"/>
    </row>
    <row r="390" spans="1:14" s="17" customFormat="1" ht="15.75" customHeight="1" x14ac:dyDescent="0.25">
      <c r="A390" s="4">
        <v>389</v>
      </c>
      <c r="B390" s="5" t="s">
        <v>387</v>
      </c>
      <c r="C390" s="6" t="s">
        <v>41</v>
      </c>
      <c r="D390" s="6" t="s">
        <v>125</v>
      </c>
      <c r="E390" s="6" t="s">
        <v>642</v>
      </c>
      <c r="F390" s="6" t="s">
        <v>1134</v>
      </c>
      <c r="G390" s="7">
        <f t="shared" si="6"/>
        <v>440</v>
      </c>
      <c r="H390" s="7">
        <v>60</v>
      </c>
      <c r="I390" s="7">
        <v>90</v>
      </c>
      <c r="J390" s="7">
        <v>70</v>
      </c>
      <c r="K390" s="7">
        <v>60</v>
      </c>
      <c r="L390" s="7">
        <v>120</v>
      </c>
      <c r="M390" s="7">
        <v>40</v>
      </c>
      <c r="N390" s="6"/>
    </row>
    <row r="391" spans="1:14" s="17" customFormat="1" ht="15.75" customHeight="1" x14ac:dyDescent="0.25">
      <c r="A391" s="4">
        <v>390</v>
      </c>
      <c r="B391" s="5" t="s">
        <v>388</v>
      </c>
      <c r="C391" s="6" t="s">
        <v>125</v>
      </c>
      <c r="D391" s="6"/>
      <c r="E391" s="6" t="s">
        <v>1428</v>
      </c>
      <c r="F391" s="6" t="s">
        <v>966</v>
      </c>
      <c r="G391" s="7">
        <f t="shared" si="6"/>
        <v>295</v>
      </c>
      <c r="H391" s="7">
        <v>44</v>
      </c>
      <c r="I391" s="7">
        <v>75</v>
      </c>
      <c r="J391" s="7">
        <v>35</v>
      </c>
      <c r="K391" s="7">
        <v>63</v>
      </c>
      <c r="L391" s="7">
        <v>33</v>
      </c>
      <c r="M391" s="7">
        <v>45</v>
      </c>
      <c r="N391" s="6"/>
    </row>
    <row r="392" spans="1:14" s="17" customFormat="1" ht="15.75" customHeight="1" x14ac:dyDescent="0.25">
      <c r="A392" s="4">
        <v>391</v>
      </c>
      <c r="B392" s="5" t="s">
        <v>389</v>
      </c>
      <c r="C392" s="6" t="s">
        <v>125</v>
      </c>
      <c r="D392" s="6" t="s">
        <v>232</v>
      </c>
      <c r="E392" s="6" t="s">
        <v>1140</v>
      </c>
      <c r="F392" s="6" t="s">
        <v>966</v>
      </c>
      <c r="G392" s="7">
        <f t="shared" si="6"/>
        <v>455</v>
      </c>
      <c r="H392" s="7">
        <v>64</v>
      </c>
      <c r="I392" s="7">
        <v>115</v>
      </c>
      <c r="J392" s="7">
        <v>65</v>
      </c>
      <c r="K392" s="7">
        <v>83</v>
      </c>
      <c r="L392" s="7">
        <v>63</v>
      </c>
      <c r="M392" s="7">
        <v>65</v>
      </c>
      <c r="N392" s="6"/>
    </row>
    <row r="393" spans="1:14" s="17" customFormat="1" ht="15.75" customHeight="1" x14ac:dyDescent="0.25">
      <c r="A393" s="4">
        <v>392</v>
      </c>
      <c r="B393" s="5" t="s">
        <v>390</v>
      </c>
      <c r="C393" s="6" t="s">
        <v>125</v>
      </c>
      <c r="D393" s="6"/>
      <c r="E393" s="6" t="s">
        <v>581</v>
      </c>
      <c r="F393" s="6"/>
      <c r="G393" s="7">
        <f t="shared" si="6"/>
        <v>295</v>
      </c>
      <c r="H393" s="7">
        <v>20</v>
      </c>
      <c r="I393" s="7">
        <v>40</v>
      </c>
      <c r="J393" s="7">
        <v>90</v>
      </c>
      <c r="K393" s="7">
        <v>30</v>
      </c>
      <c r="L393" s="7">
        <v>90</v>
      </c>
      <c r="M393" s="7">
        <v>25</v>
      </c>
      <c r="N393" s="6"/>
    </row>
    <row r="394" spans="1:14" s="17" customFormat="1" ht="15.75" customHeight="1" x14ac:dyDescent="0.25">
      <c r="A394" s="4">
        <v>393</v>
      </c>
      <c r="B394" s="5" t="s">
        <v>391</v>
      </c>
      <c r="C394" s="6" t="s">
        <v>125</v>
      </c>
      <c r="D394" s="6"/>
      <c r="E394" s="6" t="s">
        <v>605</v>
      </c>
      <c r="F394" s="6"/>
      <c r="G394" s="7">
        <f t="shared" si="6"/>
        <v>455</v>
      </c>
      <c r="H394" s="7">
        <v>40</v>
      </c>
      <c r="I394" s="7">
        <v>70</v>
      </c>
      <c r="J394" s="7">
        <v>130</v>
      </c>
      <c r="K394" s="7">
        <v>60</v>
      </c>
      <c r="L394" s="7">
        <v>130</v>
      </c>
      <c r="M394" s="7">
        <v>25</v>
      </c>
      <c r="N394" s="6"/>
    </row>
    <row r="395" spans="1:14" s="17" customFormat="1" ht="15.75" customHeight="1" x14ac:dyDescent="0.25">
      <c r="A395" s="4">
        <v>394</v>
      </c>
      <c r="B395" s="5" t="s">
        <v>512</v>
      </c>
      <c r="C395" s="6" t="s">
        <v>125</v>
      </c>
      <c r="D395" s="6"/>
      <c r="E395" s="6" t="s">
        <v>605</v>
      </c>
      <c r="F395" s="6"/>
      <c r="G395" s="7">
        <f t="shared" si="6"/>
        <v>525</v>
      </c>
      <c r="H395" s="7">
        <v>45</v>
      </c>
      <c r="I395" s="7">
        <v>100</v>
      </c>
      <c r="J395" s="7">
        <v>135</v>
      </c>
      <c r="K395" s="7">
        <v>65</v>
      </c>
      <c r="L395" s="7">
        <v>135</v>
      </c>
      <c r="M395" s="7">
        <v>45</v>
      </c>
      <c r="N395" s="6"/>
    </row>
    <row r="396" spans="1:14" s="17" customFormat="1" ht="15.75" customHeight="1" x14ac:dyDescent="0.25">
      <c r="A396" s="4">
        <v>395</v>
      </c>
      <c r="B396" s="5" t="s">
        <v>392</v>
      </c>
      <c r="C396" s="6" t="s">
        <v>14</v>
      </c>
      <c r="D396" s="6" t="s">
        <v>26</v>
      </c>
      <c r="E396" s="6" t="s">
        <v>17</v>
      </c>
      <c r="F396" s="6" t="s">
        <v>1497</v>
      </c>
      <c r="G396" s="7">
        <f t="shared" si="6"/>
        <v>460</v>
      </c>
      <c r="H396" s="7">
        <v>99</v>
      </c>
      <c r="I396" s="7">
        <v>68</v>
      </c>
      <c r="J396" s="7">
        <v>83</v>
      </c>
      <c r="K396" s="7">
        <v>72</v>
      </c>
      <c r="L396" s="7">
        <v>87</v>
      </c>
      <c r="M396" s="7">
        <v>51</v>
      </c>
      <c r="N396" s="6"/>
    </row>
    <row r="397" spans="1:14" s="17" customFormat="1" ht="15.75" customHeight="1" x14ac:dyDescent="0.25">
      <c r="A397" s="4">
        <v>396</v>
      </c>
      <c r="B397" s="5" t="s">
        <v>468</v>
      </c>
      <c r="C397" s="6" t="s">
        <v>125</v>
      </c>
      <c r="D397" s="6" t="s">
        <v>112</v>
      </c>
      <c r="E397" s="6" t="s">
        <v>581</v>
      </c>
      <c r="F397" s="6"/>
      <c r="G397" s="7">
        <f t="shared" si="6"/>
        <v>285</v>
      </c>
      <c r="H397" s="7">
        <v>45</v>
      </c>
      <c r="I397" s="7">
        <v>30</v>
      </c>
      <c r="J397" s="7">
        <v>50</v>
      </c>
      <c r="K397" s="7">
        <v>65</v>
      </c>
      <c r="L397" s="7">
        <v>50</v>
      </c>
      <c r="M397" s="7">
        <v>45</v>
      </c>
      <c r="N397" s="6"/>
    </row>
    <row r="398" spans="1:14" s="17" customFormat="1" ht="15.75" customHeight="1" x14ac:dyDescent="0.25">
      <c r="A398" s="4">
        <v>397</v>
      </c>
      <c r="B398" s="5" t="s">
        <v>393</v>
      </c>
      <c r="C398" s="6" t="s">
        <v>125</v>
      </c>
      <c r="D398" s="6" t="s">
        <v>112</v>
      </c>
      <c r="E398" s="6" t="s">
        <v>581</v>
      </c>
      <c r="F398" s="6"/>
      <c r="G398" s="7">
        <f t="shared" si="6"/>
        <v>455</v>
      </c>
      <c r="H398" s="7">
        <v>75</v>
      </c>
      <c r="I398" s="7">
        <v>50</v>
      </c>
      <c r="J398" s="7">
        <v>80</v>
      </c>
      <c r="K398" s="7">
        <v>95</v>
      </c>
      <c r="L398" s="7">
        <v>90</v>
      </c>
      <c r="M398" s="7">
        <v>65</v>
      </c>
      <c r="N398" s="6"/>
    </row>
    <row r="399" spans="1:14" s="17" customFormat="1" ht="15.75" customHeight="1" x14ac:dyDescent="0.25">
      <c r="A399" s="4">
        <v>398</v>
      </c>
      <c r="B399" s="5" t="s">
        <v>394</v>
      </c>
      <c r="C399" s="6" t="s">
        <v>232</v>
      </c>
      <c r="D399" s="6"/>
      <c r="E399" s="6" t="s">
        <v>605</v>
      </c>
      <c r="F399" s="6" t="s">
        <v>613</v>
      </c>
      <c r="G399" s="7">
        <f t="shared" si="6"/>
        <v>465</v>
      </c>
      <c r="H399" s="7">
        <v>65</v>
      </c>
      <c r="I399" s="7">
        <v>130</v>
      </c>
      <c r="J399" s="7">
        <v>60</v>
      </c>
      <c r="K399" s="7">
        <v>75</v>
      </c>
      <c r="L399" s="7">
        <v>60</v>
      </c>
      <c r="M399" s="7">
        <v>75</v>
      </c>
      <c r="N399" s="6"/>
    </row>
    <row r="400" spans="1:14" s="17" customFormat="1" ht="15.75" customHeight="1" x14ac:dyDescent="0.25">
      <c r="A400" s="4">
        <v>399</v>
      </c>
      <c r="B400" s="5" t="s">
        <v>396</v>
      </c>
      <c r="C400" s="6" t="s">
        <v>119</v>
      </c>
      <c r="D400" s="6"/>
      <c r="E400" s="6" t="s">
        <v>552</v>
      </c>
      <c r="F400" s="6" t="s">
        <v>643</v>
      </c>
      <c r="G400" s="7">
        <f t="shared" si="6"/>
        <v>300</v>
      </c>
      <c r="H400" s="7">
        <v>50</v>
      </c>
      <c r="I400" s="7">
        <v>50</v>
      </c>
      <c r="J400" s="7">
        <v>50</v>
      </c>
      <c r="K400" s="7">
        <v>50</v>
      </c>
      <c r="L400" s="7">
        <v>50</v>
      </c>
      <c r="M400" s="7">
        <v>50</v>
      </c>
      <c r="N400" s="6"/>
    </row>
    <row r="401" spans="1:14" s="17" customFormat="1" ht="15.75" customHeight="1" x14ac:dyDescent="0.25">
      <c r="A401" s="4">
        <v>400</v>
      </c>
      <c r="B401" s="5" t="s">
        <v>397</v>
      </c>
      <c r="C401" s="6" t="s">
        <v>119</v>
      </c>
      <c r="D401" s="6" t="s">
        <v>112</v>
      </c>
      <c r="E401" s="6" t="s">
        <v>552</v>
      </c>
      <c r="F401" s="6" t="s">
        <v>655</v>
      </c>
      <c r="G401" s="7">
        <f t="shared" si="6"/>
        <v>480</v>
      </c>
      <c r="H401" s="7">
        <v>80</v>
      </c>
      <c r="I401" s="7">
        <v>80</v>
      </c>
      <c r="J401" s="7">
        <v>80</v>
      </c>
      <c r="K401" s="7">
        <v>80</v>
      </c>
      <c r="L401" s="7">
        <v>80</v>
      </c>
      <c r="M401" s="7">
        <v>80</v>
      </c>
      <c r="N401" s="6"/>
    </row>
    <row r="402" spans="1:14" s="17" customFormat="1" ht="15.75" customHeight="1" x14ac:dyDescent="0.25">
      <c r="A402" s="4">
        <v>401</v>
      </c>
      <c r="B402" s="5" t="s">
        <v>513</v>
      </c>
      <c r="C402" s="6" t="s">
        <v>119</v>
      </c>
      <c r="D402" s="6" t="s">
        <v>125</v>
      </c>
      <c r="E402" s="6" t="s">
        <v>619</v>
      </c>
      <c r="F402" s="6"/>
      <c r="G402" s="7">
        <f t="shared" si="6"/>
        <v>480</v>
      </c>
      <c r="H402" s="7">
        <v>70</v>
      </c>
      <c r="I402" s="7">
        <v>80</v>
      </c>
      <c r="J402" s="7">
        <v>70</v>
      </c>
      <c r="K402" s="7">
        <v>80</v>
      </c>
      <c r="L402" s="7">
        <v>70</v>
      </c>
      <c r="M402" s="7">
        <v>110</v>
      </c>
      <c r="N402" s="6"/>
    </row>
    <row r="403" spans="1:14" s="17" customFormat="1" ht="15.75" customHeight="1" x14ac:dyDescent="0.25">
      <c r="A403" s="4">
        <v>402</v>
      </c>
      <c r="B403" s="5" t="s">
        <v>398</v>
      </c>
      <c r="C403" s="6" t="s">
        <v>119</v>
      </c>
      <c r="D403" s="6" t="s">
        <v>28</v>
      </c>
      <c r="E403" s="6" t="s">
        <v>1240</v>
      </c>
      <c r="F403" s="6" t="s">
        <v>862</v>
      </c>
      <c r="G403" s="7">
        <f t="shared" si="6"/>
        <v>290</v>
      </c>
      <c r="H403" s="7">
        <v>70</v>
      </c>
      <c r="I403" s="7">
        <v>40</v>
      </c>
      <c r="J403" s="7">
        <v>50</v>
      </c>
      <c r="K403" s="7">
        <v>55</v>
      </c>
      <c r="L403" s="7">
        <v>50</v>
      </c>
      <c r="M403" s="7">
        <v>25</v>
      </c>
      <c r="N403" s="6"/>
    </row>
    <row r="404" spans="1:14" s="17" customFormat="1" ht="15.75" customHeight="1" x14ac:dyDescent="0.25">
      <c r="A404" s="4">
        <v>403</v>
      </c>
      <c r="B404" s="5" t="s">
        <v>399</v>
      </c>
      <c r="C404" s="6" t="s">
        <v>119</v>
      </c>
      <c r="D404" s="6" t="s">
        <v>28</v>
      </c>
      <c r="E404" s="6" t="s">
        <v>1240</v>
      </c>
      <c r="F404" s="6" t="s">
        <v>643</v>
      </c>
      <c r="G404" s="7">
        <f t="shared" si="6"/>
        <v>410</v>
      </c>
      <c r="H404" s="7">
        <v>90</v>
      </c>
      <c r="I404" s="7">
        <v>60</v>
      </c>
      <c r="J404" s="7">
        <v>70</v>
      </c>
      <c r="K404" s="7">
        <v>75</v>
      </c>
      <c r="L404" s="7">
        <v>70</v>
      </c>
      <c r="M404" s="7">
        <v>45</v>
      </c>
      <c r="N404" s="6"/>
    </row>
    <row r="405" spans="1:14" s="17" customFormat="1" ht="15.75" customHeight="1" x14ac:dyDescent="0.25">
      <c r="A405" s="4">
        <v>404</v>
      </c>
      <c r="B405" s="5" t="s">
        <v>400</v>
      </c>
      <c r="C405" s="6" t="s">
        <v>119</v>
      </c>
      <c r="D405" s="6" t="s">
        <v>28</v>
      </c>
      <c r="E405" s="6" t="s">
        <v>1240</v>
      </c>
      <c r="F405" s="6" t="s">
        <v>643</v>
      </c>
      <c r="G405" s="7">
        <f t="shared" si="6"/>
        <v>530</v>
      </c>
      <c r="H405" s="7">
        <v>110</v>
      </c>
      <c r="I405" s="7">
        <v>80</v>
      </c>
      <c r="J405" s="7">
        <v>90</v>
      </c>
      <c r="K405" s="7">
        <v>95</v>
      </c>
      <c r="L405" s="7">
        <v>90</v>
      </c>
      <c r="M405" s="7">
        <v>65</v>
      </c>
      <c r="N405" s="6"/>
    </row>
    <row r="406" spans="1:14" s="17" customFormat="1" ht="15.75" customHeight="1" x14ac:dyDescent="0.25">
      <c r="A406" s="4">
        <v>405</v>
      </c>
      <c r="B406" s="5" t="s">
        <v>401</v>
      </c>
      <c r="C406" s="6" t="s">
        <v>28</v>
      </c>
      <c r="D406" s="6"/>
      <c r="E406" s="6" t="s">
        <v>579</v>
      </c>
      <c r="F406" s="6"/>
      <c r="G406" s="7">
        <f t="shared" si="6"/>
        <v>345</v>
      </c>
      <c r="H406" s="7">
        <v>35</v>
      </c>
      <c r="I406" s="7">
        <v>64</v>
      </c>
      <c r="J406" s="7">
        <v>85</v>
      </c>
      <c r="K406" s="7">
        <v>74</v>
      </c>
      <c r="L406" s="7">
        <v>55</v>
      </c>
      <c r="M406" s="7">
        <v>32</v>
      </c>
      <c r="N406" s="6"/>
    </row>
    <row r="407" spans="1:14" s="17" customFormat="1" ht="15.75" customHeight="1" x14ac:dyDescent="0.25">
      <c r="A407" s="4">
        <v>406</v>
      </c>
      <c r="B407" s="5" t="s">
        <v>402</v>
      </c>
      <c r="C407" s="6" t="s">
        <v>28</v>
      </c>
      <c r="D407" s="6" t="s">
        <v>232</v>
      </c>
      <c r="E407" s="6" t="s">
        <v>594</v>
      </c>
      <c r="F407" s="6"/>
      <c r="G407" s="7">
        <f t="shared" si="6"/>
        <v>485</v>
      </c>
      <c r="H407" s="7">
        <v>55</v>
      </c>
      <c r="I407" s="7">
        <v>104</v>
      </c>
      <c r="J407" s="7">
        <v>105</v>
      </c>
      <c r="K407" s="7">
        <v>94</v>
      </c>
      <c r="L407" s="7">
        <v>75</v>
      </c>
      <c r="M407" s="7">
        <v>52</v>
      </c>
      <c r="N407" s="6"/>
    </row>
    <row r="408" spans="1:14" s="17" customFormat="1" ht="15.75" customHeight="1" x14ac:dyDescent="0.25">
      <c r="A408" s="4">
        <v>407</v>
      </c>
      <c r="B408" s="5" t="s">
        <v>403</v>
      </c>
      <c r="C408" s="6" t="s">
        <v>28</v>
      </c>
      <c r="D408" s="6" t="s">
        <v>92</v>
      </c>
      <c r="E408" s="6" t="s">
        <v>594</v>
      </c>
      <c r="F408" s="6"/>
      <c r="G408" s="7">
        <f t="shared" si="6"/>
        <v>485</v>
      </c>
      <c r="H408" s="7">
        <v>55</v>
      </c>
      <c r="I408" s="7">
        <v>84</v>
      </c>
      <c r="J408" s="7">
        <v>105</v>
      </c>
      <c r="K408" s="7">
        <v>114</v>
      </c>
      <c r="L408" s="7">
        <v>75</v>
      </c>
      <c r="M408" s="7">
        <v>52</v>
      </c>
      <c r="N408" s="6"/>
    </row>
    <row r="409" spans="1:14" s="17" customFormat="1" ht="15.75" customHeight="1" x14ac:dyDescent="0.25">
      <c r="A409" s="4">
        <v>408</v>
      </c>
      <c r="B409" s="5" t="s">
        <v>404</v>
      </c>
      <c r="C409" s="6" t="s">
        <v>28</v>
      </c>
      <c r="D409" s="6" t="s">
        <v>104</v>
      </c>
      <c r="E409" s="6" t="s">
        <v>594</v>
      </c>
      <c r="F409" s="6" t="s">
        <v>569</v>
      </c>
      <c r="G409" s="7">
        <f t="shared" si="6"/>
        <v>485</v>
      </c>
      <c r="H409" s="7">
        <v>100</v>
      </c>
      <c r="I409" s="7">
        <v>90</v>
      </c>
      <c r="J409" s="7">
        <v>130</v>
      </c>
      <c r="K409" s="7">
        <v>45</v>
      </c>
      <c r="L409" s="7">
        <v>65</v>
      </c>
      <c r="M409" s="7">
        <v>55</v>
      </c>
      <c r="N409" s="6"/>
    </row>
    <row r="410" spans="1:14" s="17" customFormat="1" ht="15.75" customHeight="1" x14ac:dyDescent="0.25">
      <c r="A410" s="4">
        <v>409</v>
      </c>
      <c r="B410" s="5" t="s">
        <v>405</v>
      </c>
      <c r="C410" s="6" t="s">
        <v>28</v>
      </c>
      <c r="D410" s="6"/>
      <c r="E410" s="6" t="s">
        <v>594</v>
      </c>
      <c r="F410" s="6" t="s">
        <v>1386</v>
      </c>
      <c r="G410" s="7">
        <f t="shared" si="6"/>
        <v>384</v>
      </c>
      <c r="H410" s="7">
        <v>43</v>
      </c>
      <c r="I410" s="7">
        <v>30</v>
      </c>
      <c r="J410" s="7">
        <v>55</v>
      </c>
      <c r="K410" s="7">
        <v>90</v>
      </c>
      <c r="L410" s="7">
        <v>65</v>
      </c>
      <c r="M410" s="7">
        <v>101</v>
      </c>
      <c r="N410" s="6"/>
    </row>
    <row r="411" spans="1:14" s="17" customFormat="1" ht="15.75" customHeight="1" x14ac:dyDescent="0.25">
      <c r="A411" s="4">
        <v>410</v>
      </c>
      <c r="B411" s="5" t="s">
        <v>406</v>
      </c>
      <c r="C411" s="6" t="s">
        <v>181</v>
      </c>
      <c r="D411" s="6"/>
      <c r="E411" s="6" t="s">
        <v>569</v>
      </c>
      <c r="F411" s="6" t="s">
        <v>569</v>
      </c>
      <c r="G411" s="7">
        <f t="shared" si="6"/>
        <v>300</v>
      </c>
      <c r="H411" s="7">
        <v>45</v>
      </c>
      <c r="I411" s="7">
        <v>75</v>
      </c>
      <c r="J411" s="7">
        <v>60</v>
      </c>
      <c r="K411" s="7">
        <v>40</v>
      </c>
      <c r="L411" s="7">
        <v>30</v>
      </c>
      <c r="M411" s="7">
        <v>50</v>
      </c>
      <c r="N411" s="6"/>
    </row>
    <row r="412" spans="1:14" s="17" customFormat="1" ht="15.75" customHeight="1" x14ac:dyDescent="0.25">
      <c r="A412" s="4">
        <v>411</v>
      </c>
      <c r="B412" s="5" t="s">
        <v>407</v>
      </c>
      <c r="C412" s="6" t="s">
        <v>181</v>
      </c>
      <c r="D412" s="6"/>
      <c r="E412" s="6" t="s">
        <v>569</v>
      </c>
      <c r="F412" s="6" t="s">
        <v>569</v>
      </c>
      <c r="G412" s="7">
        <f t="shared" si="6"/>
        <v>420</v>
      </c>
      <c r="H412" s="7">
        <v>65</v>
      </c>
      <c r="I412" s="7">
        <v>95</v>
      </c>
      <c r="J412" s="7">
        <v>100</v>
      </c>
      <c r="K412" s="7">
        <v>60</v>
      </c>
      <c r="L412" s="7">
        <v>50</v>
      </c>
      <c r="M412" s="7">
        <v>50</v>
      </c>
      <c r="N412" s="6"/>
    </row>
    <row r="413" spans="1:14" s="17" customFormat="1" ht="15.75" customHeight="1" x14ac:dyDescent="0.25">
      <c r="A413" s="4">
        <v>412</v>
      </c>
      <c r="B413" s="5" t="s">
        <v>408</v>
      </c>
      <c r="C413" s="6" t="s">
        <v>181</v>
      </c>
      <c r="D413" s="6" t="s">
        <v>26</v>
      </c>
      <c r="E413" s="6" t="s">
        <v>544</v>
      </c>
      <c r="F413" s="6" t="s">
        <v>992</v>
      </c>
      <c r="G413" s="7">
        <f t="shared" si="6"/>
        <v>595</v>
      </c>
      <c r="H413" s="7">
        <v>95</v>
      </c>
      <c r="I413" s="7">
        <v>125</v>
      </c>
      <c r="J413" s="7">
        <v>80</v>
      </c>
      <c r="K413" s="7">
        <v>115</v>
      </c>
      <c r="L413" s="7">
        <v>80</v>
      </c>
      <c r="M413" s="7">
        <v>100</v>
      </c>
      <c r="N413" s="6"/>
    </row>
    <row r="414" spans="1:14" s="17" customFormat="1" ht="15.75" customHeight="1" x14ac:dyDescent="0.25">
      <c r="A414" s="4">
        <v>413</v>
      </c>
      <c r="B414" s="5" t="s">
        <v>409</v>
      </c>
      <c r="C414" s="6" t="s">
        <v>112</v>
      </c>
      <c r="D414" s="6" t="s">
        <v>92</v>
      </c>
      <c r="E414" s="6" t="s">
        <v>567</v>
      </c>
      <c r="F414" s="6"/>
      <c r="G414" s="7">
        <f t="shared" si="6"/>
        <v>300</v>
      </c>
      <c r="H414" s="7">
        <v>40</v>
      </c>
      <c r="I414" s="7">
        <v>55</v>
      </c>
      <c r="J414" s="7">
        <v>80</v>
      </c>
      <c r="K414" s="7">
        <v>35</v>
      </c>
      <c r="L414" s="7">
        <v>60</v>
      </c>
      <c r="M414" s="7">
        <v>30</v>
      </c>
      <c r="N414" s="6"/>
    </row>
    <row r="415" spans="1:14" s="17" customFormat="1" ht="15.75" customHeight="1" x14ac:dyDescent="0.25">
      <c r="A415" s="4">
        <v>414</v>
      </c>
      <c r="B415" s="5" t="s">
        <v>410</v>
      </c>
      <c r="C415" s="6" t="s">
        <v>112</v>
      </c>
      <c r="D415" s="6" t="s">
        <v>92</v>
      </c>
      <c r="E415" s="6" t="s">
        <v>567</v>
      </c>
      <c r="F415" s="6"/>
      <c r="G415" s="7">
        <f t="shared" si="6"/>
        <v>420</v>
      </c>
      <c r="H415" s="7">
        <v>60</v>
      </c>
      <c r="I415" s="7">
        <v>75</v>
      </c>
      <c r="J415" s="7">
        <v>100</v>
      </c>
      <c r="K415" s="7">
        <v>55</v>
      </c>
      <c r="L415" s="7">
        <v>80</v>
      </c>
      <c r="M415" s="7">
        <v>50</v>
      </c>
      <c r="N415" s="6"/>
    </row>
    <row r="416" spans="1:14" s="17" customFormat="1" ht="15.75" customHeight="1" x14ac:dyDescent="0.25">
      <c r="A416" s="4">
        <v>415</v>
      </c>
      <c r="B416" s="5" t="s">
        <v>411</v>
      </c>
      <c r="C416" s="6" t="s">
        <v>112</v>
      </c>
      <c r="D416" s="6" t="s">
        <v>92</v>
      </c>
      <c r="E416" s="6" t="s">
        <v>567</v>
      </c>
      <c r="F416" s="6"/>
      <c r="G416" s="7">
        <f t="shared" si="6"/>
        <v>590</v>
      </c>
      <c r="H416" s="7">
        <v>80</v>
      </c>
      <c r="I416" s="7">
        <v>135</v>
      </c>
      <c r="J416" s="7">
        <v>130</v>
      </c>
      <c r="K416" s="7">
        <v>85</v>
      </c>
      <c r="L416" s="7">
        <v>90</v>
      </c>
      <c r="M416" s="7">
        <v>70</v>
      </c>
      <c r="N416" s="6"/>
    </row>
    <row r="417" spans="1:14" s="17" customFormat="1" ht="15.75" customHeight="1" x14ac:dyDescent="0.25">
      <c r="A417" s="4">
        <v>416</v>
      </c>
      <c r="B417" s="5" t="s">
        <v>412</v>
      </c>
      <c r="C417" s="6" t="s">
        <v>104</v>
      </c>
      <c r="D417" s="6"/>
      <c r="E417" s="6" t="s">
        <v>638</v>
      </c>
      <c r="F417" s="6" t="s">
        <v>637</v>
      </c>
      <c r="G417" s="7">
        <f t="shared" si="6"/>
        <v>580</v>
      </c>
      <c r="H417" s="7">
        <v>80</v>
      </c>
      <c r="I417" s="7">
        <v>100</v>
      </c>
      <c r="J417" s="7">
        <v>200</v>
      </c>
      <c r="K417" s="7">
        <v>50</v>
      </c>
      <c r="L417" s="7">
        <v>100</v>
      </c>
      <c r="M417" s="7">
        <v>50</v>
      </c>
      <c r="N417" s="6"/>
    </row>
    <row r="418" spans="1:14" s="17" customFormat="1" ht="15.75" customHeight="1" x14ac:dyDescent="0.25">
      <c r="A418" s="4">
        <v>417</v>
      </c>
      <c r="B418" s="5" t="s">
        <v>413</v>
      </c>
      <c r="C418" s="6" t="s">
        <v>119</v>
      </c>
      <c r="D418" s="6"/>
      <c r="E418" s="6" t="s">
        <v>567</v>
      </c>
      <c r="F418" s="6" t="s">
        <v>30</v>
      </c>
      <c r="G418" s="7">
        <f t="shared" si="6"/>
        <v>580</v>
      </c>
      <c r="H418" s="7">
        <v>80</v>
      </c>
      <c r="I418" s="7">
        <v>50</v>
      </c>
      <c r="J418" s="7">
        <v>100</v>
      </c>
      <c r="K418" s="7">
        <v>100</v>
      </c>
      <c r="L418" s="7">
        <v>200</v>
      </c>
      <c r="M418" s="7">
        <v>50</v>
      </c>
      <c r="N418" s="6"/>
    </row>
    <row r="419" spans="1:14" s="17" customFormat="1" ht="15.75" customHeight="1" x14ac:dyDescent="0.25">
      <c r="A419" s="4">
        <v>418</v>
      </c>
      <c r="B419" s="5" t="s">
        <v>414</v>
      </c>
      <c r="C419" s="6" t="s">
        <v>112</v>
      </c>
      <c r="D419" s="6"/>
      <c r="E419" s="6" t="s">
        <v>1399</v>
      </c>
      <c r="F419" s="6" t="s">
        <v>1153</v>
      </c>
      <c r="G419" s="7">
        <f t="shared" si="6"/>
        <v>580</v>
      </c>
      <c r="H419" s="7">
        <v>80</v>
      </c>
      <c r="I419" s="7">
        <v>75</v>
      </c>
      <c r="J419" s="7">
        <v>150</v>
      </c>
      <c r="K419" s="7">
        <v>75</v>
      </c>
      <c r="L419" s="7">
        <v>150</v>
      </c>
      <c r="M419" s="7">
        <v>50</v>
      </c>
      <c r="N419" s="6"/>
    </row>
    <row r="420" spans="1:14" s="17" customFormat="1" ht="15.75" customHeight="1" x14ac:dyDescent="0.25">
      <c r="A420" s="4">
        <v>419</v>
      </c>
      <c r="B420" s="5" t="s">
        <v>415</v>
      </c>
      <c r="C420" s="6" t="s">
        <v>181</v>
      </c>
      <c r="D420" s="6" t="s">
        <v>92</v>
      </c>
      <c r="E420" s="6" t="s">
        <v>581</v>
      </c>
      <c r="F420" s="6"/>
      <c r="G420" s="7">
        <f t="shared" si="6"/>
        <v>600</v>
      </c>
      <c r="H420" s="7">
        <v>80</v>
      </c>
      <c r="I420" s="7">
        <v>80</v>
      </c>
      <c r="J420" s="7">
        <v>90</v>
      </c>
      <c r="K420" s="7">
        <v>110</v>
      </c>
      <c r="L420" s="7">
        <v>130</v>
      </c>
      <c r="M420" s="7">
        <v>110</v>
      </c>
      <c r="N420" s="6"/>
    </row>
    <row r="421" spans="1:14" s="17" customFormat="1" ht="15.75" customHeight="1" x14ac:dyDescent="0.25">
      <c r="A421" s="4">
        <v>420</v>
      </c>
      <c r="B421" s="5" t="s">
        <v>416</v>
      </c>
      <c r="C421" s="6" t="s">
        <v>181</v>
      </c>
      <c r="D421" s="6" t="s">
        <v>92</v>
      </c>
      <c r="E421" s="6" t="s">
        <v>581</v>
      </c>
      <c r="F421" s="6"/>
      <c r="G421" s="7">
        <f t="shared" si="6"/>
        <v>600</v>
      </c>
      <c r="H421" s="7">
        <v>80</v>
      </c>
      <c r="I421" s="7">
        <v>90</v>
      </c>
      <c r="J421" s="7">
        <v>80</v>
      </c>
      <c r="K421" s="7">
        <v>130</v>
      </c>
      <c r="L421" s="7">
        <v>110</v>
      </c>
      <c r="M421" s="7">
        <v>110</v>
      </c>
      <c r="N421" s="6"/>
    </row>
    <row r="422" spans="1:14" s="17" customFormat="1" ht="15.75" customHeight="1" x14ac:dyDescent="0.25">
      <c r="A422" s="4">
        <v>421</v>
      </c>
      <c r="B422" s="5" t="s">
        <v>417</v>
      </c>
      <c r="C422" s="6" t="s">
        <v>28</v>
      </c>
      <c r="D422" s="6"/>
      <c r="E422" s="6" t="s">
        <v>644</v>
      </c>
      <c r="F422" s="6"/>
      <c r="G422" s="7">
        <f t="shared" si="6"/>
        <v>652</v>
      </c>
      <c r="H422" s="7">
        <v>100</v>
      </c>
      <c r="I422" s="7">
        <v>90</v>
      </c>
      <c r="J422" s="7">
        <v>90</v>
      </c>
      <c r="K422" s="7">
        <v>145</v>
      </c>
      <c r="L422" s="7">
        <v>140</v>
      </c>
      <c r="M422" s="7">
        <v>87</v>
      </c>
      <c r="N422" s="6"/>
    </row>
    <row r="423" spans="1:14" s="17" customFormat="1" ht="15.75" customHeight="1" x14ac:dyDescent="0.25">
      <c r="A423" s="4">
        <v>422</v>
      </c>
      <c r="B423" s="5" t="s">
        <v>418</v>
      </c>
      <c r="C423" s="6" t="s">
        <v>54</v>
      </c>
      <c r="D423" s="6"/>
      <c r="E423" s="6" t="s">
        <v>23</v>
      </c>
      <c r="F423" s="6"/>
      <c r="G423" s="7">
        <f t="shared" si="6"/>
        <v>652</v>
      </c>
      <c r="H423" s="7">
        <v>100</v>
      </c>
      <c r="I423" s="7">
        <v>145</v>
      </c>
      <c r="J423" s="7">
        <v>140</v>
      </c>
      <c r="K423" s="7">
        <v>90</v>
      </c>
      <c r="L423" s="7">
        <v>90</v>
      </c>
      <c r="M423" s="7">
        <v>87</v>
      </c>
      <c r="N423" s="6"/>
    </row>
    <row r="424" spans="1:14" s="17" customFormat="1" ht="15.75" customHeight="1" x14ac:dyDescent="0.25">
      <c r="A424" s="4">
        <v>423</v>
      </c>
      <c r="B424" s="5" t="s">
        <v>419</v>
      </c>
      <c r="C424" s="6" t="s">
        <v>181</v>
      </c>
      <c r="D424" s="6" t="s">
        <v>26</v>
      </c>
      <c r="E424" s="6" t="s">
        <v>645</v>
      </c>
      <c r="F424" s="6"/>
      <c r="G424" s="7">
        <f t="shared" si="6"/>
        <v>670</v>
      </c>
      <c r="H424" s="7">
        <v>105</v>
      </c>
      <c r="I424" s="7">
        <v>150</v>
      </c>
      <c r="J424" s="7">
        <v>85</v>
      </c>
      <c r="K424" s="7">
        <v>150</v>
      </c>
      <c r="L424" s="7">
        <v>85</v>
      </c>
      <c r="M424" s="7">
        <v>95</v>
      </c>
      <c r="N424" s="6"/>
    </row>
    <row r="425" spans="1:14" s="17" customFormat="1" ht="15.75" customHeight="1" x14ac:dyDescent="0.25">
      <c r="A425" s="4">
        <v>424</v>
      </c>
      <c r="B425" s="5" t="s">
        <v>420</v>
      </c>
      <c r="C425" s="6" t="s">
        <v>112</v>
      </c>
      <c r="D425" s="6" t="s">
        <v>92</v>
      </c>
      <c r="E425" s="6" t="s">
        <v>615</v>
      </c>
      <c r="F425" s="6"/>
      <c r="G425" s="7">
        <f t="shared" si="6"/>
        <v>600</v>
      </c>
      <c r="H425" s="7">
        <v>100</v>
      </c>
      <c r="I425" s="7">
        <v>100</v>
      </c>
      <c r="J425" s="7">
        <v>100</v>
      </c>
      <c r="K425" s="7">
        <v>100</v>
      </c>
      <c r="L425" s="7">
        <v>100</v>
      </c>
      <c r="M425" s="7">
        <v>100</v>
      </c>
      <c r="N425" s="6"/>
    </row>
    <row r="426" spans="1:14" s="17" customFormat="1" ht="15.75" customHeight="1" x14ac:dyDescent="0.25">
      <c r="A426" s="4">
        <v>425</v>
      </c>
      <c r="B426" s="5" t="s">
        <v>421</v>
      </c>
      <c r="C426" s="6" t="s">
        <v>92</v>
      </c>
      <c r="D426" s="6"/>
      <c r="E426" s="6" t="s">
        <v>1134</v>
      </c>
      <c r="F426" s="6"/>
      <c r="G426" s="7">
        <f t="shared" si="6"/>
        <v>600</v>
      </c>
      <c r="H426" s="7">
        <v>50</v>
      </c>
      <c r="I426" s="7">
        <v>150</v>
      </c>
      <c r="J426" s="7">
        <v>50</v>
      </c>
      <c r="K426" s="7">
        <v>150</v>
      </c>
      <c r="L426" s="7">
        <v>50</v>
      </c>
      <c r="M426" s="7">
        <v>150</v>
      </c>
      <c r="N426" s="6"/>
    </row>
    <row r="427" spans="1:14" s="17" customFormat="1" ht="15.75" customHeight="1" x14ac:dyDescent="0.25">
      <c r="A427" s="4">
        <v>426</v>
      </c>
      <c r="B427" s="5" t="s">
        <v>422</v>
      </c>
      <c r="C427" s="6" t="s">
        <v>14</v>
      </c>
      <c r="D427" s="6"/>
      <c r="E427" s="6" t="s">
        <v>16</v>
      </c>
      <c r="F427" s="6" t="s">
        <v>580</v>
      </c>
      <c r="G427" s="7">
        <f t="shared" si="6"/>
        <v>318</v>
      </c>
      <c r="H427" s="7">
        <v>55</v>
      </c>
      <c r="I427" s="7">
        <v>68</v>
      </c>
      <c r="J427" s="7">
        <v>64</v>
      </c>
      <c r="K427" s="7">
        <v>45</v>
      </c>
      <c r="L427" s="7">
        <v>55</v>
      </c>
      <c r="M427" s="7">
        <v>31</v>
      </c>
      <c r="N427" s="6"/>
    </row>
    <row r="428" spans="1:14" s="17" customFormat="1" ht="15.75" customHeight="1" x14ac:dyDescent="0.25">
      <c r="A428" s="4">
        <v>427</v>
      </c>
      <c r="B428" s="5" t="s">
        <v>423</v>
      </c>
      <c r="C428" s="6" t="s">
        <v>14</v>
      </c>
      <c r="D428" s="6"/>
      <c r="E428" s="6" t="s">
        <v>16</v>
      </c>
      <c r="F428" s="6" t="s">
        <v>580</v>
      </c>
      <c r="G428" s="7">
        <f t="shared" si="6"/>
        <v>405</v>
      </c>
      <c r="H428" s="7">
        <v>75</v>
      </c>
      <c r="I428" s="7">
        <v>89</v>
      </c>
      <c r="J428" s="7">
        <v>85</v>
      </c>
      <c r="K428" s="7">
        <v>55</v>
      </c>
      <c r="L428" s="7">
        <v>65</v>
      </c>
      <c r="M428" s="7">
        <v>36</v>
      </c>
      <c r="N428" s="6"/>
    </row>
    <row r="429" spans="1:14" s="17" customFormat="1" ht="15.75" customHeight="1" x14ac:dyDescent="0.25">
      <c r="A429" s="4">
        <v>428</v>
      </c>
      <c r="B429" s="5" t="s">
        <v>424</v>
      </c>
      <c r="C429" s="6" t="s">
        <v>14</v>
      </c>
      <c r="D429" s="6" t="s">
        <v>54</v>
      </c>
      <c r="E429" s="6" t="s">
        <v>16</v>
      </c>
      <c r="F429" s="6" t="s">
        <v>580</v>
      </c>
      <c r="G429" s="7">
        <f t="shared" si="6"/>
        <v>525</v>
      </c>
      <c r="H429" s="7">
        <v>95</v>
      </c>
      <c r="I429" s="7">
        <v>109</v>
      </c>
      <c r="J429" s="7">
        <v>105</v>
      </c>
      <c r="K429" s="7">
        <v>75</v>
      </c>
      <c r="L429" s="7">
        <v>85</v>
      </c>
      <c r="M429" s="7">
        <v>56</v>
      </c>
      <c r="N429" s="6"/>
    </row>
    <row r="430" spans="1:14" s="17" customFormat="1" ht="15.75" customHeight="1" x14ac:dyDescent="0.25">
      <c r="A430" s="4">
        <v>429</v>
      </c>
      <c r="B430" s="5" t="s">
        <v>425</v>
      </c>
      <c r="C430" s="6" t="s">
        <v>21</v>
      </c>
      <c r="D430" s="6"/>
      <c r="E430" s="6" t="s">
        <v>22</v>
      </c>
      <c r="F430" s="6"/>
      <c r="G430" s="7">
        <f t="shared" si="6"/>
        <v>309</v>
      </c>
      <c r="H430" s="7">
        <v>44</v>
      </c>
      <c r="I430" s="7">
        <v>58</v>
      </c>
      <c r="J430" s="7">
        <v>44</v>
      </c>
      <c r="K430" s="7">
        <v>58</v>
      </c>
      <c r="L430" s="7">
        <v>44</v>
      </c>
      <c r="M430" s="7">
        <v>61</v>
      </c>
      <c r="N430" s="6"/>
    </row>
    <row r="431" spans="1:14" s="17" customFormat="1" ht="15.75" customHeight="1" x14ac:dyDescent="0.25">
      <c r="A431" s="4">
        <v>430</v>
      </c>
      <c r="B431" s="5" t="s">
        <v>426</v>
      </c>
      <c r="C431" s="6" t="s">
        <v>21</v>
      </c>
      <c r="D431" s="6" t="s">
        <v>84</v>
      </c>
      <c r="E431" s="6" t="s">
        <v>22</v>
      </c>
      <c r="F431" s="6"/>
      <c r="G431" s="7">
        <f t="shared" si="6"/>
        <v>405</v>
      </c>
      <c r="H431" s="7">
        <v>64</v>
      </c>
      <c r="I431" s="7">
        <v>78</v>
      </c>
      <c r="J431" s="7">
        <v>52</v>
      </c>
      <c r="K431" s="7">
        <v>78</v>
      </c>
      <c r="L431" s="7">
        <v>52</v>
      </c>
      <c r="M431" s="7">
        <v>81</v>
      </c>
      <c r="N431" s="6"/>
    </row>
    <row r="432" spans="1:14" s="17" customFormat="1" ht="15.75" customHeight="1" x14ac:dyDescent="0.25">
      <c r="A432" s="4">
        <v>431</v>
      </c>
      <c r="B432" s="5" t="s">
        <v>427</v>
      </c>
      <c r="C432" s="6" t="s">
        <v>21</v>
      </c>
      <c r="D432" s="6" t="s">
        <v>84</v>
      </c>
      <c r="E432" s="6" t="s">
        <v>22</v>
      </c>
      <c r="F432" s="6"/>
      <c r="G432" s="7">
        <f t="shared" si="6"/>
        <v>534</v>
      </c>
      <c r="H432" s="7">
        <v>76</v>
      </c>
      <c r="I432" s="7">
        <v>104</v>
      </c>
      <c r="J432" s="7">
        <v>71</v>
      </c>
      <c r="K432" s="7">
        <v>104</v>
      </c>
      <c r="L432" s="7">
        <v>71</v>
      </c>
      <c r="M432" s="7">
        <v>108</v>
      </c>
      <c r="N432" s="6"/>
    </row>
    <row r="433" spans="1:14" s="17" customFormat="1" ht="15.75" customHeight="1" x14ac:dyDescent="0.25">
      <c r="A433" s="4">
        <v>432</v>
      </c>
      <c r="B433" s="5" t="s">
        <v>428</v>
      </c>
      <c r="C433" s="6" t="s">
        <v>28</v>
      </c>
      <c r="D433" s="6"/>
      <c r="E433" s="6" t="s">
        <v>29</v>
      </c>
      <c r="F433" s="6"/>
      <c r="G433" s="7">
        <f t="shared" si="6"/>
        <v>314</v>
      </c>
      <c r="H433" s="7">
        <v>53</v>
      </c>
      <c r="I433" s="7">
        <v>51</v>
      </c>
      <c r="J433" s="7">
        <v>53</v>
      </c>
      <c r="K433" s="7">
        <v>61</v>
      </c>
      <c r="L433" s="7">
        <v>56</v>
      </c>
      <c r="M433" s="7">
        <v>40</v>
      </c>
      <c r="N433" s="6"/>
    </row>
    <row r="434" spans="1:14" s="17" customFormat="1" ht="15.75" customHeight="1" x14ac:dyDescent="0.25">
      <c r="A434" s="4">
        <v>433</v>
      </c>
      <c r="B434" s="5" t="s">
        <v>429</v>
      </c>
      <c r="C434" s="6" t="s">
        <v>28</v>
      </c>
      <c r="D434" s="6"/>
      <c r="E434" s="6" t="s">
        <v>29</v>
      </c>
      <c r="F434" s="6"/>
      <c r="G434" s="7">
        <f t="shared" si="6"/>
        <v>405</v>
      </c>
      <c r="H434" s="7">
        <v>64</v>
      </c>
      <c r="I434" s="7">
        <v>66</v>
      </c>
      <c r="J434" s="7">
        <v>68</v>
      </c>
      <c r="K434" s="7">
        <v>81</v>
      </c>
      <c r="L434" s="7">
        <v>76</v>
      </c>
      <c r="M434" s="7">
        <v>50</v>
      </c>
      <c r="N434" s="6"/>
    </row>
    <row r="435" spans="1:14" s="17" customFormat="1" ht="15.75" customHeight="1" x14ac:dyDescent="0.25">
      <c r="A435" s="4">
        <v>434</v>
      </c>
      <c r="B435" s="5" t="s">
        <v>430</v>
      </c>
      <c r="C435" s="6" t="s">
        <v>28</v>
      </c>
      <c r="D435" s="6" t="s">
        <v>112</v>
      </c>
      <c r="E435" s="6" t="s">
        <v>29</v>
      </c>
      <c r="F435" s="6"/>
      <c r="G435" s="7">
        <f t="shared" si="6"/>
        <v>530</v>
      </c>
      <c r="H435" s="7">
        <v>84</v>
      </c>
      <c r="I435" s="7">
        <v>86</v>
      </c>
      <c r="J435" s="7">
        <v>88</v>
      </c>
      <c r="K435" s="7">
        <v>111</v>
      </c>
      <c r="L435" s="7">
        <v>101</v>
      </c>
      <c r="M435" s="7">
        <v>60</v>
      </c>
      <c r="N435" s="6"/>
    </row>
    <row r="436" spans="1:14" s="17" customFormat="1" ht="15.75" customHeight="1" x14ac:dyDescent="0.25">
      <c r="A436" s="4">
        <v>435</v>
      </c>
      <c r="B436" s="5" t="s">
        <v>431</v>
      </c>
      <c r="C436" s="6" t="s">
        <v>41</v>
      </c>
      <c r="D436" s="6" t="s">
        <v>26</v>
      </c>
      <c r="E436" s="6" t="s">
        <v>540</v>
      </c>
      <c r="F436" s="6" t="s">
        <v>588</v>
      </c>
      <c r="G436" s="7">
        <f t="shared" si="6"/>
        <v>245</v>
      </c>
      <c r="H436" s="7">
        <v>40</v>
      </c>
      <c r="I436" s="7">
        <v>55</v>
      </c>
      <c r="J436" s="7">
        <v>30</v>
      </c>
      <c r="K436" s="7">
        <v>30</v>
      </c>
      <c r="L436" s="7">
        <v>30</v>
      </c>
      <c r="M436" s="7">
        <v>60</v>
      </c>
      <c r="N436" s="6"/>
    </row>
    <row r="437" spans="1:14" s="17" customFormat="1" ht="15.75" customHeight="1" x14ac:dyDescent="0.25">
      <c r="A437" s="4">
        <v>436</v>
      </c>
      <c r="B437" s="5" t="s">
        <v>432</v>
      </c>
      <c r="C437" s="6" t="s">
        <v>84</v>
      </c>
      <c r="D437" s="6" t="s">
        <v>26</v>
      </c>
      <c r="E437" s="6" t="s">
        <v>544</v>
      </c>
      <c r="F437" s="6" t="s">
        <v>588</v>
      </c>
      <c r="G437" s="7">
        <f t="shared" si="6"/>
        <v>340</v>
      </c>
      <c r="H437" s="7">
        <v>55</v>
      </c>
      <c r="I437" s="7">
        <v>75</v>
      </c>
      <c r="J437" s="7">
        <v>50</v>
      </c>
      <c r="K437" s="7">
        <v>40</v>
      </c>
      <c r="L437" s="7">
        <v>40</v>
      </c>
      <c r="M437" s="7">
        <v>80</v>
      </c>
      <c r="N437" s="6"/>
    </row>
    <row r="438" spans="1:14" s="17" customFormat="1" ht="15.75" customHeight="1" x14ac:dyDescent="0.25">
      <c r="A438" s="4">
        <v>437</v>
      </c>
      <c r="B438" s="5" t="s">
        <v>433</v>
      </c>
      <c r="C438" s="6" t="s">
        <v>84</v>
      </c>
      <c r="D438" s="6" t="s">
        <v>26</v>
      </c>
      <c r="E438" s="6" t="s">
        <v>544</v>
      </c>
      <c r="F438" s="6" t="s">
        <v>588</v>
      </c>
      <c r="G438" s="7">
        <f t="shared" si="6"/>
        <v>475</v>
      </c>
      <c r="H438" s="7">
        <v>85</v>
      </c>
      <c r="I438" s="7">
        <v>120</v>
      </c>
      <c r="J438" s="7">
        <v>70</v>
      </c>
      <c r="K438" s="7">
        <v>50</v>
      </c>
      <c r="L438" s="7">
        <v>50</v>
      </c>
      <c r="M438" s="7">
        <v>100</v>
      </c>
      <c r="N438" s="6"/>
    </row>
    <row r="439" spans="1:14" s="17" customFormat="1" ht="15.75" customHeight="1" x14ac:dyDescent="0.25">
      <c r="A439" s="4">
        <v>438</v>
      </c>
      <c r="B439" s="5" t="s">
        <v>434</v>
      </c>
      <c r="C439" s="6" t="s">
        <v>41</v>
      </c>
      <c r="D439" s="6"/>
      <c r="E439" s="6" t="s">
        <v>636</v>
      </c>
      <c r="F439" s="6" t="s">
        <v>646</v>
      </c>
      <c r="G439" s="7">
        <f t="shared" si="6"/>
        <v>250</v>
      </c>
      <c r="H439" s="7">
        <v>59</v>
      </c>
      <c r="I439" s="7">
        <v>45</v>
      </c>
      <c r="J439" s="7">
        <v>40</v>
      </c>
      <c r="K439" s="7">
        <v>35</v>
      </c>
      <c r="L439" s="7">
        <v>40</v>
      </c>
      <c r="M439" s="7">
        <v>31</v>
      </c>
      <c r="N439" s="6"/>
    </row>
    <row r="440" spans="1:14" s="17" customFormat="1" ht="15.75" customHeight="1" x14ac:dyDescent="0.25">
      <c r="A440" s="4">
        <v>439</v>
      </c>
      <c r="B440" s="5" t="s">
        <v>435</v>
      </c>
      <c r="C440" s="6" t="s">
        <v>41</v>
      </c>
      <c r="D440" s="6" t="s">
        <v>28</v>
      </c>
      <c r="E440" s="6" t="s">
        <v>636</v>
      </c>
      <c r="F440" s="6" t="s">
        <v>646</v>
      </c>
      <c r="G440" s="7">
        <f t="shared" si="6"/>
        <v>410</v>
      </c>
      <c r="H440" s="7">
        <v>79</v>
      </c>
      <c r="I440" s="7">
        <v>85</v>
      </c>
      <c r="J440" s="7">
        <v>60</v>
      </c>
      <c r="K440" s="7">
        <v>55</v>
      </c>
      <c r="L440" s="7">
        <v>60</v>
      </c>
      <c r="M440" s="7">
        <v>71</v>
      </c>
      <c r="N440" s="6"/>
    </row>
    <row r="441" spans="1:14" s="17" customFormat="1" ht="15.75" customHeight="1" x14ac:dyDescent="0.25">
      <c r="A441" s="4">
        <v>440</v>
      </c>
      <c r="B441" s="5" t="s">
        <v>436</v>
      </c>
      <c r="C441" s="6" t="s">
        <v>34</v>
      </c>
      <c r="D441" s="6"/>
      <c r="E441" s="6" t="s">
        <v>537</v>
      </c>
      <c r="F441" s="6"/>
      <c r="G441" s="7">
        <f t="shared" si="6"/>
        <v>194</v>
      </c>
      <c r="H441" s="7">
        <v>37</v>
      </c>
      <c r="I441" s="7">
        <v>25</v>
      </c>
      <c r="J441" s="7">
        <v>41</v>
      </c>
      <c r="K441" s="7">
        <v>25</v>
      </c>
      <c r="L441" s="7">
        <v>41</v>
      </c>
      <c r="M441" s="7">
        <v>25</v>
      </c>
      <c r="N441" s="6"/>
    </row>
    <row r="442" spans="1:14" s="17" customFormat="1" ht="15.75" customHeight="1" x14ac:dyDescent="0.25">
      <c r="A442" s="4">
        <v>441</v>
      </c>
      <c r="B442" s="5" t="s">
        <v>437</v>
      </c>
      <c r="C442" s="6" t="s">
        <v>34</v>
      </c>
      <c r="D442" s="6"/>
      <c r="E442" s="6" t="s">
        <v>539</v>
      </c>
      <c r="F442" s="6"/>
      <c r="G442" s="7">
        <f t="shared" si="6"/>
        <v>384</v>
      </c>
      <c r="H442" s="7">
        <v>77</v>
      </c>
      <c r="I442" s="7">
        <v>85</v>
      </c>
      <c r="J442" s="7">
        <v>51</v>
      </c>
      <c r="K442" s="7">
        <v>55</v>
      </c>
      <c r="L442" s="7">
        <v>51</v>
      </c>
      <c r="M442" s="7">
        <v>65</v>
      </c>
      <c r="N442" s="6"/>
    </row>
    <row r="443" spans="1:14" s="17" customFormat="1" ht="15.75" customHeight="1" x14ac:dyDescent="0.25">
      <c r="A443" s="4">
        <v>442</v>
      </c>
      <c r="B443" s="5" t="s">
        <v>438</v>
      </c>
      <c r="C443" s="6" t="s">
        <v>51</v>
      </c>
      <c r="D443" s="6"/>
      <c r="E443" s="6" t="s">
        <v>548</v>
      </c>
      <c r="F443" s="6" t="s">
        <v>631</v>
      </c>
      <c r="G443" s="7">
        <f t="shared" si="6"/>
        <v>263</v>
      </c>
      <c r="H443" s="7">
        <v>45</v>
      </c>
      <c r="I443" s="7">
        <v>65</v>
      </c>
      <c r="J443" s="7">
        <v>34</v>
      </c>
      <c r="K443" s="7">
        <v>40</v>
      </c>
      <c r="L443" s="7">
        <v>34</v>
      </c>
      <c r="M443" s="7">
        <v>45</v>
      </c>
      <c r="N443" s="6"/>
    </row>
    <row r="444" spans="1:14" s="17" customFormat="1" ht="15.75" customHeight="1" x14ac:dyDescent="0.25">
      <c r="A444" s="4">
        <v>443</v>
      </c>
      <c r="B444" s="5" t="s">
        <v>439</v>
      </c>
      <c r="C444" s="6" t="s">
        <v>51</v>
      </c>
      <c r="D444" s="6"/>
      <c r="E444" s="6" t="s">
        <v>548</v>
      </c>
      <c r="F444" s="6" t="s">
        <v>631</v>
      </c>
      <c r="G444" s="7">
        <f t="shared" si="6"/>
        <v>363</v>
      </c>
      <c r="H444" s="7">
        <v>60</v>
      </c>
      <c r="I444" s="7">
        <v>85</v>
      </c>
      <c r="J444" s="7">
        <v>49</v>
      </c>
      <c r="K444" s="7">
        <v>60</v>
      </c>
      <c r="L444" s="7">
        <v>49</v>
      </c>
      <c r="M444" s="7">
        <v>60</v>
      </c>
      <c r="N444" s="6"/>
    </row>
    <row r="445" spans="1:14" s="17" customFormat="1" ht="15.75" customHeight="1" x14ac:dyDescent="0.25">
      <c r="A445" s="4">
        <v>444</v>
      </c>
      <c r="B445" s="5" t="s">
        <v>440</v>
      </c>
      <c r="C445" s="6" t="s">
        <v>51</v>
      </c>
      <c r="D445" s="6"/>
      <c r="E445" s="6" t="s">
        <v>548</v>
      </c>
      <c r="F445" s="6" t="s">
        <v>631</v>
      </c>
      <c r="G445" s="7">
        <f t="shared" si="6"/>
        <v>523</v>
      </c>
      <c r="H445" s="7">
        <v>80</v>
      </c>
      <c r="I445" s="7">
        <v>120</v>
      </c>
      <c r="J445" s="7">
        <v>79</v>
      </c>
      <c r="K445" s="7">
        <v>95</v>
      </c>
      <c r="L445" s="7">
        <v>79</v>
      </c>
      <c r="M445" s="7">
        <v>70</v>
      </c>
      <c r="N445" s="6"/>
    </row>
    <row r="446" spans="1:14" s="17" customFormat="1" ht="15.75" customHeight="1" x14ac:dyDescent="0.25">
      <c r="A446" s="4">
        <v>445</v>
      </c>
      <c r="B446" s="5" t="s">
        <v>443</v>
      </c>
      <c r="C446" s="6" t="s">
        <v>104</v>
      </c>
      <c r="D446" s="6"/>
      <c r="E446" s="6" t="s">
        <v>1389</v>
      </c>
      <c r="F446" s="6" t="s">
        <v>843</v>
      </c>
      <c r="G446" s="7">
        <f t="shared" si="6"/>
        <v>350</v>
      </c>
      <c r="H446" s="7">
        <v>67</v>
      </c>
      <c r="I446" s="7">
        <v>125</v>
      </c>
      <c r="J446" s="7">
        <v>40</v>
      </c>
      <c r="K446" s="7">
        <v>30</v>
      </c>
      <c r="L446" s="7">
        <v>30</v>
      </c>
      <c r="M446" s="7">
        <v>58</v>
      </c>
      <c r="N446" s="6"/>
    </row>
    <row r="447" spans="1:14" s="17" customFormat="1" ht="15.75" customHeight="1" x14ac:dyDescent="0.25">
      <c r="A447" s="4">
        <v>446</v>
      </c>
      <c r="B447" s="5" t="s">
        <v>444</v>
      </c>
      <c r="C447" s="6" t="s">
        <v>104</v>
      </c>
      <c r="D447" s="6"/>
      <c r="E447" s="6" t="s">
        <v>1389</v>
      </c>
      <c r="F447" s="6" t="s">
        <v>843</v>
      </c>
      <c r="G447" s="7">
        <f t="shared" si="6"/>
        <v>495</v>
      </c>
      <c r="H447" s="7">
        <v>97</v>
      </c>
      <c r="I447" s="7">
        <v>165</v>
      </c>
      <c r="J447" s="7">
        <v>60</v>
      </c>
      <c r="K447" s="7">
        <v>65</v>
      </c>
      <c r="L447" s="7">
        <v>50</v>
      </c>
      <c r="M447" s="7">
        <v>58</v>
      </c>
      <c r="N447" s="6"/>
    </row>
    <row r="448" spans="1:14" s="17" customFormat="1" ht="15.75" customHeight="1" x14ac:dyDescent="0.25">
      <c r="A448" s="4">
        <v>447</v>
      </c>
      <c r="B448" s="5" t="s">
        <v>445</v>
      </c>
      <c r="C448" s="6" t="s">
        <v>104</v>
      </c>
      <c r="D448" s="6" t="s">
        <v>112</v>
      </c>
      <c r="E448" s="6" t="s">
        <v>1454</v>
      </c>
      <c r="F448" s="6" t="s">
        <v>1155</v>
      </c>
      <c r="G448" s="7">
        <f t="shared" si="6"/>
        <v>350</v>
      </c>
      <c r="H448" s="7">
        <v>30</v>
      </c>
      <c r="I448" s="7">
        <v>42</v>
      </c>
      <c r="J448" s="7">
        <v>118</v>
      </c>
      <c r="K448" s="7">
        <v>42</v>
      </c>
      <c r="L448" s="7">
        <v>88</v>
      </c>
      <c r="M448" s="7">
        <v>30</v>
      </c>
      <c r="N448" s="6"/>
    </row>
    <row r="449" spans="1:14" s="17" customFormat="1" ht="15.75" customHeight="1" x14ac:dyDescent="0.25">
      <c r="A449" s="4">
        <v>448</v>
      </c>
      <c r="B449" s="5" t="s">
        <v>446</v>
      </c>
      <c r="C449" s="6" t="s">
        <v>104</v>
      </c>
      <c r="D449" s="6" t="s">
        <v>112</v>
      </c>
      <c r="E449" s="6" t="s">
        <v>1454</v>
      </c>
      <c r="F449" s="6" t="s">
        <v>1155</v>
      </c>
      <c r="G449" s="7">
        <f t="shared" si="6"/>
        <v>495</v>
      </c>
      <c r="H449" s="7">
        <v>60</v>
      </c>
      <c r="I449" s="7">
        <v>52</v>
      </c>
      <c r="J449" s="7">
        <v>168</v>
      </c>
      <c r="K449" s="7">
        <v>47</v>
      </c>
      <c r="L449" s="7">
        <v>138</v>
      </c>
      <c r="M449" s="7">
        <v>30</v>
      </c>
      <c r="N449" s="6"/>
    </row>
    <row r="450" spans="1:14" s="17" customFormat="1" ht="15.75" customHeight="1" x14ac:dyDescent="0.25">
      <c r="A450" s="4">
        <v>449</v>
      </c>
      <c r="B450" s="5" t="s">
        <v>447</v>
      </c>
      <c r="C450" s="6" t="s">
        <v>34</v>
      </c>
      <c r="D450" s="6"/>
      <c r="E450" s="6" t="s">
        <v>537</v>
      </c>
      <c r="F450" s="6"/>
      <c r="G450" s="7">
        <f t="shared" ref="G450:G513" si="7">SUM(H450:M450)</f>
        <v>224</v>
      </c>
      <c r="H450" s="7">
        <v>40</v>
      </c>
      <c r="I450" s="7">
        <v>29</v>
      </c>
      <c r="J450" s="7">
        <v>45</v>
      </c>
      <c r="K450" s="7">
        <v>29</v>
      </c>
      <c r="L450" s="7">
        <v>45</v>
      </c>
      <c r="M450" s="7">
        <v>36</v>
      </c>
      <c r="N450" s="6"/>
    </row>
    <row r="451" spans="1:14" s="17" customFormat="1" ht="15.75" customHeight="1" x14ac:dyDescent="0.25">
      <c r="A451" s="4">
        <v>450</v>
      </c>
      <c r="B451" s="5" t="s">
        <v>448</v>
      </c>
      <c r="C451" s="6" t="s">
        <v>34</v>
      </c>
      <c r="D451" s="6" t="s">
        <v>14</v>
      </c>
      <c r="E451" s="6" t="s">
        <v>639</v>
      </c>
      <c r="F451" s="6"/>
      <c r="G451" s="7">
        <f t="shared" si="7"/>
        <v>424</v>
      </c>
      <c r="H451" s="7">
        <v>60</v>
      </c>
      <c r="I451" s="7">
        <v>59</v>
      </c>
      <c r="J451" s="7">
        <v>85</v>
      </c>
      <c r="K451" s="7">
        <v>79</v>
      </c>
      <c r="L451" s="7">
        <v>105</v>
      </c>
      <c r="M451" s="7">
        <v>36</v>
      </c>
      <c r="N451" s="6"/>
    </row>
    <row r="452" spans="1:14" s="17" customFormat="1" ht="15.75" customHeight="1" x14ac:dyDescent="0.25">
      <c r="A452" s="4">
        <v>451</v>
      </c>
      <c r="B452" s="5" t="s">
        <v>449</v>
      </c>
      <c r="C452" s="6" t="s">
        <v>34</v>
      </c>
      <c r="D452" s="6" t="s">
        <v>26</v>
      </c>
      <c r="E452" s="6" t="s">
        <v>539</v>
      </c>
      <c r="F452" s="6"/>
      <c r="G452" s="7">
        <f t="shared" si="7"/>
        <v>424</v>
      </c>
      <c r="H452" s="7">
        <v>70</v>
      </c>
      <c r="I452" s="7">
        <v>94</v>
      </c>
      <c r="J452" s="7">
        <v>50</v>
      </c>
      <c r="K452" s="7">
        <v>94</v>
      </c>
      <c r="L452" s="7">
        <v>50</v>
      </c>
      <c r="M452" s="7">
        <v>66</v>
      </c>
      <c r="N452" s="6"/>
    </row>
    <row r="453" spans="1:14" s="17" customFormat="1" ht="15.75" customHeight="1" x14ac:dyDescent="0.25">
      <c r="A453" s="4">
        <v>452</v>
      </c>
      <c r="B453" s="5" t="s">
        <v>450</v>
      </c>
      <c r="C453" s="6" t="s">
        <v>34</v>
      </c>
      <c r="D453" s="6" t="s">
        <v>1136</v>
      </c>
      <c r="E453" s="6" t="s">
        <v>647</v>
      </c>
      <c r="F453" s="6"/>
      <c r="G453" s="7">
        <f t="shared" si="7"/>
        <v>244</v>
      </c>
      <c r="H453" s="7">
        <v>30</v>
      </c>
      <c r="I453" s="7">
        <v>30</v>
      </c>
      <c r="J453" s="7">
        <v>42</v>
      </c>
      <c r="K453" s="7">
        <v>30</v>
      </c>
      <c r="L453" s="7">
        <v>42</v>
      </c>
      <c r="M453" s="7">
        <v>70</v>
      </c>
      <c r="N453" s="6"/>
    </row>
    <row r="454" spans="1:14" s="17" customFormat="1" ht="15.75" customHeight="1" x14ac:dyDescent="0.25">
      <c r="A454" s="4">
        <v>453</v>
      </c>
      <c r="B454" s="5" t="s">
        <v>451</v>
      </c>
      <c r="C454" s="6" t="s">
        <v>34</v>
      </c>
      <c r="D454" s="6" t="s">
        <v>1136</v>
      </c>
      <c r="E454" s="6" t="s">
        <v>605</v>
      </c>
      <c r="F454" s="6" t="s">
        <v>1148</v>
      </c>
      <c r="G454" s="7">
        <f t="shared" si="7"/>
        <v>474</v>
      </c>
      <c r="H454" s="7">
        <v>70</v>
      </c>
      <c r="I454" s="7">
        <v>80</v>
      </c>
      <c r="J454" s="7">
        <v>102</v>
      </c>
      <c r="K454" s="7">
        <v>80</v>
      </c>
      <c r="L454" s="7">
        <v>102</v>
      </c>
      <c r="M454" s="7">
        <v>40</v>
      </c>
      <c r="N454" s="6"/>
    </row>
    <row r="455" spans="1:14" s="17" customFormat="1" ht="15.75" customHeight="1" x14ac:dyDescent="0.25">
      <c r="A455" s="4">
        <v>454</v>
      </c>
      <c r="B455" s="5" t="s">
        <v>452</v>
      </c>
      <c r="C455" s="6" t="s">
        <v>51</v>
      </c>
      <c r="D455" s="6" t="s">
        <v>119</v>
      </c>
      <c r="E455" s="6" t="s">
        <v>633</v>
      </c>
      <c r="F455" s="6" t="s">
        <v>1397</v>
      </c>
      <c r="G455" s="7">
        <f t="shared" si="7"/>
        <v>415</v>
      </c>
      <c r="H455" s="7">
        <v>60</v>
      </c>
      <c r="I455" s="7">
        <v>55</v>
      </c>
      <c r="J455" s="7">
        <v>70</v>
      </c>
      <c r="K455" s="7">
        <v>55</v>
      </c>
      <c r="L455" s="7">
        <v>80</v>
      </c>
      <c r="M455" s="7">
        <v>95</v>
      </c>
      <c r="N455" s="6"/>
    </row>
    <row r="456" spans="1:14" s="17" customFormat="1" ht="15.75" customHeight="1" x14ac:dyDescent="0.25">
      <c r="A456" s="4">
        <v>455</v>
      </c>
      <c r="B456" s="5" t="s">
        <v>453</v>
      </c>
      <c r="C456" s="6" t="s">
        <v>28</v>
      </c>
      <c r="D456" s="6"/>
      <c r="E456" s="6" t="s">
        <v>594</v>
      </c>
      <c r="F456" s="6"/>
      <c r="G456" s="7">
        <f t="shared" si="7"/>
        <v>330</v>
      </c>
      <c r="H456" s="7">
        <v>55</v>
      </c>
      <c r="I456" s="7">
        <v>65</v>
      </c>
      <c r="J456" s="7">
        <v>35</v>
      </c>
      <c r="K456" s="7">
        <v>60</v>
      </c>
      <c r="L456" s="7">
        <v>30</v>
      </c>
      <c r="M456" s="7">
        <v>85</v>
      </c>
      <c r="N456" s="6"/>
    </row>
    <row r="457" spans="1:14" s="17" customFormat="1" ht="15.75" customHeight="1" x14ac:dyDescent="0.25">
      <c r="A457" s="4">
        <v>456</v>
      </c>
      <c r="B457" s="5" t="s">
        <v>454</v>
      </c>
      <c r="C457" s="6" t="s">
        <v>28</v>
      </c>
      <c r="D457" s="6"/>
      <c r="E457" s="6" t="s">
        <v>594</v>
      </c>
      <c r="F457" s="6"/>
      <c r="G457" s="7">
        <f t="shared" si="7"/>
        <v>495</v>
      </c>
      <c r="H457" s="7">
        <v>85</v>
      </c>
      <c r="I457" s="7">
        <v>105</v>
      </c>
      <c r="J457" s="7">
        <v>55</v>
      </c>
      <c r="K457" s="7">
        <v>85</v>
      </c>
      <c r="L457" s="7">
        <v>50</v>
      </c>
      <c r="M457" s="7">
        <v>115</v>
      </c>
      <c r="N457" s="6"/>
    </row>
    <row r="458" spans="1:14" s="17" customFormat="1" ht="15.75" customHeight="1" x14ac:dyDescent="0.25">
      <c r="A458" s="4">
        <v>457</v>
      </c>
      <c r="B458" s="5" t="s">
        <v>455</v>
      </c>
      <c r="C458" s="6" t="s">
        <v>14</v>
      </c>
      <c r="D458" s="6"/>
      <c r="E458" s="6" t="s">
        <v>17</v>
      </c>
      <c r="F458" s="6"/>
      <c r="G458" s="7">
        <f t="shared" si="7"/>
        <v>275</v>
      </c>
      <c r="H458" s="7">
        <v>45</v>
      </c>
      <c r="I458" s="7">
        <v>35</v>
      </c>
      <c r="J458" s="7">
        <v>45</v>
      </c>
      <c r="K458" s="7">
        <v>62</v>
      </c>
      <c r="L458" s="7">
        <v>53</v>
      </c>
      <c r="M458" s="7">
        <v>35</v>
      </c>
      <c r="N458" s="6"/>
    </row>
    <row r="459" spans="1:14" s="17" customFormat="1" ht="15.75" customHeight="1" x14ac:dyDescent="0.25">
      <c r="A459" s="4">
        <v>458</v>
      </c>
      <c r="B459" s="5" t="s">
        <v>456</v>
      </c>
      <c r="C459" s="6" t="s">
        <v>14</v>
      </c>
      <c r="D459" s="6"/>
      <c r="E459" s="6" t="s">
        <v>648</v>
      </c>
      <c r="F459" s="6"/>
      <c r="G459" s="7">
        <f t="shared" si="7"/>
        <v>488</v>
      </c>
      <c r="H459" s="7">
        <v>70</v>
      </c>
      <c r="I459" s="7">
        <v>50</v>
      </c>
      <c r="J459" s="7">
        <v>100</v>
      </c>
      <c r="K459" s="7">
        <v>100</v>
      </c>
      <c r="L459" s="7">
        <v>108</v>
      </c>
      <c r="M459" s="7">
        <v>60</v>
      </c>
      <c r="N459" s="6"/>
    </row>
    <row r="460" spans="1:14" s="17" customFormat="1" ht="15.75" customHeight="1" x14ac:dyDescent="0.25">
      <c r="A460" s="4">
        <v>459</v>
      </c>
      <c r="B460" s="5" t="s">
        <v>457</v>
      </c>
      <c r="C460" s="6" t="s">
        <v>28</v>
      </c>
      <c r="D460" s="6"/>
      <c r="E460" s="6" t="s">
        <v>578</v>
      </c>
      <c r="F460" s="6" t="s">
        <v>649</v>
      </c>
      <c r="G460" s="7">
        <f t="shared" si="7"/>
        <v>325</v>
      </c>
      <c r="H460" s="7">
        <v>76</v>
      </c>
      <c r="I460" s="7">
        <v>48</v>
      </c>
      <c r="J460" s="7">
        <v>48</v>
      </c>
      <c r="K460" s="7">
        <v>57</v>
      </c>
      <c r="L460" s="7">
        <v>62</v>
      </c>
      <c r="M460" s="7">
        <v>34</v>
      </c>
      <c r="N460" s="6"/>
    </row>
    <row r="461" spans="1:14" s="17" customFormat="1" ht="15.75" customHeight="1" x14ac:dyDescent="0.25">
      <c r="A461" s="4">
        <v>460</v>
      </c>
      <c r="B461" s="5" t="s">
        <v>458</v>
      </c>
      <c r="C461" s="6" t="s">
        <v>28</v>
      </c>
      <c r="D461" s="6" t="s">
        <v>54</v>
      </c>
      <c r="E461" s="6" t="s">
        <v>578</v>
      </c>
      <c r="F461" s="6" t="s">
        <v>649</v>
      </c>
      <c r="G461" s="7">
        <f t="shared" si="7"/>
        <v>475</v>
      </c>
      <c r="H461" s="7">
        <v>111</v>
      </c>
      <c r="I461" s="7">
        <v>60</v>
      </c>
      <c r="J461" s="7">
        <v>68</v>
      </c>
      <c r="K461" s="7">
        <v>92</v>
      </c>
      <c r="L461" s="7">
        <v>105</v>
      </c>
      <c r="M461" s="7">
        <v>39</v>
      </c>
      <c r="N461" s="6"/>
    </row>
    <row r="462" spans="1:14" s="17" customFormat="1" ht="15.75" customHeight="1" x14ac:dyDescent="0.25">
      <c r="A462" s="4">
        <v>461</v>
      </c>
      <c r="B462" s="5" t="s">
        <v>460</v>
      </c>
      <c r="C462" s="6" t="s">
        <v>125</v>
      </c>
      <c r="D462" s="6" t="s">
        <v>26</v>
      </c>
      <c r="E462" s="6" t="s">
        <v>650</v>
      </c>
      <c r="F462" s="6" t="s">
        <v>651</v>
      </c>
      <c r="G462" s="7">
        <f t="shared" si="7"/>
        <v>348</v>
      </c>
      <c r="H462" s="7">
        <v>90</v>
      </c>
      <c r="I462" s="7">
        <v>50</v>
      </c>
      <c r="J462" s="7">
        <v>34</v>
      </c>
      <c r="K462" s="7">
        <v>60</v>
      </c>
      <c r="L462" s="7">
        <v>44</v>
      </c>
      <c r="M462" s="7">
        <v>70</v>
      </c>
      <c r="N462" s="6"/>
    </row>
    <row r="463" spans="1:14" s="17" customFormat="1" ht="15.75" customHeight="1" x14ac:dyDescent="0.25">
      <c r="A463" s="4">
        <v>462</v>
      </c>
      <c r="B463" s="5" t="s">
        <v>461</v>
      </c>
      <c r="C463" s="6" t="s">
        <v>125</v>
      </c>
      <c r="D463" s="6" t="s">
        <v>26</v>
      </c>
      <c r="E463" s="6" t="s">
        <v>650</v>
      </c>
      <c r="F463" s="6" t="s">
        <v>651</v>
      </c>
      <c r="G463" s="7">
        <f t="shared" si="7"/>
        <v>498</v>
      </c>
      <c r="H463" s="7">
        <v>150</v>
      </c>
      <c r="I463" s="7">
        <v>80</v>
      </c>
      <c r="J463" s="7">
        <v>44</v>
      </c>
      <c r="K463" s="7">
        <v>90</v>
      </c>
      <c r="L463" s="7">
        <v>54</v>
      </c>
      <c r="M463" s="7">
        <v>80</v>
      </c>
      <c r="N463" s="6"/>
    </row>
    <row r="464" spans="1:14" s="17" customFormat="1" ht="15.75" customHeight="1" x14ac:dyDescent="0.25">
      <c r="A464" s="4">
        <v>463</v>
      </c>
      <c r="B464" s="5" t="s">
        <v>462</v>
      </c>
      <c r="C464" s="6" t="s">
        <v>41</v>
      </c>
      <c r="D464" s="6"/>
      <c r="E464" s="6" t="s">
        <v>542</v>
      </c>
      <c r="F464" s="6" t="s">
        <v>652</v>
      </c>
      <c r="G464" s="7">
        <f t="shared" si="7"/>
        <v>350</v>
      </c>
      <c r="H464" s="7">
        <v>55</v>
      </c>
      <c r="I464" s="7">
        <v>66</v>
      </c>
      <c r="J464" s="7">
        <v>44</v>
      </c>
      <c r="K464" s="7">
        <v>44</v>
      </c>
      <c r="L464" s="7">
        <v>56</v>
      </c>
      <c r="M464" s="7">
        <v>85</v>
      </c>
      <c r="N464" s="6"/>
    </row>
    <row r="465" spans="1:14" s="17" customFormat="1" ht="15.75" customHeight="1" x14ac:dyDescent="0.25">
      <c r="A465" s="4">
        <v>464</v>
      </c>
      <c r="B465" s="5" t="s">
        <v>463</v>
      </c>
      <c r="C465" s="6" t="s">
        <v>41</v>
      </c>
      <c r="D465" s="6" t="s">
        <v>84</v>
      </c>
      <c r="E465" s="6" t="s">
        <v>549</v>
      </c>
      <c r="F465" s="6" t="s">
        <v>652</v>
      </c>
      <c r="G465" s="7">
        <f t="shared" si="7"/>
        <v>480</v>
      </c>
      <c r="H465" s="7">
        <v>65</v>
      </c>
      <c r="I465" s="7">
        <v>76</v>
      </c>
      <c r="J465" s="7">
        <v>84</v>
      </c>
      <c r="K465" s="7">
        <v>54</v>
      </c>
      <c r="L465" s="7">
        <v>96</v>
      </c>
      <c r="M465" s="7">
        <v>105</v>
      </c>
      <c r="N465" s="6"/>
    </row>
    <row r="466" spans="1:14" s="17" customFormat="1" ht="15.75" customHeight="1" x14ac:dyDescent="0.25">
      <c r="A466" s="4">
        <v>465</v>
      </c>
      <c r="B466" s="5" t="s">
        <v>466</v>
      </c>
      <c r="C466" s="6" t="s">
        <v>41</v>
      </c>
      <c r="E466" s="6" t="s">
        <v>559</v>
      </c>
      <c r="F466" s="6" t="s">
        <v>572</v>
      </c>
      <c r="G466" s="7">
        <f t="shared" si="7"/>
        <v>310</v>
      </c>
      <c r="H466" s="7">
        <v>49</v>
      </c>
      <c r="I466" s="7">
        <v>55</v>
      </c>
      <c r="J466" s="7">
        <v>42</v>
      </c>
      <c r="K466" s="7">
        <v>42</v>
      </c>
      <c r="L466" s="7">
        <v>37</v>
      </c>
      <c r="M466" s="7">
        <v>85</v>
      </c>
      <c r="N466" s="6"/>
    </row>
    <row r="467" spans="1:14" s="17" customFormat="1" ht="15.75" customHeight="1" x14ac:dyDescent="0.25">
      <c r="A467" s="4">
        <v>466</v>
      </c>
      <c r="B467" s="5" t="s">
        <v>467</v>
      </c>
      <c r="C467" s="6" t="s">
        <v>41</v>
      </c>
      <c r="D467" s="6"/>
      <c r="E467" s="6" t="s">
        <v>575</v>
      </c>
      <c r="F467" s="6" t="s">
        <v>572</v>
      </c>
      <c r="G467" s="7">
        <f t="shared" si="7"/>
        <v>452</v>
      </c>
      <c r="H467" s="7">
        <v>71</v>
      </c>
      <c r="I467" s="7">
        <v>82</v>
      </c>
      <c r="J467" s="7">
        <v>64</v>
      </c>
      <c r="K467" s="7">
        <v>64</v>
      </c>
      <c r="L467" s="7">
        <v>59</v>
      </c>
      <c r="M467" s="7">
        <v>112</v>
      </c>
      <c r="N467" s="6"/>
    </row>
    <row r="468" spans="1:14" s="17" customFormat="1" ht="15.75" customHeight="1" x14ac:dyDescent="0.25">
      <c r="A468" s="4">
        <v>467</v>
      </c>
      <c r="B468" s="5" t="s">
        <v>469</v>
      </c>
      <c r="C468" s="6" t="s">
        <v>15</v>
      </c>
      <c r="D468" s="6" t="s">
        <v>232</v>
      </c>
      <c r="E468" s="6" t="s">
        <v>577</v>
      </c>
      <c r="F468" s="6" t="s">
        <v>650</v>
      </c>
      <c r="G468" s="7">
        <f t="shared" si="7"/>
        <v>329</v>
      </c>
      <c r="H468" s="7">
        <v>63</v>
      </c>
      <c r="I468" s="7">
        <v>63</v>
      </c>
      <c r="J468" s="7">
        <v>47</v>
      </c>
      <c r="K468" s="7">
        <v>41</v>
      </c>
      <c r="L468" s="7">
        <v>41</v>
      </c>
      <c r="M468" s="7">
        <v>74</v>
      </c>
      <c r="N468" s="6"/>
    </row>
    <row r="469" spans="1:14" s="17" customFormat="1" ht="15.75" customHeight="1" x14ac:dyDescent="0.25">
      <c r="A469" s="4">
        <v>468</v>
      </c>
      <c r="B469" s="5" t="s">
        <v>470</v>
      </c>
      <c r="C469" s="6" t="s">
        <v>15</v>
      </c>
      <c r="D469" s="6" t="s">
        <v>232</v>
      </c>
      <c r="E469" s="6" t="s">
        <v>577</v>
      </c>
      <c r="F469" s="6" t="s">
        <v>650</v>
      </c>
      <c r="G469" s="7">
        <f t="shared" si="7"/>
        <v>479</v>
      </c>
      <c r="H469" s="7">
        <v>103</v>
      </c>
      <c r="I469" s="7">
        <v>93</v>
      </c>
      <c r="J469" s="7">
        <v>67</v>
      </c>
      <c r="K469" s="7">
        <v>71</v>
      </c>
      <c r="L469" s="7">
        <v>61</v>
      </c>
      <c r="M469" s="7">
        <v>84</v>
      </c>
      <c r="N469" s="6"/>
    </row>
    <row r="470" spans="1:14" s="17" customFormat="1" ht="15.75" customHeight="1" x14ac:dyDescent="0.25">
      <c r="A470" s="4">
        <v>469</v>
      </c>
      <c r="B470" s="5" t="s">
        <v>471</v>
      </c>
      <c r="C470" s="6" t="s">
        <v>112</v>
      </c>
      <c r="D470" s="6" t="s">
        <v>92</v>
      </c>
      <c r="E470" s="6" t="s">
        <v>581</v>
      </c>
      <c r="F470" s="6" t="s">
        <v>653</v>
      </c>
      <c r="G470" s="7">
        <f t="shared" si="7"/>
        <v>300</v>
      </c>
      <c r="H470" s="7">
        <v>57</v>
      </c>
      <c r="I470" s="7">
        <v>24</v>
      </c>
      <c r="J470" s="7">
        <v>86</v>
      </c>
      <c r="K470" s="7">
        <v>24</v>
      </c>
      <c r="L470" s="7">
        <v>86</v>
      </c>
      <c r="M470" s="7">
        <v>23</v>
      </c>
      <c r="N470" s="6"/>
    </row>
    <row r="471" spans="1:14" s="17" customFormat="1" ht="15.75" customHeight="1" x14ac:dyDescent="0.25">
      <c r="A471" s="4">
        <v>470</v>
      </c>
      <c r="B471" s="5" t="s">
        <v>472</v>
      </c>
      <c r="C471" s="6" t="s">
        <v>112</v>
      </c>
      <c r="D471" s="6" t="s">
        <v>92</v>
      </c>
      <c r="E471" s="6" t="s">
        <v>581</v>
      </c>
      <c r="F471" s="6" t="s">
        <v>653</v>
      </c>
      <c r="G471" s="7">
        <f t="shared" si="7"/>
        <v>500</v>
      </c>
      <c r="H471" s="7">
        <v>67</v>
      </c>
      <c r="I471" s="7">
        <v>89</v>
      </c>
      <c r="J471" s="7">
        <v>116</v>
      </c>
      <c r="K471" s="7">
        <v>79</v>
      </c>
      <c r="L471" s="7">
        <v>116</v>
      </c>
      <c r="M471" s="7">
        <v>33</v>
      </c>
      <c r="N471" s="6"/>
    </row>
    <row r="472" spans="1:14" s="17" customFormat="1" ht="15.75" customHeight="1" x14ac:dyDescent="0.25">
      <c r="A472" s="4">
        <v>471</v>
      </c>
      <c r="B472" s="5" t="s">
        <v>476</v>
      </c>
      <c r="C472" s="6" t="s">
        <v>41</v>
      </c>
      <c r="D472" s="6" t="s">
        <v>26</v>
      </c>
      <c r="E472" s="6" t="s">
        <v>1147</v>
      </c>
      <c r="F472" s="6" t="s">
        <v>541</v>
      </c>
      <c r="G472" s="7">
        <f t="shared" si="7"/>
        <v>411</v>
      </c>
      <c r="H472" s="7">
        <v>76</v>
      </c>
      <c r="I472" s="7">
        <v>65</v>
      </c>
      <c r="J472" s="7">
        <v>45</v>
      </c>
      <c r="K472" s="7">
        <v>92</v>
      </c>
      <c r="L472" s="7">
        <v>42</v>
      </c>
      <c r="M472" s="7">
        <v>91</v>
      </c>
      <c r="N472" s="6"/>
    </row>
    <row r="473" spans="1:14" s="17" customFormat="1" ht="15.75" customHeight="1" x14ac:dyDescent="0.25">
      <c r="A473" s="4">
        <v>472</v>
      </c>
      <c r="B473" s="5" t="s">
        <v>477</v>
      </c>
      <c r="C473" s="6" t="s">
        <v>125</v>
      </c>
      <c r="D473" s="6" t="s">
        <v>232</v>
      </c>
      <c r="E473" s="6" t="s">
        <v>605</v>
      </c>
      <c r="F473" s="6"/>
      <c r="G473" s="7">
        <f t="shared" si="7"/>
        <v>485</v>
      </c>
      <c r="H473" s="7">
        <v>50</v>
      </c>
      <c r="I473" s="7">
        <v>92</v>
      </c>
      <c r="J473" s="7">
        <v>108</v>
      </c>
      <c r="K473" s="7">
        <v>92</v>
      </c>
      <c r="L473" s="7">
        <v>108</v>
      </c>
      <c r="M473" s="7">
        <v>35</v>
      </c>
      <c r="N473" s="6"/>
    </row>
    <row r="474" spans="1:14" s="17" customFormat="1" ht="15.75" customHeight="1" x14ac:dyDescent="0.25">
      <c r="A474" s="4">
        <v>473</v>
      </c>
      <c r="B474" s="5" t="s">
        <v>478</v>
      </c>
      <c r="C474" s="6" t="s">
        <v>181</v>
      </c>
      <c r="D474" s="6" t="s">
        <v>54</v>
      </c>
      <c r="E474" s="6" t="s">
        <v>546</v>
      </c>
      <c r="F474" s="6"/>
      <c r="G474" s="7">
        <f t="shared" si="7"/>
        <v>300</v>
      </c>
      <c r="H474" s="7">
        <v>58</v>
      </c>
      <c r="I474" s="7">
        <v>70</v>
      </c>
      <c r="J474" s="7">
        <v>45</v>
      </c>
      <c r="K474" s="7">
        <v>40</v>
      </c>
      <c r="L474" s="7">
        <v>45</v>
      </c>
      <c r="M474" s="7">
        <v>42</v>
      </c>
      <c r="N474" s="6"/>
    </row>
    <row r="475" spans="1:14" s="17" customFormat="1" ht="15.75" customHeight="1" x14ac:dyDescent="0.25">
      <c r="A475" s="4">
        <v>474</v>
      </c>
      <c r="B475" s="5" t="s">
        <v>479</v>
      </c>
      <c r="C475" s="6" t="s">
        <v>181</v>
      </c>
      <c r="D475" s="6" t="s">
        <v>54</v>
      </c>
      <c r="E475" s="6" t="s">
        <v>546</v>
      </c>
      <c r="F475" s="6"/>
      <c r="G475" s="7">
        <f t="shared" si="7"/>
        <v>410</v>
      </c>
      <c r="H475" s="7">
        <v>68</v>
      </c>
      <c r="I475" s="7">
        <v>90</v>
      </c>
      <c r="J475" s="7">
        <v>65</v>
      </c>
      <c r="K475" s="7">
        <v>50</v>
      </c>
      <c r="L475" s="7">
        <v>55</v>
      </c>
      <c r="M475" s="7">
        <v>82</v>
      </c>
      <c r="N475" s="6"/>
    </row>
    <row r="476" spans="1:14" s="17" customFormat="1" ht="15.75" customHeight="1" x14ac:dyDescent="0.25">
      <c r="A476" s="4">
        <v>475</v>
      </c>
      <c r="B476" s="5" t="s">
        <v>480</v>
      </c>
      <c r="C476" s="6" t="s">
        <v>181</v>
      </c>
      <c r="D476" s="6" t="s">
        <v>54</v>
      </c>
      <c r="E476" s="6" t="s">
        <v>546</v>
      </c>
      <c r="F476" s="6"/>
      <c r="G476" s="7">
        <f t="shared" si="7"/>
        <v>585</v>
      </c>
      <c r="H476" s="7">
        <v>108</v>
      </c>
      <c r="I476" s="7">
        <v>125</v>
      </c>
      <c r="J476" s="7">
        <v>95</v>
      </c>
      <c r="K476" s="7">
        <v>75</v>
      </c>
      <c r="L476" s="7">
        <v>80</v>
      </c>
      <c r="M476" s="7">
        <v>102</v>
      </c>
      <c r="N476" s="6"/>
    </row>
    <row r="477" spans="1:14" s="17" customFormat="1" ht="15.75" customHeight="1" x14ac:dyDescent="0.25">
      <c r="A477" s="4">
        <v>476</v>
      </c>
      <c r="B477" s="5" t="s">
        <v>482</v>
      </c>
      <c r="C477" s="6" t="s">
        <v>84</v>
      </c>
      <c r="D477" s="6"/>
      <c r="E477" s="6" t="s">
        <v>622</v>
      </c>
      <c r="F477" s="6" t="s">
        <v>552</v>
      </c>
      <c r="G477" s="7">
        <f t="shared" si="7"/>
        <v>285</v>
      </c>
      <c r="H477" s="7">
        <v>40</v>
      </c>
      <c r="I477" s="7">
        <v>70</v>
      </c>
      <c r="J477" s="7">
        <v>40</v>
      </c>
      <c r="K477" s="7">
        <v>35</v>
      </c>
      <c r="L477" s="7">
        <v>40</v>
      </c>
      <c r="M477" s="7">
        <v>60</v>
      </c>
      <c r="N477" s="6"/>
    </row>
    <row r="478" spans="1:14" s="17" customFormat="1" ht="15.75" customHeight="1" x14ac:dyDescent="0.25">
      <c r="A478" s="4">
        <v>477</v>
      </c>
      <c r="B478" s="5" t="s">
        <v>483</v>
      </c>
      <c r="C478" s="6" t="s">
        <v>84</v>
      </c>
      <c r="D478" s="6" t="s">
        <v>112</v>
      </c>
      <c r="E478" s="6" t="s">
        <v>622</v>
      </c>
      <c r="F478" s="6" t="s">
        <v>552</v>
      </c>
      <c r="G478" s="7">
        <f t="shared" si="7"/>
        <v>525</v>
      </c>
      <c r="H478" s="7">
        <v>70</v>
      </c>
      <c r="I478" s="7">
        <v>110</v>
      </c>
      <c r="J478" s="7">
        <v>70</v>
      </c>
      <c r="K478" s="7">
        <v>115</v>
      </c>
      <c r="L478" s="7">
        <v>70</v>
      </c>
      <c r="M478" s="7">
        <v>90</v>
      </c>
      <c r="N478" s="6"/>
    </row>
    <row r="479" spans="1:14" s="17" customFormat="1" ht="15.75" customHeight="1" x14ac:dyDescent="0.25">
      <c r="A479" s="4">
        <v>478</v>
      </c>
      <c r="B479" s="5" t="s">
        <v>484</v>
      </c>
      <c r="C479" s="6" t="s">
        <v>54</v>
      </c>
      <c r="D479" s="6"/>
      <c r="E479" s="6" t="s">
        <v>623</v>
      </c>
      <c r="F479" s="6"/>
      <c r="G479" s="7">
        <f t="shared" si="7"/>
        <v>330</v>
      </c>
      <c r="H479" s="7">
        <v>68</v>
      </c>
      <c r="I479" s="7">
        <v>72</v>
      </c>
      <c r="J479" s="7">
        <v>78</v>
      </c>
      <c r="K479" s="7">
        <v>38</v>
      </c>
      <c r="L479" s="7">
        <v>42</v>
      </c>
      <c r="M479" s="7">
        <v>32</v>
      </c>
      <c r="N479" s="6"/>
    </row>
    <row r="480" spans="1:14" s="17" customFormat="1" ht="15.75" customHeight="1" x14ac:dyDescent="0.25">
      <c r="A480" s="4">
        <v>479</v>
      </c>
      <c r="B480" s="5" t="s">
        <v>485</v>
      </c>
      <c r="C480" s="6" t="s">
        <v>54</v>
      </c>
      <c r="D480" s="6"/>
      <c r="E480" s="6" t="s">
        <v>623</v>
      </c>
      <c r="F480" s="6"/>
      <c r="G480" s="7">
        <f t="shared" si="7"/>
        <v>525</v>
      </c>
      <c r="H480" s="7">
        <v>108</v>
      </c>
      <c r="I480" s="7">
        <v>112</v>
      </c>
      <c r="J480" s="7">
        <v>118</v>
      </c>
      <c r="K480" s="7">
        <v>68</v>
      </c>
      <c r="L480" s="7">
        <v>72</v>
      </c>
      <c r="M480" s="7">
        <v>47</v>
      </c>
      <c r="N480" s="6"/>
    </row>
    <row r="481" spans="1:14" s="17" customFormat="1" ht="15.75" customHeight="1" x14ac:dyDescent="0.25">
      <c r="A481" s="4">
        <v>480</v>
      </c>
      <c r="B481" s="5" t="s">
        <v>486</v>
      </c>
      <c r="C481" s="6" t="s">
        <v>15</v>
      </c>
      <c r="D481" s="6" t="s">
        <v>34</v>
      </c>
      <c r="E481" s="6" t="s">
        <v>604</v>
      </c>
      <c r="F481" s="6" t="s">
        <v>595</v>
      </c>
      <c r="G481" s="7">
        <f t="shared" si="7"/>
        <v>330</v>
      </c>
      <c r="H481" s="7">
        <v>40</v>
      </c>
      <c r="I481" s="7">
        <v>50</v>
      </c>
      <c r="J481" s="7">
        <v>90</v>
      </c>
      <c r="K481" s="7">
        <v>30</v>
      </c>
      <c r="L481" s="7">
        <v>55</v>
      </c>
      <c r="M481" s="7">
        <v>65</v>
      </c>
      <c r="N481" s="6"/>
    </row>
    <row r="482" spans="1:14" s="17" customFormat="1" ht="15.75" customHeight="1" x14ac:dyDescent="0.25">
      <c r="A482" s="4">
        <v>481</v>
      </c>
      <c r="B482" s="5" t="s">
        <v>487</v>
      </c>
      <c r="C482" s="6" t="s">
        <v>15</v>
      </c>
      <c r="D482" s="6" t="s">
        <v>232</v>
      </c>
      <c r="E482" s="6" t="s">
        <v>604</v>
      </c>
      <c r="F482" s="6" t="s">
        <v>595</v>
      </c>
      <c r="G482" s="7">
        <f t="shared" si="7"/>
        <v>500</v>
      </c>
      <c r="H482" s="7">
        <v>70</v>
      </c>
      <c r="I482" s="7">
        <v>90</v>
      </c>
      <c r="J482" s="7">
        <v>110</v>
      </c>
      <c r="K482" s="7">
        <v>60</v>
      </c>
      <c r="L482" s="7">
        <v>75</v>
      </c>
      <c r="M482" s="7">
        <v>95</v>
      </c>
      <c r="N482" s="6"/>
    </row>
    <row r="483" spans="1:14" s="17" customFormat="1" ht="15.75" customHeight="1" x14ac:dyDescent="0.25">
      <c r="A483" s="4">
        <v>482</v>
      </c>
      <c r="B483" s="5" t="s">
        <v>488</v>
      </c>
      <c r="C483" s="6" t="s">
        <v>15</v>
      </c>
      <c r="D483" s="6" t="s">
        <v>84</v>
      </c>
      <c r="E483" s="6" t="s">
        <v>639</v>
      </c>
      <c r="F483" s="6" t="s">
        <v>554</v>
      </c>
      <c r="G483" s="7">
        <f t="shared" si="7"/>
        <v>300</v>
      </c>
      <c r="H483" s="7">
        <v>48</v>
      </c>
      <c r="I483" s="7">
        <v>61</v>
      </c>
      <c r="J483" s="7">
        <v>40</v>
      </c>
      <c r="K483" s="7">
        <v>61</v>
      </c>
      <c r="L483" s="7">
        <v>40</v>
      </c>
      <c r="M483" s="7">
        <v>50</v>
      </c>
      <c r="N483" s="6"/>
    </row>
    <row r="484" spans="1:14" s="17" customFormat="1" ht="15.75" customHeight="1" x14ac:dyDescent="0.25">
      <c r="A484" s="4">
        <v>483</v>
      </c>
      <c r="B484" s="5" t="s">
        <v>489</v>
      </c>
      <c r="C484" s="6" t="s">
        <v>15</v>
      </c>
      <c r="D484" s="6" t="s">
        <v>84</v>
      </c>
      <c r="E484" s="6" t="s">
        <v>639</v>
      </c>
      <c r="F484" s="6" t="s">
        <v>554</v>
      </c>
      <c r="G484" s="7">
        <f t="shared" si="7"/>
        <v>490</v>
      </c>
      <c r="H484" s="7">
        <v>83</v>
      </c>
      <c r="I484" s="7">
        <v>106</v>
      </c>
      <c r="J484" s="7">
        <v>65</v>
      </c>
      <c r="K484" s="7">
        <v>86</v>
      </c>
      <c r="L484" s="7">
        <v>65</v>
      </c>
      <c r="M484" s="7">
        <v>85</v>
      </c>
      <c r="N484" s="6"/>
    </row>
    <row r="485" spans="1:14" s="17" customFormat="1" ht="15.75" customHeight="1" x14ac:dyDescent="0.25">
      <c r="A485" s="4">
        <v>484</v>
      </c>
      <c r="B485" s="5" t="s">
        <v>490</v>
      </c>
      <c r="C485" s="6" t="s">
        <v>14</v>
      </c>
      <c r="D485" s="6"/>
      <c r="E485" s="6" t="s">
        <v>581</v>
      </c>
      <c r="F485" s="6" t="s">
        <v>556</v>
      </c>
      <c r="G485" s="7">
        <f t="shared" si="7"/>
        <v>454</v>
      </c>
      <c r="H485" s="7">
        <v>74</v>
      </c>
      <c r="I485" s="7">
        <v>100</v>
      </c>
      <c r="J485" s="7">
        <v>72</v>
      </c>
      <c r="K485" s="7">
        <v>90</v>
      </c>
      <c r="L485" s="7">
        <v>72</v>
      </c>
      <c r="M485" s="7">
        <v>46</v>
      </c>
      <c r="N485" s="6"/>
    </row>
    <row r="486" spans="1:14" s="17" customFormat="1" ht="15.75" customHeight="1" x14ac:dyDescent="0.25">
      <c r="A486" s="4">
        <v>485</v>
      </c>
      <c r="B486" s="5" t="s">
        <v>491</v>
      </c>
      <c r="C486" s="6" t="s">
        <v>28</v>
      </c>
      <c r="D486" s="6"/>
      <c r="E486" s="6" t="s">
        <v>594</v>
      </c>
      <c r="F486" s="6" t="s">
        <v>649</v>
      </c>
      <c r="G486" s="7">
        <f t="shared" si="7"/>
        <v>330</v>
      </c>
      <c r="H486" s="7">
        <v>49</v>
      </c>
      <c r="I486" s="7">
        <v>49</v>
      </c>
      <c r="J486" s="7">
        <v>56</v>
      </c>
      <c r="K486" s="7">
        <v>49</v>
      </c>
      <c r="L486" s="7">
        <v>61</v>
      </c>
      <c r="M486" s="7">
        <v>66</v>
      </c>
      <c r="N486" s="6"/>
    </row>
    <row r="487" spans="1:14" s="17" customFormat="1" ht="15.75" customHeight="1" x14ac:dyDescent="0.25">
      <c r="A487" s="4">
        <v>486</v>
      </c>
      <c r="B487" s="5" t="s">
        <v>492</v>
      </c>
      <c r="C487" s="6" t="s">
        <v>28</v>
      </c>
      <c r="D487" s="6" t="s">
        <v>125</v>
      </c>
      <c r="E487" s="6" t="s">
        <v>594</v>
      </c>
      <c r="F487" s="6" t="s">
        <v>649</v>
      </c>
      <c r="G487" s="7">
        <f t="shared" si="7"/>
        <v>460</v>
      </c>
      <c r="H487" s="7">
        <v>69</v>
      </c>
      <c r="I487" s="7">
        <v>69</v>
      </c>
      <c r="J487" s="7">
        <v>76</v>
      </c>
      <c r="K487" s="7">
        <v>69</v>
      </c>
      <c r="L487" s="7">
        <v>86</v>
      </c>
      <c r="M487" s="7">
        <v>91</v>
      </c>
      <c r="N487" s="6"/>
    </row>
    <row r="488" spans="1:14" s="17" customFormat="1" ht="15.75" customHeight="1" x14ac:dyDescent="0.25">
      <c r="A488" s="4">
        <v>487</v>
      </c>
      <c r="B488" s="5" t="s">
        <v>494</v>
      </c>
      <c r="C488" s="6" t="s">
        <v>14</v>
      </c>
      <c r="D488" s="6" t="s">
        <v>119</v>
      </c>
      <c r="E488" s="6" t="s">
        <v>655</v>
      </c>
      <c r="F488" s="6"/>
      <c r="G488" s="7">
        <f t="shared" si="7"/>
        <v>334</v>
      </c>
      <c r="H488" s="7">
        <v>60</v>
      </c>
      <c r="I488" s="7">
        <v>62</v>
      </c>
      <c r="J488" s="7">
        <v>50</v>
      </c>
      <c r="K488" s="7">
        <v>62</v>
      </c>
      <c r="L488" s="7">
        <v>60</v>
      </c>
      <c r="M488" s="7">
        <v>40</v>
      </c>
      <c r="N488" s="6"/>
    </row>
    <row r="489" spans="1:14" s="17" customFormat="1" ht="15.75" customHeight="1" x14ac:dyDescent="0.25">
      <c r="A489" s="4">
        <v>488</v>
      </c>
      <c r="B489" s="5" t="s">
        <v>495</v>
      </c>
      <c r="C489" s="6" t="s">
        <v>14</v>
      </c>
      <c r="D489" s="6" t="s">
        <v>119</v>
      </c>
      <c r="E489" s="6" t="s">
        <v>655</v>
      </c>
      <c r="F489" s="6"/>
      <c r="G489" s="7">
        <f t="shared" si="7"/>
        <v>494</v>
      </c>
      <c r="H489" s="7">
        <v>90</v>
      </c>
      <c r="I489" s="7">
        <v>92</v>
      </c>
      <c r="J489" s="7">
        <v>75</v>
      </c>
      <c r="K489" s="7">
        <v>92</v>
      </c>
      <c r="L489" s="7">
        <v>85</v>
      </c>
      <c r="M489" s="7">
        <v>60</v>
      </c>
      <c r="N489" s="6"/>
    </row>
    <row r="490" spans="1:14" s="17" customFormat="1" ht="15.75" customHeight="1" x14ac:dyDescent="0.25">
      <c r="A490" s="4">
        <v>489</v>
      </c>
      <c r="B490" s="5" t="s">
        <v>514</v>
      </c>
      <c r="C490" s="6" t="s">
        <v>51</v>
      </c>
      <c r="D490" s="6" t="s">
        <v>125</v>
      </c>
      <c r="E490" s="6" t="s">
        <v>581</v>
      </c>
      <c r="F490" s="6"/>
      <c r="G490" s="7">
        <f t="shared" si="7"/>
        <v>440</v>
      </c>
      <c r="H490" s="7">
        <v>50</v>
      </c>
      <c r="I490" s="7">
        <v>50</v>
      </c>
      <c r="J490" s="7">
        <v>77</v>
      </c>
      <c r="K490" s="7">
        <v>95</v>
      </c>
      <c r="L490" s="7">
        <v>77</v>
      </c>
      <c r="M490" s="7">
        <v>91</v>
      </c>
      <c r="N490" s="6"/>
    </row>
    <row r="491" spans="1:14" s="17" customFormat="1" ht="15.75" customHeight="1" x14ac:dyDescent="0.25">
      <c r="A491" s="4">
        <v>490</v>
      </c>
      <c r="B491" s="5" t="s">
        <v>515</v>
      </c>
      <c r="C491" s="6" t="s">
        <v>92</v>
      </c>
      <c r="D491" s="6"/>
      <c r="E491" s="6" t="s">
        <v>581</v>
      </c>
      <c r="F491" s="6"/>
      <c r="G491" s="7">
        <f t="shared" si="7"/>
        <v>580</v>
      </c>
      <c r="H491" s="7">
        <v>75</v>
      </c>
      <c r="I491" s="7">
        <v>75</v>
      </c>
      <c r="J491" s="7">
        <v>130</v>
      </c>
      <c r="K491" s="7">
        <v>75</v>
      </c>
      <c r="L491" s="7">
        <v>130</v>
      </c>
      <c r="M491" s="7">
        <v>95</v>
      </c>
      <c r="N491" s="6"/>
    </row>
    <row r="492" spans="1:14" s="17" customFormat="1" ht="15.75" customHeight="1" x14ac:dyDescent="0.25">
      <c r="A492" s="4">
        <v>491</v>
      </c>
      <c r="B492" s="5" t="s">
        <v>516</v>
      </c>
      <c r="C492" s="6" t="s">
        <v>92</v>
      </c>
      <c r="D492" s="6"/>
      <c r="E492" s="6" t="s">
        <v>581</v>
      </c>
      <c r="F492" s="6"/>
      <c r="G492" s="7">
        <f t="shared" si="7"/>
        <v>580</v>
      </c>
      <c r="H492" s="7">
        <v>80</v>
      </c>
      <c r="I492" s="7">
        <v>105</v>
      </c>
      <c r="J492" s="7">
        <v>105</v>
      </c>
      <c r="K492" s="7">
        <v>105</v>
      </c>
      <c r="L492" s="7">
        <v>105</v>
      </c>
      <c r="M492" s="7">
        <v>80</v>
      </c>
      <c r="N492" s="6"/>
    </row>
    <row r="493" spans="1:14" s="17" customFormat="1" ht="15.75" customHeight="1" x14ac:dyDescent="0.25">
      <c r="A493" s="4">
        <v>492</v>
      </c>
      <c r="B493" s="5" t="s">
        <v>517</v>
      </c>
      <c r="C493" s="6" t="s">
        <v>92</v>
      </c>
      <c r="D493" s="6"/>
      <c r="E493" s="6" t="s">
        <v>581</v>
      </c>
      <c r="F493" s="6"/>
      <c r="G493" s="7">
        <f t="shared" si="7"/>
        <v>580</v>
      </c>
      <c r="H493" s="7">
        <v>75</v>
      </c>
      <c r="I493" s="7">
        <v>125</v>
      </c>
      <c r="J493" s="7">
        <v>70</v>
      </c>
      <c r="K493" s="7">
        <v>125</v>
      </c>
      <c r="L493" s="7">
        <v>70</v>
      </c>
      <c r="M493" s="7">
        <v>115</v>
      </c>
      <c r="N493" s="6"/>
    </row>
    <row r="494" spans="1:14" s="17" customFormat="1" ht="15.75" customHeight="1" x14ac:dyDescent="0.25">
      <c r="A494" s="4">
        <v>493</v>
      </c>
      <c r="B494" s="5" t="s">
        <v>518</v>
      </c>
      <c r="C494" s="6" t="s">
        <v>112</v>
      </c>
      <c r="D494" s="6" t="s">
        <v>181</v>
      </c>
      <c r="E494" s="6" t="s">
        <v>605</v>
      </c>
      <c r="F494" s="6" t="s">
        <v>550</v>
      </c>
      <c r="G494" s="7">
        <f t="shared" si="7"/>
        <v>680</v>
      </c>
      <c r="H494" s="7">
        <v>100</v>
      </c>
      <c r="I494" s="7">
        <v>120</v>
      </c>
      <c r="J494" s="7">
        <v>120</v>
      </c>
      <c r="K494" s="7">
        <v>150</v>
      </c>
      <c r="L494" s="7">
        <v>100</v>
      </c>
      <c r="M494" s="7">
        <v>90</v>
      </c>
      <c r="N494" s="6"/>
    </row>
    <row r="495" spans="1:14" s="17" customFormat="1" ht="15.75" customHeight="1" x14ac:dyDescent="0.25">
      <c r="A495" s="4">
        <v>494</v>
      </c>
      <c r="B495" s="5" t="s">
        <v>519</v>
      </c>
      <c r="C495" s="6" t="s">
        <v>28</v>
      </c>
      <c r="D495" s="6" t="s">
        <v>181</v>
      </c>
      <c r="E495" s="6" t="s">
        <v>605</v>
      </c>
      <c r="F495" s="6" t="s">
        <v>614</v>
      </c>
      <c r="G495" s="7">
        <f t="shared" si="7"/>
        <v>680</v>
      </c>
      <c r="H495" s="7">
        <v>90</v>
      </c>
      <c r="I495" s="7">
        <v>120</v>
      </c>
      <c r="J495" s="7">
        <v>100</v>
      </c>
      <c r="K495" s="7">
        <v>150</v>
      </c>
      <c r="L495" s="7">
        <v>120</v>
      </c>
      <c r="M495" s="7">
        <v>100</v>
      </c>
      <c r="N495" s="6"/>
    </row>
    <row r="496" spans="1:14" s="17" customFormat="1" ht="15.75" customHeight="1" x14ac:dyDescent="0.25">
      <c r="A496" s="4">
        <v>495</v>
      </c>
      <c r="B496" s="5" t="s">
        <v>520</v>
      </c>
      <c r="C496" s="6" t="s">
        <v>21</v>
      </c>
      <c r="D496" s="6" t="s">
        <v>112</v>
      </c>
      <c r="E496" s="6" t="s">
        <v>551</v>
      </c>
      <c r="F496" s="6"/>
      <c r="G496" s="7">
        <f t="shared" si="7"/>
        <v>600</v>
      </c>
      <c r="H496" s="7">
        <v>91</v>
      </c>
      <c r="I496" s="7">
        <v>90</v>
      </c>
      <c r="J496" s="7">
        <v>106</v>
      </c>
      <c r="K496" s="7">
        <v>130</v>
      </c>
      <c r="L496" s="7">
        <v>106</v>
      </c>
      <c r="M496" s="7">
        <v>77</v>
      </c>
      <c r="N496" s="6"/>
    </row>
    <row r="497" spans="1:14" s="17" customFormat="1" ht="15.75" customHeight="1" x14ac:dyDescent="0.25">
      <c r="A497" s="4">
        <v>496</v>
      </c>
      <c r="B497" s="5" t="s">
        <v>521</v>
      </c>
      <c r="C497" s="6" t="s">
        <v>41</v>
      </c>
      <c r="D497" s="6"/>
      <c r="E497" s="6" t="s">
        <v>657</v>
      </c>
      <c r="F497" s="6" t="s">
        <v>1137</v>
      </c>
      <c r="G497" s="7">
        <f t="shared" si="7"/>
        <v>670</v>
      </c>
      <c r="H497" s="7">
        <v>110</v>
      </c>
      <c r="I497" s="7">
        <v>160</v>
      </c>
      <c r="J497" s="7">
        <v>110</v>
      </c>
      <c r="K497" s="7">
        <v>80</v>
      </c>
      <c r="L497" s="7">
        <v>110</v>
      </c>
      <c r="M497" s="7">
        <v>100</v>
      </c>
      <c r="N497" s="6"/>
    </row>
    <row r="498" spans="1:14" s="17" customFormat="1" ht="15.75" customHeight="1" x14ac:dyDescent="0.25">
      <c r="A498" s="4">
        <v>497</v>
      </c>
      <c r="B498" s="5" t="s">
        <v>522</v>
      </c>
      <c r="C498" s="6" t="s">
        <v>125</v>
      </c>
      <c r="D498" s="6" t="s">
        <v>181</v>
      </c>
      <c r="E498" s="6" t="s">
        <v>605</v>
      </c>
      <c r="F498" s="6"/>
      <c r="G498" s="7">
        <f t="shared" si="7"/>
        <v>680</v>
      </c>
      <c r="H498" s="7">
        <v>150</v>
      </c>
      <c r="I498" s="7">
        <v>100</v>
      </c>
      <c r="J498" s="7">
        <v>120</v>
      </c>
      <c r="K498" s="7">
        <v>100</v>
      </c>
      <c r="L498" s="7">
        <v>120</v>
      </c>
      <c r="M498" s="7">
        <v>90</v>
      </c>
      <c r="N498" s="6"/>
    </row>
    <row r="499" spans="1:14" s="17" customFormat="1" ht="15.75" customHeight="1" x14ac:dyDescent="0.25">
      <c r="A499" s="4">
        <v>498</v>
      </c>
      <c r="B499" s="5" t="s">
        <v>523</v>
      </c>
      <c r="C499" s="6" t="s">
        <v>92</v>
      </c>
      <c r="D499" s="6"/>
      <c r="E499" s="6" t="s">
        <v>581</v>
      </c>
      <c r="F499" s="6" t="s">
        <v>1235</v>
      </c>
      <c r="G499" s="7">
        <f t="shared" si="7"/>
        <v>580</v>
      </c>
      <c r="H499" s="7">
        <v>120</v>
      </c>
      <c r="I499" s="7">
        <v>70</v>
      </c>
      <c r="J499" s="7">
        <v>110</v>
      </c>
      <c r="K499" s="7">
        <v>75</v>
      </c>
      <c r="L499" s="7">
        <v>120</v>
      </c>
      <c r="M499" s="7">
        <v>85</v>
      </c>
      <c r="N499" s="6"/>
    </row>
    <row r="500" spans="1:14" s="17" customFormat="1" ht="15.75" customHeight="1" x14ac:dyDescent="0.25">
      <c r="A500" s="4">
        <v>499</v>
      </c>
      <c r="B500" s="5" t="s">
        <v>524</v>
      </c>
      <c r="C500" s="6" t="s">
        <v>28</v>
      </c>
      <c r="D500" s="6"/>
      <c r="E500" s="6" t="s">
        <v>576</v>
      </c>
      <c r="F500" s="6"/>
      <c r="G500" s="7">
        <f t="shared" si="7"/>
        <v>480</v>
      </c>
      <c r="H500" s="7">
        <v>80</v>
      </c>
      <c r="I500" s="7">
        <v>80</v>
      </c>
      <c r="J500" s="7">
        <v>80</v>
      </c>
      <c r="K500" s="7">
        <v>80</v>
      </c>
      <c r="L500" s="7">
        <v>80</v>
      </c>
      <c r="M500" s="7">
        <v>80</v>
      </c>
      <c r="N500" s="6"/>
    </row>
    <row r="501" spans="1:14" s="17" customFormat="1" ht="15.75" customHeight="1" x14ac:dyDescent="0.25">
      <c r="A501" s="4">
        <v>500</v>
      </c>
      <c r="B501" s="5" t="s">
        <v>525</v>
      </c>
      <c r="C501" s="6" t="s">
        <v>28</v>
      </c>
      <c r="D501" s="6"/>
      <c r="E501" s="6" t="s">
        <v>576</v>
      </c>
      <c r="F501" s="6"/>
      <c r="G501" s="7">
        <f t="shared" si="7"/>
        <v>600</v>
      </c>
      <c r="H501" s="7">
        <v>100</v>
      </c>
      <c r="I501" s="7">
        <v>100</v>
      </c>
      <c r="J501" s="7">
        <v>100</v>
      </c>
      <c r="K501" s="7">
        <v>100</v>
      </c>
      <c r="L501" s="7">
        <v>100</v>
      </c>
      <c r="M501" s="7">
        <v>100</v>
      </c>
      <c r="N501" s="6"/>
    </row>
    <row r="502" spans="1:14" s="17" customFormat="1" ht="15.75" customHeight="1" x14ac:dyDescent="0.25">
      <c r="A502" s="4">
        <v>501</v>
      </c>
      <c r="B502" s="5" t="s">
        <v>526</v>
      </c>
      <c r="C502" s="6" t="s">
        <v>232</v>
      </c>
      <c r="D502" s="6"/>
      <c r="E502" s="6" t="s">
        <v>658</v>
      </c>
      <c r="F502" s="6"/>
      <c r="G502" s="7">
        <f t="shared" si="7"/>
        <v>600</v>
      </c>
      <c r="H502" s="7">
        <v>70</v>
      </c>
      <c r="I502" s="7">
        <v>90</v>
      </c>
      <c r="J502" s="7">
        <v>90</v>
      </c>
      <c r="K502" s="7">
        <v>135</v>
      </c>
      <c r="L502" s="7">
        <v>90</v>
      </c>
      <c r="M502" s="7">
        <v>125</v>
      </c>
      <c r="N502" s="6"/>
    </row>
    <row r="503" spans="1:14" s="17" customFormat="1" ht="15.75" customHeight="1" x14ac:dyDescent="0.25">
      <c r="A503" s="4">
        <v>502</v>
      </c>
      <c r="B503" s="5" t="s">
        <v>527</v>
      </c>
      <c r="C503" s="6" t="s">
        <v>14</v>
      </c>
      <c r="D503" s="6"/>
      <c r="E503" s="6" t="s">
        <v>590</v>
      </c>
      <c r="F503" s="6"/>
      <c r="G503" s="7">
        <f t="shared" si="7"/>
        <v>600</v>
      </c>
      <c r="H503" s="7">
        <v>100</v>
      </c>
      <c r="I503" s="7">
        <v>100</v>
      </c>
      <c r="J503" s="7">
        <v>100</v>
      </c>
      <c r="K503" s="7">
        <v>100</v>
      </c>
      <c r="L503" s="7">
        <v>100</v>
      </c>
      <c r="M503" s="7">
        <v>100</v>
      </c>
      <c r="N503" s="6"/>
    </row>
    <row r="504" spans="1:14" s="17" customFormat="1" ht="15.75" customHeight="1" x14ac:dyDescent="0.25">
      <c r="A504" s="4">
        <v>503</v>
      </c>
      <c r="B504" s="5" t="s">
        <v>528</v>
      </c>
      <c r="C504" s="6" t="s">
        <v>41</v>
      </c>
      <c r="D504" s="6"/>
      <c r="E504" s="6" t="s">
        <v>659</v>
      </c>
      <c r="F504" s="6"/>
      <c r="G504" s="7">
        <f t="shared" si="7"/>
        <v>720</v>
      </c>
      <c r="H504" s="7">
        <v>120</v>
      </c>
      <c r="I504" s="7">
        <v>120</v>
      </c>
      <c r="J504" s="7">
        <v>120</v>
      </c>
      <c r="K504" s="7">
        <v>120</v>
      </c>
      <c r="L504" s="7">
        <v>120</v>
      </c>
      <c r="M504" s="7">
        <v>120</v>
      </c>
      <c r="N504" s="6"/>
    </row>
    <row r="505" spans="1:14" s="17" customFormat="1" ht="15.75" customHeight="1" x14ac:dyDescent="0.25">
      <c r="A505" s="4" t="s">
        <v>1366</v>
      </c>
      <c r="B505" s="5" t="s">
        <v>1174</v>
      </c>
      <c r="C505" s="6" t="s">
        <v>21</v>
      </c>
      <c r="D505" s="6"/>
      <c r="E505" s="6" t="s">
        <v>641</v>
      </c>
      <c r="F505" s="6"/>
      <c r="G505" s="7">
        <f t="shared" si="7"/>
        <v>480</v>
      </c>
      <c r="H505" s="7">
        <v>70</v>
      </c>
      <c r="I505" s="7">
        <v>70</v>
      </c>
      <c r="J505" s="7">
        <v>70</v>
      </c>
      <c r="K505" s="7">
        <v>100</v>
      </c>
      <c r="L505" s="7">
        <v>70</v>
      </c>
      <c r="M505" s="7">
        <v>100</v>
      </c>
      <c r="N505" s="6"/>
    </row>
    <row r="506" spans="1:14" s="17" customFormat="1" ht="15.75" customHeight="1" x14ac:dyDescent="0.25">
      <c r="A506" s="4" t="s">
        <v>1367</v>
      </c>
      <c r="B506" s="5" t="s">
        <v>1175</v>
      </c>
      <c r="C506" s="6" t="s">
        <v>28</v>
      </c>
      <c r="D506" s="6"/>
      <c r="E506" s="6" t="s">
        <v>641</v>
      </c>
      <c r="F506" s="6"/>
      <c r="G506" s="7">
        <f t="shared" si="7"/>
        <v>480</v>
      </c>
      <c r="H506" s="7">
        <v>70</v>
      </c>
      <c r="I506" s="7">
        <v>70</v>
      </c>
      <c r="J506" s="7">
        <v>100</v>
      </c>
      <c r="K506" s="7">
        <v>70</v>
      </c>
      <c r="L506" s="7">
        <v>100</v>
      </c>
      <c r="M506" s="7">
        <v>70</v>
      </c>
      <c r="N506" s="6"/>
    </row>
    <row r="507" spans="1:14" ht="15.75" customHeight="1" x14ac:dyDescent="0.25">
      <c r="A507" s="4" t="s">
        <v>1368</v>
      </c>
      <c r="B507" s="5" t="s">
        <v>1176</v>
      </c>
      <c r="C507" s="6" t="s">
        <v>119</v>
      </c>
      <c r="D507" s="6"/>
      <c r="E507" s="6" t="s">
        <v>641</v>
      </c>
      <c r="G507" s="7">
        <f t="shared" si="7"/>
        <v>480</v>
      </c>
      <c r="H507" s="7">
        <v>70</v>
      </c>
      <c r="I507" s="7">
        <v>70</v>
      </c>
      <c r="J507" s="7">
        <v>75</v>
      </c>
      <c r="K507" s="7">
        <v>95</v>
      </c>
      <c r="L507" s="7">
        <v>85</v>
      </c>
      <c r="M507" s="7">
        <v>85</v>
      </c>
    </row>
    <row r="508" spans="1:14" ht="15.75" customHeight="1" x14ac:dyDescent="0.25">
      <c r="A508" s="4" t="s">
        <v>1363</v>
      </c>
      <c r="B508" s="5" t="s">
        <v>661</v>
      </c>
      <c r="C508" s="6" t="s">
        <v>92</v>
      </c>
      <c r="D508" s="6"/>
      <c r="E508" s="6" t="s">
        <v>566</v>
      </c>
      <c r="G508" s="7">
        <f t="shared" si="7"/>
        <v>600</v>
      </c>
      <c r="H508" s="7">
        <v>50</v>
      </c>
      <c r="I508" s="7">
        <v>180</v>
      </c>
      <c r="J508" s="7">
        <v>20</v>
      </c>
      <c r="K508" s="7">
        <v>180</v>
      </c>
      <c r="L508" s="7">
        <v>20</v>
      </c>
      <c r="M508" s="7">
        <v>150</v>
      </c>
    </row>
    <row r="509" spans="1:14" ht="15.75" customHeight="1" x14ac:dyDescent="0.25">
      <c r="A509" s="4" t="s">
        <v>1364</v>
      </c>
      <c r="B509" s="5" t="s">
        <v>663</v>
      </c>
      <c r="C509" s="6" t="s">
        <v>92</v>
      </c>
      <c r="D509" s="6"/>
      <c r="E509" s="6" t="s">
        <v>550</v>
      </c>
      <c r="G509" s="7">
        <f t="shared" si="7"/>
        <v>600</v>
      </c>
      <c r="H509" s="7">
        <v>50</v>
      </c>
      <c r="I509" s="7">
        <v>70</v>
      </c>
      <c r="J509" s="7">
        <v>160</v>
      </c>
      <c r="K509" s="7">
        <v>70</v>
      </c>
      <c r="L509" s="7">
        <v>160</v>
      </c>
      <c r="M509" s="7">
        <v>90</v>
      </c>
    </row>
    <row r="510" spans="1:14" ht="15.75" customHeight="1" x14ac:dyDescent="0.25">
      <c r="A510" s="4" t="s">
        <v>1365</v>
      </c>
      <c r="B510" s="5" t="s">
        <v>665</v>
      </c>
      <c r="C510" s="6" t="s">
        <v>92</v>
      </c>
      <c r="D510" s="6"/>
      <c r="E510" s="6" t="s">
        <v>603</v>
      </c>
      <c r="G510" s="7">
        <f t="shared" si="7"/>
        <v>600</v>
      </c>
      <c r="H510" s="7">
        <v>50</v>
      </c>
      <c r="I510" s="7">
        <v>95</v>
      </c>
      <c r="J510" s="7">
        <v>90</v>
      </c>
      <c r="K510" s="7">
        <v>95</v>
      </c>
      <c r="L510" s="7">
        <v>90</v>
      </c>
      <c r="M510" s="7">
        <v>180</v>
      </c>
    </row>
    <row r="511" spans="1:14" ht="15.75" customHeight="1" x14ac:dyDescent="0.25">
      <c r="A511" s="4" t="s">
        <v>1362</v>
      </c>
      <c r="B511" s="5" t="s">
        <v>667</v>
      </c>
      <c r="C511" s="6" t="s">
        <v>668</v>
      </c>
      <c r="D511" s="6" t="s">
        <v>54</v>
      </c>
      <c r="E511" s="6" t="s">
        <v>639</v>
      </c>
      <c r="G511" s="7">
        <f t="shared" si="7"/>
        <v>424</v>
      </c>
      <c r="H511" s="7">
        <v>60</v>
      </c>
      <c r="I511" s="7">
        <v>79</v>
      </c>
      <c r="J511" s="7">
        <v>105</v>
      </c>
      <c r="K511" s="7">
        <v>59</v>
      </c>
      <c r="L511" s="7">
        <v>85</v>
      </c>
      <c r="M511" s="7">
        <v>36</v>
      </c>
    </row>
    <row r="512" spans="1:14" ht="15.75" customHeight="1" x14ac:dyDescent="0.25">
      <c r="A512" s="4" t="s">
        <v>1361</v>
      </c>
      <c r="B512" s="5" t="s">
        <v>670</v>
      </c>
      <c r="C512" s="6" t="s">
        <v>34</v>
      </c>
      <c r="D512" s="6" t="s">
        <v>112</v>
      </c>
      <c r="E512" s="6" t="s">
        <v>639</v>
      </c>
      <c r="G512" s="7">
        <f t="shared" si="7"/>
        <v>424</v>
      </c>
      <c r="H512" s="7">
        <v>60</v>
      </c>
      <c r="I512" s="7">
        <v>69</v>
      </c>
      <c r="J512" s="7">
        <v>95</v>
      </c>
      <c r="K512" s="7">
        <v>69</v>
      </c>
      <c r="L512" s="7">
        <v>95</v>
      </c>
      <c r="M512" s="7">
        <v>36</v>
      </c>
    </row>
    <row r="513" spans="1:14" ht="15.75" customHeight="1" x14ac:dyDescent="0.25">
      <c r="A513" s="4" t="s">
        <v>1358</v>
      </c>
      <c r="B513" s="5" t="s">
        <v>1139</v>
      </c>
      <c r="C513" s="6" t="s">
        <v>14</v>
      </c>
      <c r="D513" s="6" t="s">
        <v>21</v>
      </c>
      <c r="E513" s="6" t="s">
        <v>648</v>
      </c>
      <c r="G513" s="7">
        <f t="shared" si="7"/>
        <v>488</v>
      </c>
      <c r="H513" s="7">
        <v>70</v>
      </c>
      <c r="I513" s="7">
        <v>90</v>
      </c>
      <c r="J513" s="7">
        <v>60</v>
      </c>
      <c r="K513" s="7">
        <v>110</v>
      </c>
      <c r="L513" s="7">
        <v>50</v>
      </c>
      <c r="M513" s="7">
        <v>108</v>
      </c>
    </row>
    <row r="514" spans="1:14" ht="15.75" customHeight="1" x14ac:dyDescent="0.25">
      <c r="A514" s="4" t="s">
        <v>1359</v>
      </c>
      <c r="B514" s="5" t="s">
        <v>1180</v>
      </c>
      <c r="C514" s="6" t="s">
        <v>28</v>
      </c>
      <c r="D514" s="6" t="s">
        <v>15</v>
      </c>
      <c r="E514" s="6" t="s">
        <v>578</v>
      </c>
      <c r="F514" s="6" t="s">
        <v>649</v>
      </c>
      <c r="G514" s="7">
        <f t="shared" ref="G514:G550" si="8">SUM(H514:M514)</f>
        <v>325</v>
      </c>
      <c r="H514" s="7">
        <v>76</v>
      </c>
      <c r="I514" s="7">
        <v>48</v>
      </c>
      <c r="J514" s="7">
        <v>48</v>
      </c>
      <c r="K514" s="7">
        <v>57</v>
      </c>
      <c r="L514" s="7">
        <v>62</v>
      </c>
      <c r="M514" s="7">
        <v>34</v>
      </c>
    </row>
    <row r="515" spans="1:14" ht="15.75" customHeight="1" x14ac:dyDescent="0.25">
      <c r="A515" s="4" t="s">
        <v>1360</v>
      </c>
      <c r="B515" s="5" t="s">
        <v>1178</v>
      </c>
      <c r="C515" s="6" t="s">
        <v>15</v>
      </c>
      <c r="D515" s="6" t="s">
        <v>54</v>
      </c>
      <c r="E515" s="6" t="s">
        <v>578</v>
      </c>
      <c r="F515" s="6" t="s">
        <v>649</v>
      </c>
      <c r="G515" s="7">
        <f t="shared" si="8"/>
        <v>475</v>
      </c>
      <c r="H515" s="7">
        <v>111</v>
      </c>
      <c r="I515" s="7">
        <v>83</v>
      </c>
      <c r="J515" s="7">
        <v>68</v>
      </c>
      <c r="K515" s="7">
        <v>92</v>
      </c>
      <c r="L515" s="7">
        <v>82</v>
      </c>
      <c r="M515" s="7">
        <v>39</v>
      </c>
    </row>
    <row r="516" spans="1:14" ht="15.75" customHeight="1" x14ac:dyDescent="0.25">
      <c r="A516" s="4" t="s">
        <v>1356</v>
      </c>
      <c r="B516" s="5" t="s">
        <v>676</v>
      </c>
      <c r="C516" s="6" t="s">
        <v>51</v>
      </c>
      <c r="D516" s="6" t="s">
        <v>21</v>
      </c>
      <c r="E516" s="6" t="s">
        <v>581</v>
      </c>
      <c r="G516" s="7">
        <f t="shared" si="8"/>
        <v>520</v>
      </c>
      <c r="H516" s="7">
        <v>50</v>
      </c>
      <c r="I516" s="7">
        <v>65</v>
      </c>
      <c r="J516" s="7">
        <v>107</v>
      </c>
      <c r="K516" s="7">
        <v>105</v>
      </c>
      <c r="L516" s="7">
        <v>107</v>
      </c>
      <c r="M516" s="7">
        <v>86</v>
      </c>
    </row>
    <row r="517" spans="1:14" ht="15.75" customHeight="1" x14ac:dyDescent="0.25">
      <c r="A517" s="4" t="s">
        <v>1355</v>
      </c>
      <c r="B517" s="5" t="s">
        <v>678</v>
      </c>
      <c r="C517" s="6" t="s">
        <v>51</v>
      </c>
      <c r="D517" s="6" t="s">
        <v>28</v>
      </c>
      <c r="E517" s="6" t="s">
        <v>581</v>
      </c>
      <c r="G517" s="7">
        <f t="shared" si="8"/>
        <v>520</v>
      </c>
      <c r="H517" s="7">
        <v>50</v>
      </c>
      <c r="I517" s="7">
        <v>65</v>
      </c>
      <c r="J517" s="7">
        <v>107</v>
      </c>
      <c r="K517" s="7">
        <v>105</v>
      </c>
      <c r="L517" s="7">
        <v>107</v>
      </c>
      <c r="M517" s="7">
        <v>86</v>
      </c>
    </row>
    <row r="518" spans="1:14" ht="15.75" customHeight="1" x14ac:dyDescent="0.25">
      <c r="A518" s="4" t="s">
        <v>1353</v>
      </c>
      <c r="B518" s="5" t="s">
        <v>680</v>
      </c>
      <c r="C518" s="6" t="s">
        <v>51</v>
      </c>
      <c r="D518" s="6" t="s">
        <v>119</v>
      </c>
      <c r="E518" s="6" t="s">
        <v>581</v>
      </c>
      <c r="G518" s="7">
        <f t="shared" si="8"/>
        <v>520</v>
      </c>
      <c r="H518" s="7">
        <v>50</v>
      </c>
      <c r="I518" s="7">
        <v>65</v>
      </c>
      <c r="J518" s="7">
        <v>107</v>
      </c>
      <c r="K518" s="7">
        <v>105</v>
      </c>
      <c r="L518" s="7">
        <v>107</v>
      </c>
      <c r="M518" s="7">
        <v>86</v>
      </c>
    </row>
    <row r="519" spans="1:14" ht="15.75" customHeight="1" x14ac:dyDescent="0.25">
      <c r="A519" s="4" t="s">
        <v>1354</v>
      </c>
      <c r="B519" s="5" t="s">
        <v>682</v>
      </c>
      <c r="C519" s="6" t="s">
        <v>51</v>
      </c>
      <c r="D519" s="6" t="s">
        <v>26</v>
      </c>
      <c r="E519" s="6" t="s">
        <v>612</v>
      </c>
      <c r="G519" s="7">
        <f t="shared" si="8"/>
        <v>520</v>
      </c>
      <c r="H519" s="7">
        <v>50</v>
      </c>
      <c r="I519" s="7">
        <v>65</v>
      </c>
      <c r="J519" s="7">
        <v>107</v>
      </c>
      <c r="K519" s="7">
        <v>105</v>
      </c>
      <c r="L519" s="7">
        <v>107</v>
      </c>
      <c r="M519" s="7">
        <v>86</v>
      </c>
    </row>
    <row r="520" spans="1:14" ht="15.75" customHeight="1" x14ac:dyDescent="0.25">
      <c r="A520" s="4" t="s">
        <v>1357</v>
      </c>
      <c r="B520" s="5" t="s">
        <v>684</v>
      </c>
      <c r="C520" s="6" t="s">
        <v>51</v>
      </c>
      <c r="D520" s="6" t="s">
        <v>14</v>
      </c>
      <c r="E520" s="6" t="s">
        <v>581</v>
      </c>
      <c r="G520" s="7">
        <f t="shared" si="8"/>
        <v>520</v>
      </c>
      <c r="H520" s="7">
        <v>50</v>
      </c>
      <c r="I520" s="7">
        <v>65</v>
      </c>
      <c r="J520" s="7">
        <v>107</v>
      </c>
      <c r="K520" s="7">
        <v>105</v>
      </c>
      <c r="L520" s="7">
        <v>107</v>
      </c>
      <c r="M520" s="7">
        <v>86</v>
      </c>
    </row>
    <row r="521" spans="1:14" ht="15.75" customHeight="1" x14ac:dyDescent="0.25">
      <c r="A521" s="4" t="s">
        <v>1352</v>
      </c>
      <c r="B521" s="5" t="s">
        <v>672</v>
      </c>
      <c r="C521" s="6" t="s">
        <v>125</v>
      </c>
      <c r="D521" s="6" t="s">
        <v>181</v>
      </c>
      <c r="E521" s="6" t="s">
        <v>581</v>
      </c>
      <c r="G521" s="7">
        <f t="shared" si="8"/>
        <v>680</v>
      </c>
      <c r="H521" s="7">
        <v>150</v>
      </c>
      <c r="I521" s="7">
        <v>120</v>
      </c>
      <c r="J521" s="7">
        <v>100</v>
      </c>
      <c r="K521" s="7">
        <v>120</v>
      </c>
      <c r="L521" s="7">
        <v>100</v>
      </c>
      <c r="M521" s="7">
        <v>90</v>
      </c>
    </row>
    <row r="522" spans="1:14" ht="15.75" customHeight="1" x14ac:dyDescent="0.25">
      <c r="A522" s="4" t="s">
        <v>1244</v>
      </c>
      <c r="B522" s="5" t="s">
        <v>674</v>
      </c>
      <c r="C522" s="6" t="s">
        <v>14</v>
      </c>
      <c r="D522" s="6" t="s">
        <v>26</v>
      </c>
      <c r="E522" s="6" t="s">
        <v>615</v>
      </c>
      <c r="G522" s="7">
        <f t="shared" si="8"/>
        <v>600</v>
      </c>
      <c r="H522" s="7">
        <v>100</v>
      </c>
      <c r="I522" s="7">
        <v>103</v>
      </c>
      <c r="J522" s="7">
        <v>75</v>
      </c>
      <c r="K522" s="7">
        <v>120</v>
      </c>
      <c r="L522" s="7">
        <v>75</v>
      </c>
      <c r="M522" s="7">
        <v>127</v>
      </c>
    </row>
    <row r="523" spans="1:14" ht="15.75" customHeight="1" x14ac:dyDescent="0.25">
      <c r="A523" s="4" t="s">
        <v>1300</v>
      </c>
      <c r="B523" s="5" t="s">
        <v>1248</v>
      </c>
      <c r="C523" s="6" t="s">
        <v>14</v>
      </c>
      <c r="D523" s="6" t="s">
        <v>15</v>
      </c>
      <c r="E523" s="6" t="s">
        <v>575</v>
      </c>
      <c r="G523" s="7">
        <f t="shared" si="8"/>
        <v>580</v>
      </c>
      <c r="H523" s="7">
        <v>80</v>
      </c>
      <c r="I523" s="7">
        <v>90</v>
      </c>
      <c r="J523" s="7">
        <v>110</v>
      </c>
      <c r="K523" s="7">
        <v>120</v>
      </c>
      <c r="L523" s="7">
        <v>100</v>
      </c>
      <c r="M523" s="7">
        <v>80</v>
      </c>
      <c r="N523" s="6" t="s">
        <v>1524</v>
      </c>
    </row>
    <row r="524" spans="1:14" ht="15.75" customHeight="1" x14ac:dyDescent="0.25">
      <c r="A524" s="4" t="s">
        <v>1301</v>
      </c>
      <c r="B524" s="5" t="s">
        <v>1249</v>
      </c>
      <c r="C524" s="6" t="s">
        <v>14</v>
      </c>
      <c r="D524" s="6" t="s">
        <v>15</v>
      </c>
      <c r="E524" s="6" t="s">
        <v>1215</v>
      </c>
      <c r="G524" s="7">
        <f t="shared" si="8"/>
        <v>580</v>
      </c>
      <c r="H524" s="7">
        <v>80</v>
      </c>
      <c r="I524" s="7">
        <v>90</v>
      </c>
      <c r="J524" s="7">
        <v>110</v>
      </c>
      <c r="K524" s="7">
        <v>100</v>
      </c>
      <c r="L524" s="7">
        <v>120</v>
      </c>
      <c r="M524" s="7">
        <v>80</v>
      </c>
    </row>
    <row r="525" spans="1:14" ht="15.75" customHeight="1" x14ac:dyDescent="0.25">
      <c r="A525" s="4" t="s">
        <v>1302</v>
      </c>
      <c r="B525" s="5" t="s">
        <v>1247</v>
      </c>
      <c r="C525" s="6" t="s">
        <v>1295</v>
      </c>
      <c r="D525" s="6" t="s">
        <v>181</v>
      </c>
      <c r="E525" s="6" t="s">
        <v>1140</v>
      </c>
      <c r="G525" s="7">
        <f t="shared" si="8"/>
        <v>589</v>
      </c>
      <c r="H525" s="7">
        <v>78</v>
      </c>
      <c r="I525" s="7">
        <v>120</v>
      </c>
      <c r="J525" s="7">
        <v>100</v>
      </c>
      <c r="K525" s="7">
        <v>106</v>
      </c>
      <c r="L525" s="7">
        <v>85</v>
      </c>
      <c r="M525" s="7">
        <v>100</v>
      </c>
    </row>
    <row r="526" spans="1:14" ht="15.75" customHeight="1" x14ac:dyDescent="0.25">
      <c r="A526" s="4" t="s">
        <v>1369</v>
      </c>
      <c r="B526" s="5" t="s">
        <v>1250</v>
      </c>
      <c r="C526" s="6" t="s">
        <v>1295</v>
      </c>
      <c r="D526" s="6" t="s">
        <v>26</v>
      </c>
      <c r="E526" s="6" t="s">
        <v>23</v>
      </c>
      <c r="G526" s="7">
        <f t="shared" si="8"/>
        <v>589</v>
      </c>
      <c r="H526" s="7">
        <v>78</v>
      </c>
      <c r="I526" s="7">
        <v>94</v>
      </c>
      <c r="J526" s="7">
        <v>78</v>
      </c>
      <c r="K526" s="7">
        <v>139</v>
      </c>
      <c r="L526" s="7">
        <v>100</v>
      </c>
      <c r="M526" s="7">
        <v>100</v>
      </c>
    </row>
    <row r="527" spans="1:14" ht="15.75" customHeight="1" x14ac:dyDescent="0.25">
      <c r="A527" s="4" t="s">
        <v>1523</v>
      </c>
      <c r="B527" s="5" t="s">
        <v>1522</v>
      </c>
      <c r="C527" s="6" t="s">
        <v>21</v>
      </c>
      <c r="D527" s="6"/>
      <c r="E527" s="6"/>
      <c r="G527" s="7">
        <f t="shared" si="8"/>
        <v>589</v>
      </c>
      <c r="H527" s="7">
        <v>78</v>
      </c>
      <c r="I527" s="7">
        <v>127</v>
      </c>
      <c r="J527" s="7">
        <v>110</v>
      </c>
      <c r="K527" s="7">
        <v>84</v>
      </c>
      <c r="L527" s="7">
        <v>90</v>
      </c>
      <c r="M527" s="7">
        <v>100</v>
      </c>
    </row>
    <row r="528" spans="1:14" ht="15.75" customHeight="1" x14ac:dyDescent="0.25">
      <c r="A528" s="4" t="s">
        <v>1303</v>
      </c>
      <c r="B528" s="5" t="s">
        <v>1251</v>
      </c>
      <c r="C528" s="6" t="s">
        <v>28</v>
      </c>
      <c r="D528" s="6"/>
      <c r="E528" s="6" t="s">
        <v>946</v>
      </c>
      <c r="G528" s="7">
        <f t="shared" si="8"/>
        <v>585</v>
      </c>
      <c r="H528" s="7">
        <v>79</v>
      </c>
      <c r="I528" s="7">
        <v>88</v>
      </c>
      <c r="J528" s="7">
        <v>110</v>
      </c>
      <c r="K528" s="7">
        <v>115</v>
      </c>
      <c r="L528" s="7">
        <v>115</v>
      </c>
      <c r="M528" s="7">
        <v>78</v>
      </c>
    </row>
    <row r="529" spans="1:13" ht="15.75" customHeight="1" x14ac:dyDescent="0.25">
      <c r="A529" s="4" t="s">
        <v>1304</v>
      </c>
      <c r="B529" s="5" t="s">
        <v>1252</v>
      </c>
      <c r="C529" s="6" t="s">
        <v>1296</v>
      </c>
      <c r="D529" s="6" t="s">
        <v>112</v>
      </c>
      <c r="E529" s="6" t="s">
        <v>1148</v>
      </c>
      <c r="G529" s="7">
        <f t="shared" si="8"/>
        <v>585</v>
      </c>
      <c r="H529" s="7">
        <v>79</v>
      </c>
      <c r="I529" s="7">
        <v>113</v>
      </c>
      <c r="J529" s="7">
        <v>130</v>
      </c>
      <c r="K529" s="7">
        <v>100</v>
      </c>
      <c r="L529" s="7">
        <v>105</v>
      </c>
      <c r="M529" s="7">
        <v>58</v>
      </c>
    </row>
    <row r="530" spans="1:13" ht="15.75" customHeight="1" x14ac:dyDescent="0.25">
      <c r="A530" s="4" t="s">
        <v>1305</v>
      </c>
      <c r="B530" s="5" t="s">
        <v>1253</v>
      </c>
      <c r="C530" s="6" t="s">
        <v>34</v>
      </c>
      <c r="D530" s="6" t="s">
        <v>92</v>
      </c>
      <c r="E530" s="6" t="s">
        <v>600</v>
      </c>
      <c r="G530" s="7">
        <f t="shared" si="8"/>
        <v>457</v>
      </c>
      <c r="H530" s="7">
        <v>60</v>
      </c>
      <c r="I530" s="7">
        <v>15</v>
      </c>
      <c r="J530" s="7">
        <v>50</v>
      </c>
      <c r="K530" s="7">
        <v>132</v>
      </c>
      <c r="L530" s="7">
        <v>80</v>
      </c>
      <c r="M530" s="7">
        <v>120</v>
      </c>
    </row>
    <row r="531" spans="1:13" ht="15.75" customHeight="1" x14ac:dyDescent="0.25">
      <c r="A531" s="4" t="s">
        <v>1306</v>
      </c>
      <c r="B531" s="5" t="s">
        <v>1254</v>
      </c>
      <c r="C531" s="6" t="s">
        <v>34</v>
      </c>
      <c r="D531" s="6" t="s">
        <v>15</v>
      </c>
      <c r="E531" s="6" t="s">
        <v>600</v>
      </c>
      <c r="G531" s="7">
        <f t="shared" si="8"/>
        <v>467</v>
      </c>
      <c r="H531" s="7">
        <v>65</v>
      </c>
      <c r="I531" s="7">
        <v>130</v>
      </c>
      <c r="J531" s="7">
        <v>40</v>
      </c>
      <c r="K531" s="7">
        <v>15</v>
      </c>
      <c r="L531" s="7">
        <v>80</v>
      </c>
      <c r="M531" s="7">
        <v>137</v>
      </c>
    </row>
    <row r="532" spans="1:13" ht="15.75" customHeight="1" x14ac:dyDescent="0.25">
      <c r="A532" s="4" t="s">
        <v>1308</v>
      </c>
      <c r="B532" s="5" t="s">
        <v>1256</v>
      </c>
      <c r="C532" s="6" t="s">
        <v>26</v>
      </c>
      <c r="D532" s="6" t="s">
        <v>181</v>
      </c>
      <c r="E532" s="6" t="s">
        <v>566</v>
      </c>
      <c r="G532" s="7">
        <f t="shared" si="8"/>
        <v>534</v>
      </c>
      <c r="H532" s="7">
        <v>83</v>
      </c>
      <c r="I532" s="7">
        <v>80</v>
      </c>
      <c r="J532" s="7">
        <v>75</v>
      </c>
      <c r="K532" s="7">
        <v>105</v>
      </c>
      <c r="L532" s="7">
        <v>70</v>
      </c>
      <c r="M532" s="7">
        <v>121</v>
      </c>
    </row>
    <row r="533" spans="1:13" ht="15.75" customHeight="1" x14ac:dyDescent="0.25">
      <c r="A533" s="4"/>
      <c r="B533" s="5" t="s">
        <v>1525</v>
      </c>
      <c r="C533" s="6"/>
      <c r="D533" s="6"/>
      <c r="E533" s="6"/>
      <c r="G533" s="7">
        <f t="shared" si="8"/>
        <v>530</v>
      </c>
      <c r="H533" s="7">
        <v>60</v>
      </c>
      <c r="I533" s="7">
        <v>110</v>
      </c>
      <c r="J533" s="7">
        <v>85</v>
      </c>
      <c r="K533" s="7">
        <v>90</v>
      </c>
      <c r="L533" s="7">
        <v>85</v>
      </c>
      <c r="M533" s="7">
        <v>100</v>
      </c>
    </row>
    <row r="534" spans="1:13" s="14" customFormat="1" ht="15.75" customHeight="1" x14ac:dyDescent="0.25">
      <c r="A534" s="4"/>
      <c r="B534" s="5" t="s">
        <v>1526</v>
      </c>
      <c r="C534" s="6"/>
      <c r="D534" s="6"/>
      <c r="E534" s="6"/>
      <c r="F534" s="6"/>
      <c r="G534" s="7">
        <f t="shared" si="8"/>
        <v>530</v>
      </c>
      <c r="H534" s="7">
        <v>60</v>
      </c>
      <c r="I534" s="7">
        <v>90</v>
      </c>
      <c r="J534" s="7">
        <v>60</v>
      </c>
      <c r="K534" s="7">
        <v>120</v>
      </c>
      <c r="L534" s="7">
        <v>80</v>
      </c>
      <c r="M534" s="7">
        <v>120</v>
      </c>
    </row>
    <row r="535" spans="1:13" s="14" customFormat="1" ht="15.75" customHeight="1" x14ac:dyDescent="0.25">
      <c r="A535" s="4"/>
      <c r="B535" s="5" t="s">
        <v>1527</v>
      </c>
      <c r="C535" s="6"/>
      <c r="D535" s="6"/>
      <c r="E535" s="6"/>
      <c r="F535" s="6"/>
      <c r="G535" s="7">
        <f t="shared" si="8"/>
        <v>523</v>
      </c>
      <c r="H535" s="7">
        <v>95</v>
      </c>
      <c r="I535" s="7">
        <v>70</v>
      </c>
      <c r="J535" s="7">
        <v>73</v>
      </c>
      <c r="K535" s="7">
        <v>115</v>
      </c>
      <c r="L535" s="7">
        <v>110</v>
      </c>
      <c r="M535" s="7">
        <v>60</v>
      </c>
    </row>
    <row r="536" spans="1:13" s="14" customFormat="1" ht="15.75" customHeight="1" x14ac:dyDescent="0.25">
      <c r="A536" s="4"/>
      <c r="B536" s="5" t="s">
        <v>1528</v>
      </c>
      <c r="C536" s="6"/>
      <c r="D536" s="6"/>
      <c r="E536" s="6"/>
      <c r="F536" s="6"/>
      <c r="G536" s="7">
        <f t="shared" si="8"/>
        <v>535</v>
      </c>
      <c r="H536" s="7">
        <v>80</v>
      </c>
      <c r="I536" s="7">
        <v>110</v>
      </c>
      <c r="J536" s="7">
        <v>85</v>
      </c>
      <c r="K536" s="7">
        <v>115</v>
      </c>
      <c r="L536" s="7">
        <v>75</v>
      </c>
      <c r="M536" s="7">
        <v>70</v>
      </c>
    </row>
    <row r="537" spans="1:13" s="14" customFormat="1" ht="15.75" customHeight="1" x14ac:dyDescent="0.25">
      <c r="A537" s="4" t="s">
        <v>1307</v>
      </c>
      <c r="B537" s="5" t="s">
        <v>1245</v>
      </c>
      <c r="C537" s="6" t="s">
        <v>92</v>
      </c>
      <c r="D537" s="6"/>
      <c r="E537" s="6" t="s">
        <v>602</v>
      </c>
      <c r="F537" s="6"/>
      <c r="G537" s="7">
        <f t="shared" si="8"/>
        <v>545</v>
      </c>
      <c r="H537" s="7">
        <v>55</v>
      </c>
      <c r="I537" s="7">
        <v>50</v>
      </c>
      <c r="J537" s="7">
        <v>65</v>
      </c>
      <c r="K537" s="7">
        <v>150</v>
      </c>
      <c r="L537" s="7">
        <v>105</v>
      </c>
      <c r="M537" s="7">
        <v>120</v>
      </c>
    </row>
    <row r="538" spans="1:13" s="14" customFormat="1" ht="15.75" customHeight="1" x14ac:dyDescent="0.25">
      <c r="A538" s="4" t="s">
        <v>1309</v>
      </c>
      <c r="B538" s="5" t="s">
        <v>1255</v>
      </c>
      <c r="C538" s="6" t="s">
        <v>15</v>
      </c>
      <c r="D538" s="6" t="s">
        <v>92</v>
      </c>
      <c r="E538" s="6" t="s">
        <v>579</v>
      </c>
      <c r="F538" s="6"/>
      <c r="G538" s="7">
        <f t="shared" si="8"/>
        <v>545</v>
      </c>
      <c r="H538" s="7">
        <v>95</v>
      </c>
      <c r="I538" s="7">
        <v>75</v>
      </c>
      <c r="J538" s="7">
        <v>150</v>
      </c>
      <c r="K538" s="7">
        <v>110</v>
      </c>
      <c r="L538" s="7">
        <v>85</v>
      </c>
      <c r="M538" s="7">
        <v>30</v>
      </c>
    </row>
    <row r="539" spans="1:13" s="14" customFormat="1" ht="15.75" customHeight="1" x14ac:dyDescent="0.25">
      <c r="A539" s="4" t="s">
        <v>1310</v>
      </c>
      <c r="B539" s="5" t="s">
        <v>1246</v>
      </c>
      <c r="C539" s="6" t="s">
        <v>125</v>
      </c>
      <c r="D539" s="6" t="s">
        <v>15</v>
      </c>
      <c r="E539" s="6" t="s">
        <v>581</v>
      </c>
      <c r="F539" s="6"/>
      <c r="G539" s="7">
        <f t="shared" si="8"/>
        <v>600</v>
      </c>
      <c r="H539" s="7">
        <v>60</v>
      </c>
      <c r="I539" s="7">
        <v>65</v>
      </c>
      <c r="J539" s="7">
        <v>80</v>
      </c>
      <c r="K539" s="7">
        <v>170</v>
      </c>
      <c r="L539" s="7">
        <v>95</v>
      </c>
      <c r="M539" s="7">
        <v>130</v>
      </c>
    </row>
    <row r="540" spans="1:13" s="14" customFormat="1" ht="15.75" customHeight="1" x14ac:dyDescent="0.25">
      <c r="A540" s="4" t="s">
        <v>1311</v>
      </c>
      <c r="B540" s="5" t="s">
        <v>1294</v>
      </c>
      <c r="C540" s="6" t="s">
        <v>54</v>
      </c>
      <c r="D540" s="6" t="s">
        <v>112</v>
      </c>
      <c r="E540" s="6" t="s">
        <v>1380</v>
      </c>
      <c r="F540" s="6"/>
      <c r="G540" s="7">
        <f t="shared" si="8"/>
        <v>565</v>
      </c>
      <c r="H540" s="7">
        <v>75</v>
      </c>
      <c r="I540" s="7">
        <v>125</v>
      </c>
      <c r="J540" s="7">
        <v>185</v>
      </c>
      <c r="K540" s="7">
        <v>55</v>
      </c>
      <c r="L540" s="7">
        <v>95</v>
      </c>
      <c r="M540" s="7">
        <v>30</v>
      </c>
    </row>
    <row r="541" spans="1:13" s="14" customFormat="1" ht="15.75" customHeight="1" x14ac:dyDescent="0.25">
      <c r="A541" s="4" t="s">
        <v>1312</v>
      </c>
      <c r="B541" s="5" t="s">
        <v>1293</v>
      </c>
      <c r="C541" s="6" t="s">
        <v>28</v>
      </c>
      <c r="D541" s="6" t="s">
        <v>112</v>
      </c>
      <c r="E541" s="6" t="s">
        <v>1140</v>
      </c>
      <c r="F541" s="6"/>
      <c r="G541" s="7">
        <f t="shared" si="8"/>
        <v>550</v>
      </c>
      <c r="H541" s="7">
        <v>75</v>
      </c>
      <c r="I541" s="7">
        <v>140</v>
      </c>
      <c r="J541" s="7">
        <v>135</v>
      </c>
      <c r="K541" s="7">
        <v>50</v>
      </c>
      <c r="L541" s="7">
        <v>75</v>
      </c>
      <c r="M541" s="7">
        <v>75</v>
      </c>
    </row>
    <row r="542" spans="1:13" s="14" customFormat="1" ht="15.75" customHeight="1" x14ac:dyDescent="0.25">
      <c r="A542" s="4"/>
      <c r="B542" s="5" t="s">
        <v>1529</v>
      </c>
      <c r="C542" s="6" t="s">
        <v>28</v>
      </c>
      <c r="D542" s="6" t="s">
        <v>92</v>
      </c>
      <c r="E542" s="6" t="s">
        <v>609</v>
      </c>
      <c r="F542" s="6"/>
      <c r="G542" s="7">
        <f t="shared" si="8"/>
        <v>575</v>
      </c>
      <c r="H542" s="7">
        <v>60</v>
      </c>
      <c r="I542" s="7">
        <v>100</v>
      </c>
      <c r="J542" s="7">
        <v>90</v>
      </c>
      <c r="K542" s="7">
        <v>110</v>
      </c>
      <c r="L542" s="7">
        <v>90</v>
      </c>
      <c r="M542" s="7">
        <v>125</v>
      </c>
    </row>
    <row r="543" spans="1:13" s="14" customFormat="1" ht="15.75" customHeight="1" x14ac:dyDescent="0.25">
      <c r="A543" s="4" t="s">
        <v>1313</v>
      </c>
      <c r="B543" s="5" t="s">
        <v>1257</v>
      </c>
      <c r="C543" s="6" t="s">
        <v>41</v>
      </c>
      <c r="D543" s="6"/>
      <c r="E543" s="6" t="s">
        <v>1148</v>
      </c>
      <c r="F543" s="6"/>
      <c r="G543" s="7">
        <f t="shared" si="8"/>
        <v>545</v>
      </c>
      <c r="H543" s="7">
        <v>105</v>
      </c>
      <c r="I543" s="7">
        <v>105</v>
      </c>
      <c r="J543" s="7">
        <v>100</v>
      </c>
      <c r="K543" s="7">
        <v>50</v>
      </c>
      <c r="L543" s="7">
        <v>90</v>
      </c>
      <c r="M543" s="7">
        <v>95</v>
      </c>
    </row>
    <row r="544" spans="1:13" s="14" customFormat="1" ht="15.75" customHeight="1" x14ac:dyDescent="0.25">
      <c r="A544" s="4" t="s">
        <v>1322</v>
      </c>
      <c r="B544" s="5" t="s">
        <v>1266</v>
      </c>
      <c r="C544" s="6" t="s">
        <v>34</v>
      </c>
      <c r="D544" s="6" t="s">
        <v>112</v>
      </c>
      <c r="E544" s="6" t="s">
        <v>558</v>
      </c>
      <c r="F544" s="6"/>
      <c r="G544" s="7">
        <f t="shared" si="8"/>
        <v>555</v>
      </c>
      <c r="H544" s="7">
        <v>70</v>
      </c>
      <c r="I544" s="7">
        <v>140</v>
      </c>
      <c r="J544" s="7">
        <v>120</v>
      </c>
      <c r="K544" s="7">
        <v>65</v>
      </c>
      <c r="L544" s="7">
        <v>85</v>
      </c>
      <c r="M544" s="7">
        <v>75</v>
      </c>
    </row>
    <row r="545" spans="1:14" ht="15.75" customHeight="1" x14ac:dyDescent="0.25">
      <c r="A545" s="4"/>
      <c r="B545" s="5" t="s">
        <v>1530</v>
      </c>
      <c r="C545" s="6" t="s">
        <v>181</v>
      </c>
      <c r="D545" s="6" t="s">
        <v>41</v>
      </c>
      <c r="E545" s="6"/>
      <c r="G545" s="7">
        <f t="shared" si="8"/>
        <v>645</v>
      </c>
      <c r="H545" s="7">
        <v>91</v>
      </c>
      <c r="I545" s="7">
        <v>114</v>
      </c>
      <c r="J545" s="7">
        <v>115</v>
      </c>
      <c r="K545" s="7">
        <v>125</v>
      </c>
      <c r="L545" s="7">
        <v>100</v>
      </c>
      <c r="M545" s="7">
        <v>100</v>
      </c>
      <c r="N545" s="14"/>
    </row>
    <row r="546" spans="1:14" ht="15.75" customHeight="1" x14ac:dyDescent="0.25">
      <c r="A546" s="4" t="s">
        <v>1314</v>
      </c>
      <c r="B546" s="5" t="s">
        <v>1258</v>
      </c>
      <c r="C546" s="6" t="s">
        <v>34</v>
      </c>
      <c r="D546" s="6" t="s">
        <v>26</v>
      </c>
      <c r="E546" s="6" t="s">
        <v>886</v>
      </c>
      <c r="G546" s="7">
        <f t="shared" si="8"/>
        <v>555</v>
      </c>
      <c r="H546" s="7">
        <v>65</v>
      </c>
      <c r="I546" s="7">
        <v>135</v>
      </c>
      <c r="J546" s="7">
        <v>110</v>
      </c>
      <c r="K546" s="7">
        <v>60</v>
      </c>
      <c r="L546" s="7">
        <v>80</v>
      </c>
      <c r="M546" s="7">
        <v>105</v>
      </c>
      <c r="N546" s="14"/>
    </row>
    <row r="547" spans="1:14" ht="15.75" customHeight="1" x14ac:dyDescent="0.25">
      <c r="A547" s="4" t="s">
        <v>1315</v>
      </c>
      <c r="B547" s="5" t="s">
        <v>1259</v>
      </c>
      <c r="C547" s="6" t="s">
        <v>28</v>
      </c>
      <c r="D547" s="6" t="s">
        <v>232</v>
      </c>
      <c r="E547" s="6" t="s">
        <v>599</v>
      </c>
      <c r="G547" s="7">
        <f t="shared" si="8"/>
        <v>595</v>
      </c>
      <c r="H547" s="7">
        <v>95</v>
      </c>
      <c r="I547" s="7">
        <v>135</v>
      </c>
      <c r="J547" s="7">
        <v>94</v>
      </c>
      <c r="K547" s="7">
        <v>70</v>
      </c>
      <c r="L547" s="7">
        <v>120</v>
      </c>
      <c r="M547" s="7">
        <v>81</v>
      </c>
      <c r="N547" s="14"/>
    </row>
    <row r="548" spans="1:14" ht="15.75" customHeight="1" x14ac:dyDescent="0.25">
      <c r="A548" s="4" t="s">
        <v>1316</v>
      </c>
      <c r="B548" s="5" t="s">
        <v>1260</v>
      </c>
      <c r="C548" s="6" t="s">
        <v>28</v>
      </c>
      <c r="D548" s="6"/>
      <c r="E548" s="6" t="s">
        <v>988</v>
      </c>
      <c r="G548" s="7">
        <f t="shared" si="8"/>
        <v>590</v>
      </c>
      <c r="H548" s="7">
        <v>130</v>
      </c>
      <c r="I548" s="7">
        <v>85</v>
      </c>
      <c r="J548" s="7">
        <v>110</v>
      </c>
      <c r="K548" s="7">
        <v>95</v>
      </c>
      <c r="L548" s="7">
        <v>115</v>
      </c>
      <c r="M548" s="7">
        <v>55</v>
      </c>
      <c r="N548" s="14"/>
    </row>
    <row r="549" spans="1:14" ht="15.75" customHeight="1" x14ac:dyDescent="0.25">
      <c r="A549" s="4" t="s">
        <v>1317</v>
      </c>
      <c r="B549" s="5" t="s">
        <v>1261</v>
      </c>
      <c r="C549" s="6" t="s">
        <v>41</v>
      </c>
      <c r="D549" s="6"/>
      <c r="E549" s="6" t="s">
        <v>1134</v>
      </c>
      <c r="G549" s="7">
        <f t="shared" si="8"/>
        <v>450</v>
      </c>
      <c r="H549" s="7">
        <v>55</v>
      </c>
      <c r="I549" s="7">
        <v>79</v>
      </c>
      <c r="J549" s="7">
        <v>79</v>
      </c>
      <c r="K549" s="7">
        <v>79</v>
      </c>
      <c r="L549" s="7">
        <v>79</v>
      </c>
      <c r="M549" s="7">
        <v>79</v>
      </c>
      <c r="N549" s="14" t="s">
        <v>1542</v>
      </c>
    </row>
    <row r="550" spans="1:14" ht="15.75" customHeight="1" x14ac:dyDescent="0.25">
      <c r="A550" s="4" t="s">
        <v>1318</v>
      </c>
      <c r="B550" s="5" t="s">
        <v>1262</v>
      </c>
      <c r="C550" s="6" t="s">
        <v>104</v>
      </c>
      <c r="D550" s="6" t="s">
        <v>26</v>
      </c>
      <c r="E550" s="6" t="s">
        <v>1140</v>
      </c>
      <c r="G550" s="7">
        <f t="shared" si="8"/>
        <v>570</v>
      </c>
      <c r="H550" s="7">
        <v>80</v>
      </c>
      <c r="I550" s="7">
        <v>130</v>
      </c>
      <c r="J550" s="7">
        <v>75</v>
      </c>
      <c r="K550" s="7">
        <v>70</v>
      </c>
      <c r="L550" s="7">
        <v>85</v>
      </c>
      <c r="M550" s="7">
        <v>130</v>
      </c>
      <c r="N550" s="14"/>
    </row>
    <row r="551" spans="1:14" ht="15.75" customHeight="1" x14ac:dyDescent="0.25">
      <c r="A551" s="4"/>
      <c r="B551" s="5" t="s">
        <v>1533</v>
      </c>
      <c r="C551" s="6"/>
      <c r="D551" s="6"/>
      <c r="E551" s="6"/>
      <c r="G551" s="7">
        <f t="shared" ref="G551:G579" si="9">SUM(H551:M551)</f>
        <v>520</v>
      </c>
      <c r="H551" s="7">
        <v>65</v>
      </c>
      <c r="I551" s="7">
        <v>120</v>
      </c>
      <c r="J551" s="7">
        <v>140</v>
      </c>
      <c r="K551" s="7">
        <v>40</v>
      </c>
      <c r="L551" s="7">
        <v>70</v>
      </c>
      <c r="M551" s="7">
        <v>85</v>
      </c>
      <c r="N551" s="14"/>
    </row>
    <row r="552" spans="1:14" ht="15.75" customHeight="1" x14ac:dyDescent="0.25">
      <c r="A552" s="4" t="s">
        <v>1319</v>
      </c>
      <c r="B552" s="5" t="s">
        <v>1543</v>
      </c>
      <c r="C552" s="6" t="s">
        <v>92</v>
      </c>
      <c r="D552" s="6" t="s">
        <v>84</v>
      </c>
      <c r="E552" s="6" t="s">
        <v>622</v>
      </c>
      <c r="G552" s="7">
        <f t="shared" si="9"/>
        <v>735</v>
      </c>
      <c r="H552" s="7">
        <v>106</v>
      </c>
      <c r="I552" s="7">
        <v>135</v>
      </c>
      <c r="J552" s="7">
        <v>110</v>
      </c>
      <c r="K552" s="7">
        <v>154</v>
      </c>
      <c r="L552" s="7">
        <v>90</v>
      </c>
      <c r="M552" s="7">
        <v>140</v>
      </c>
      <c r="N552" s="14"/>
    </row>
    <row r="553" spans="1:14" ht="15.75" customHeight="1" x14ac:dyDescent="0.25">
      <c r="A553" s="4" t="s">
        <v>1320</v>
      </c>
      <c r="B553" s="5" t="s">
        <v>1264</v>
      </c>
      <c r="C553" s="6" t="s">
        <v>92</v>
      </c>
      <c r="D553" s="6"/>
      <c r="E553" s="6" t="s">
        <v>582</v>
      </c>
      <c r="G553" s="7">
        <f t="shared" si="9"/>
        <v>735</v>
      </c>
      <c r="H553" s="7">
        <v>106</v>
      </c>
      <c r="I553" s="7">
        <v>110</v>
      </c>
      <c r="J553" s="7">
        <v>95</v>
      </c>
      <c r="K553" s="7">
        <v>164</v>
      </c>
      <c r="L553" s="7">
        <v>120</v>
      </c>
      <c r="M553" s="7">
        <v>140</v>
      </c>
      <c r="N553" s="14"/>
    </row>
    <row r="554" spans="1:14" ht="15.75" customHeight="1" x14ac:dyDescent="0.25">
      <c r="A554" s="4"/>
      <c r="B554" s="5" t="s">
        <v>1532</v>
      </c>
      <c r="C554" s="6" t="s">
        <v>14</v>
      </c>
      <c r="D554" s="6" t="s">
        <v>181</v>
      </c>
      <c r="E554" s="6"/>
      <c r="G554" s="7">
        <f t="shared" si="9"/>
        <v>590</v>
      </c>
      <c r="H554" s="7">
        <v>80</v>
      </c>
      <c r="I554" s="7">
        <v>92</v>
      </c>
      <c r="J554" s="7">
        <v>110</v>
      </c>
      <c r="K554" s="7">
        <v>128</v>
      </c>
      <c r="L554" s="7">
        <v>110</v>
      </c>
      <c r="M554" s="7">
        <v>70</v>
      </c>
      <c r="N554" s="14"/>
    </row>
    <row r="555" spans="1:14" ht="15.75" customHeight="1" x14ac:dyDescent="0.25">
      <c r="A555" s="4"/>
      <c r="B555" s="5" t="s">
        <v>1531</v>
      </c>
      <c r="C555" s="6" t="s">
        <v>28</v>
      </c>
      <c r="D555" s="6" t="s">
        <v>181</v>
      </c>
      <c r="E555" s="6"/>
      <c r="G555" s="7">
        <f t="shared" si="9"/>
        <v>585</v>
      </c>
      <c r="H555" s="7">
        <v>85</v>
      </c>
      <c r="I555" s="7">
        <v>124</v>
      </c>
      <c r="J555" s="7">
        <v>120</v>
      </c>
      <c r="K555" s="7">
        <v>85</v>
      </c>
      <c r="L555" s="7">
        <v>93</v>
      </c>
      <c r="M555" s="7">
        <v>78</v>
      </c>
      <c r="N555" s="14"/>
    </row>
    <row r="556" spans="1:14" ht="15.75" customHeight="1" x14ac:dyDescent="0.25">
      <c r="A556" s="4" t="s">
        <v>1321</v>
      </c>
      <c r="B556" s="5" t="s">
        <v>1265</v>
      </c>
      <c r="C556" s="6" t="s">
        <v>51</v>
      </c>
      <c r="D556" s="6" t="s">
        <v>181</v>
      </c>
      <c r="E556" s="6" t="s">
        <v>599</v>
      </c>
      <c r="G556" s="7">
        <f t="shared" si="9"/>
        <v>555</v>
      </c>
      <c r="H556" s="7">
        <v>90</v>
      </c>
      <c r="I556" s="7">
        <v>75</v>
      </c>
      <c r="J556" s="7">
        <v>95</v>
      </c>
      <c r="K556" s="7">
        <v>135</v>
      </c>
      <c r="L556" s="7">
        <v>110</v>
      </c>
      <c r="M556" s="7">
        <v>50</v>
      </c>
      <c r="N556" s="14"/>
    </row>
    <row r="557" spans="1:14" ht="15.75" customHeight="1" x14ac:dyDescent="0.25">
      <c r="A557" s="4" t="s">
        <v>1323</v>
      </c>
      <c r="B557" s="5" t="s">
        <v>1267</v>
      </c>
      <c r="C557" s="6" t="s">
        <v>34</v>
      </c>
      <c r="D557" s="6" t="s">
        <v>84</v>
      </c>
      <c r="E557" s="6" t="s">
        <v>580</v>
      </c>
      <c r="G557" s="7">
        <f t="shared" si="9"/>
        <v>555</v>
      </c>
      <c r="H557" s="7">
        <v>80</v>
      </c>
      <c r="I557" s="7">
        <v>145</v>
      </c>
      <c r="J557" s="7">
        <v>100</v>
      </c>
      <c r="K557" s="7">
        <v>40</v>
      </c>
      <c r="L557" s="7">
        <v>105</v>
      </c>
      <c r="M557" s="7">
        <v>85</v>
      </c>
      <c r="N557" s="14"/>
    </row>
    <row r="558" spans="1:14" ht="15.75" customHeight="1" x14ac:dyDescent="0.25">
      <c r="A558" s="4" t="s">
        <v>1324</v>
      </c>
      <c r="B558" s="5" t="s">
        <v>1268</v>
      </c>
      <c r="C558" s="6" t="s">
        <v>21</v>
      </c>
      <c r="D558" s="6" t="s">
        <v>232</v>
      </c>
      <c r="E558" s="6" t="s">
        <v>611</v>
      </c>
      <c r="G558" s="7">
        <f t="shared" si="9"/>
        <v>555</v>
      </c>
      <c r="H558" s="7">
        <v>75</v>
      </c>
      <c r="I558" s="7">
        <v>90</v>
      </c>
      <c r="J558" s="7">
        <v>55</v>
      </c>
      <c r="K558" s="7">
        <v>130</v>
      </c>
      <c r="L558" s="7">
        <v>90</v>
      </c>
      <c r="M558" s="7">
        <v>115</v>
      </c>
      <c r="N558" s="14"/>
    </row>
    <row r="559" spans="1:14" ht="15.75" customHeight="1" x14ac:dyDescent="0.25">
      <c r="A559" s="4" t="s">
        <v>1325</v>
      </c>
      <c r="B559" s="5" t="s">
        <v>1269</v>
      </c>
      <c r="C559" s="6" t="s">
        <v>104</v>
      </c>
      <c r="D559" s="6" t="s">
        <v>232</v>
      </c>
      <c r="E559" s="6" t="s">
        <v>623</v>
      </c>
      <c r="G559" s="7">
        <f t="shared" si="9"/>
        <v>655</v>
      </c>
      <c r="H559" s="7">
        <v>100</v>
      </c>
      <c r="I559" s="7">
        <v>154</v>
      </c>
      <c r="J559" s="7">
        <v>120</v>
      </c>
      <c r="K559" s="7">
        <v>125</v>
      </c>
      <c r="L559" s="7">
        <v>95</v>
      </c>
      <c r="M559" s="7">
        <v>61</v>
      </c>
      <c r="N559" s="14"/>
    </row>
    <row r="560" spans="1:14" ht="15.75" customHeight="1" x14ac:dyDescent="0.25">
      <c r="A560" s="4" t="s">
        <v>1326</v>
      </c>
      <c r="B560" s="5" t="s">
        <v>1282</v>
      </c>
      <c r="C560" s="6" t="s">
        <v>14</v>
      </c>
      <c r="D560" s="6" t="s">
        <v>181</v>
      </c>
      <c r="E560" s="6" t="s">
        <v>586</v>
      </c>
      <c r="G560" s="7">
        <f t="shared" si="9"/>
        <v>585</v>
      </c>
      <c r="H560" s="7">
        <v>70</v>
      </c>
      <c r="I560" s="7">
        <v>120</v>
      </c>
      <c r="J560" s="7">
        <v>70</v>
      </c>
      <c r="K560" s="7">
        <v>120</v>
      </c>
      <c r="L560" s="7">
        <v>75</v>
      </c>
      <c r="M560" s="7">
        <v>130</v>
      </c>
      <c r="N560" s="14"/>
    </row>
    <row r="561" spans="1:13" s="14" customFormat="1" ht="15.75" customHeight="1" x14ac:dyDescent="0.25">
      <c r="A561" s="4" t="s">
        <v>1327</v>
      </c>
      <c r="B561" s="5" t="s">
        <v>1270</v>
      </c>
      <c r="C561" s="6" t="s">
        <v>21</v>
      </c>
      <c r="D561" s="6" t="s">
        <v>84</v>
      </c>
      <c r="E561" s="6" t="s">
        <v>612</v>
      </c>
      <c r="F561" s="6"/>
      <c r="G561" s="7">
        <f t="shared" si="9"/>
        <v>585</v>
      </c>
      <c r="H561" s="7">
        <v>80</v>
      </c>
      <c r="I561" s="7">
        <v>150</v>
      </c>
      <c r="J561" s="7">
        <v>65</v>
      </c>
      <c r="K561" s="7">
        <v>125</v>
      </c>
      <c r="L561" s="7">
        <v>65</v>
      </c>
      <c r="M561" s="7">
        <v>100</v>
      </c>
    </row>
    <row r="562" spans="1:13" s="14" customFormat="1" ht="15.75" customHeight="1" x14ac:dyDescent="0.25">
      <c r="A562" s="4" t="s">
        <v>1328</v>
      </c>
      <c r="B562" s="5" t="s">
        <v>1283</v>
      </c>
      <c r="C562" s="6" t="s">
        <v>28</v>
      </c>
      <c r="D562" s="6" t="s">
        <v>54</v>
      </c>
      <c r="E562" s="6" t="s">
        <v>594</v>
      </c>
      <c r="F562" s="6"/>
      <c r="G562" s="7">
        <f t="shared" si="9"/>
        <v>585</v>
      </c>
      <c r="H562" s="7">
        <v>100</v>
      </c>
      <c r="I562" s="7">
        <v>125</v>
      </c>
      <c r="J562" s="7">
        <v>100</v>
      </c>
      <c r="K562" s="7">
        <v>95</v>
      </c>
      <c r="L562" s="7">
        <v>95</v>
      </c>
      <c r="M562" s="7">
        <v>70</v>
      </c>
    </row>
    <row r="563" spans="1:13" s="14" customFormat="1" ht="15.75" customHeight="1" x14ac:dyDescent="0.25">
      <c r="A563" s="4" t="s">
        <v>1329</v>
      </c>
      <c r="B563" s="5" t="s">
        <v>1271</v>
      </c>
      <c r="C563" s="6" t="s">
        <v>92</v>
      </c>
      <c r="D563" s="6"/>
      <c r="E563" s="6" t="s">
        <v>1379</v>
      </c>
      <c r="F563" s="6"/>
      <c r="G563" s="7">
        <f t="shared" si="9"/>
        <v>573</v>
      </c>
      <c r="H563" s="7">
        <v>68</v>
      </c>
      <c r="I563" s="7">
        <v>65</v>
      </c>
      <c r="J563" s="7">
        <v>65</v>
      </c>
      <c r="K563" s="7">
        <v>155</v>
      </c>
      <c r="L563" s="7">
        <v>120</v>
      </c>
      <c r="M563" s="7">
        <v>100</v>
      </c>
    </row>
    <row r="564" spans="1:13" s="14" customFormat="1" ht="15.75" customHeight="1" x14ac:dyDescent="0.25">
      <c r="A564" s="4" t="s">
        <v>1330</v>
      </c>
      <c r="B564" s="5" t="s">
        <v>1285</v>
      </c>
      <c r="C564" s="6" t="s">
        <v>92</v>
      </c>
      <c r="D564" s="6" t="s">
        <v>84</v>
      </c>
      <c r="E564" s="6" t="s">
        <v>552</v>
      </c>
      <c r="F564" s="6"/>
      <c r="G564" s="7">
        <f t="shared" si="9"/>
        <v>573</v>
      </c>
      <c r="H564" s="7">
        <v>68</v>
      </c>
      <c r="I564" s="7">
        <v>155</v>
      </c>
      <c r="J564" s="7">
        <v>70</v>
      </c>
      <c r="K564" s="7">
        <v>65</v>
      </c>
      <c r="L564" s="7">
        <v>115</v>
      </c>
      <c r="M564" s="7">
        <v>100</v>
      </c>
    </row>
    <row r="565" spans="1:13" s="14" customFormat="1" ht="15.75" customHeight="1" x14ac:dyDescent="0.25">
      <c r="A565" s="4" t="s">
        <v>1331</v>
      </c>
      <c r="B565" s="5" t="s">
        <v>1284</v>
      </c>
      <c r="C565" s="6" t="s">
        <v>232</v>
      </c>
      <c r="D565" s="6" t="s">
        <v>125</v>
      </c>
      <c r="E565" s="6" t="s">
        <v>966</v>
      </c>
      <c r="F565" s="6"/>
      <c r="G565" s="7">
        <f t="shared" si="9"/>
        <v>435</v>
      </c>
      <c r="H565" s="7">
        <v>50</v>
      </c>
      <c r="I565" s="7">
        <v>85</v>
      </c>
      <c r="J565" s="7">
        <v>105</v>
      </c>
      <c r="K565" s="7">
        <v>85</v>
      </c>
      <c r="L565" s="7">
        <v>95</v>
      </c>
      <c r="M565" s="7">
        <v>15</v>
      </c>
    </row>
    <row r="566" spans="1:13" s="14" customFormat="1" ht="15.75" customHeight="1" x14ac:dyDescent="0.25">
      <c r="A566" s="4" t="s">
        <v>1332</v>
      </c>
      <c r="B566" s="5" t="s">
        <v>1272</v>
      </c>
      <c r="C566" s="6" t="s">
        <v>112</v>
      </c>
      <c r="D566" s="6"/>
      <c r="E566" s="6" t="s">
        <v>609</v>
      </c>
      <c r="F566" s="6"/>
      <c r="G566" s="7">
        <f t="shared" si="9"/>
        <v>435</v>
      </c>
      <c r="H566" s="7">
        <v>50</v>
      </c>
      <c r="I566" s="7">
        <v>105</v>
      </c>
      <c r="J566" s="7">
        <v>95</v>
      </c>
      <c r="K566" s="7">
        <v>55</v>
      </c>
      <c r="L566" s="7">
        <v>80</v>
      </c>
      <c r="M566" s="7">
        <v>50</v>
      </c>
    </row>
    <row r="567" spans="1:13" s="14" customFormat="1" ht="15.75" customHeight="1" x14ac:dyDescent="0.25">
      <c r="A567" s="4" t="s">
        <v>1333</v>
      </c>
      <c r="B567" s="5" t="s">
        <v>1273</v>
      </c>
      <c r="C567" s="6" t="s">
        <v>112</v>
      </c>
      <c r="D567" s="6"/>
      <c r="E567" s="6" t="s">
        <v>30</v>
      </c>
      <c r="F567" s="6"/>
      <c r="G567" s="7">
        <f t="shared" si="9"/>
        <v>585</v>
      </c>
      <c r="H567" s="7">
        <v>70</v>
      </c>
      <c r="I567" s="7">
        <v>120</v>
      </c>
      <c r="J567" s="7">
        <v>205</v>
      </c>
      <c r="K567" s="7">
        <v>60</v>
      </c>
      <c r="L567" s="7">
        <v>80</v>
      </c>
      <c r="M567" s="7">
        <v>50</v>
      </c>
    </row>
    <row r="568" spans="1:13" s="14" customFormat="1" ht="15.75" customHeight="1" x14ac:dyDescent="0.25">
      <c r="A568" s="4" t="s">
        <v>1334</v>
      </c>
      <c r="B568" s="5" t="s">
        <v>1274</v>
      </c>
      <c r="C568" s="6" t="s">
        <v>92</v>
      </c>
      <c r="D568" s="6" t="s">
        <v>84</v>
      </c>
      <c r="E568" s="6" t="s">
        <v>632</v>
      </c>
      <c r="F568" s="6"/>
      <c r="G568" s="7">
        <f t="shared" si="9"/>
        <v>465</v>
      </c>
      <c r="H568" s="7">
        <v>60</v>
      </c>
      <c r="I568" s="7">
        <v>90</v>
      </c>
      <c r="J568" s="7">
        <v>75</v>
      </c>
      <c r="K568" s="7">
        <v>60</v>
      </c>
      <c r="L568" s="7">
        <v>75</v>
      </c>
      <c r="M568" s="7">
        <v>105</v>
      </c>
    </row>
    <row r="569" spans="1:13" s="14" customFormat="1" ht="15.75" customHeight="1" x14ac:dyDescent="0.25">
      <c r="A569" s="4" t="s">
        <v>1337</v>
      </c>
      <c r="B569" s="5" t="s">
        <v>1286</v>
      </c>
      <c r="C569" s="6" t="s">
        <v>51</v>
      </c>
      <c r="D569" s="6" t="s">
        <v>14</v>
      </c>
      <c r="E569" s="6" t="s">
        <v>544</v>
      </c>
      <c r="F569" s="6"/>
      <c r="G569" s="7">
        <f t="shared" si="9"/>
        <v>530</v>
      </c>
      <c r="H569" s="7">
        <v>70</v>
      </c>
      <c r="I569" s="7">
        <v>70</v>
      </c>
      <c r="J569" s="7">
        <v>70</v>
      </c>
      <c r="K569" s="7">
        <v>125</v>
      </c>
      <c r="L569" s="7">
        <v>70</v>
      </c>
      <c r="M569" s="7">
        <v>125</v>
      </c>
    </row>
    <row r="570" spans="1:13" s="14" customFormat="1" ht="15.75" customHeight="1" x14ac:dyDescent="0.25">
      <c r="A570" s="4" t="s">
        <v>1335</v>
      </c>
      <c r="B570" s="5" t="s">
        <v>1287</v>
      </c>
      <c r="C570" s="6" t="s">
        <v>28</v>
      </c>
      <c r="D570" s="6" t="s">
        <v>232</v>
      </c>
      <c r="E570" s="6" t="s">
        <v>1233</v>
      </c>
      <c r="F570" s="6"/>
      <c r="G570" s="7">
        <f t="shared" si="9"/>
        <v>515</v>
      </c>
      <c r="H570" s="7">
        <v>70</v>
      </c>
      <c r="I570" s="7">
        <v>130</v>
      </c>
      <c r="J570" s="7">
        <v>60</v>
      </c>
      <c r="K570" s="7">
        <v>95</v>
      </c>
      <c r="L570" s="7">
        <v>55</v>
      </c>
      <c r="M570" s="7">
        <v>105</v>
      </c>
    </row>
    <row r="571" spans="1:13" s="14" customFormat="1" ht="15.75" customHeight="1" x14ac:dyDescent="0.25">
      <c r="A571" s="4" t="s">
        <v>1336</v>
      </c>
      <c r="B571" s="5" t="s">
        <v>1288</v>
      </c>
      <c r="C571" s="6" t="s">
        <v>21</v>
      </c>
      <c r="D571" s="6" t="s">
        <v>54</v>
      </c>
      <c r="E571" s="6" t="s">
        <v>1152</v>
      </c>
      <c r="F571" s="6"/>
      <c r="G571" s="7">
        <f t="shared" si="9"/>
        <v>515</v>
      </c>
      <c r="H571" s="7">
        <v>70</v>
      </c>
      <c r="I571" s="7">
        <v>105</v>
      </c>
      <c r="J571" s="7">
        <v>105</v>
      </c>
      <c r="K571" s="7">
        <v>125</v>
      </c>
      <c r="L571" s="7">
        <v>90</v>
      </c>
      <c r="M571" s="7">
        <v>20</v>
      </c>
    </row>
    <row r="572" spans="1:13" s="14" customFormat="1" ht="15.75" customHeight="1" x14ac:dyDescent="0.25">
      <c r="A572" s="4" t="s">
        <v>1338</v>
      </c>
      <c r="B572" s="5" t="s">
        <v>1289</v>
      </c>
      <c r="C572" s="6" t="s">
        <v>181</v>
      </c>
      <c r="D572" s="6" t="s">
        <v>1136</v>
      </c>
      <c r="E572" s="6" t="s">
        <v>1426</v>
      </c>
      <c r="F572" s="6"/>
      <c r="G572" s="7">
        <f t="shared" si="9"/>
        <v>545</v>
      </c>
      <c r="H572" s="7">
        <v>75</v>
      </c>
      <c r="I572" s="7">
        <v>90</v>
      </c>
      <c r="J572" s="7">
        <v>105</v>
      </c>
      <c r="K572" s="7">
        <v>90</v>
      </c>
      <c r="L572" s="7">
        <v>105</v>
      </c>
      <c r="M572" s="7">
        <v>80</v>
      </c>
    </row>
    <row r="573" spans="1:13" s="14" customFormat="1" ht="15.75" customHeight="1" x14ac:dyDescent="0.25">
      <c r="A573" s="4" t="s">
        <v>1339</v>
      </c>
      <c r="B573" s="5" t="s">
        <v>1275</v>
      </c>
      <c r="C573" s="6" t="s">
        <v>125</v>
      </c>
      <c r="D573" s="6" t="s">
        <v>232</v>
      </c>
      <c r="E573" s="6" t="s">
        <v>614</v>
      </c>
      <c r="F573" s="6"/>
      <c r="G573" s="7">
        <f t="shared" si="9"/>
        <v>510</v>
      </c>
      <c r="H573" s="7">
        <v>64</v>
      </c>
      <c r="I573" s="7">
        <v>140</v>
      </c>
      <c r="J573" s="7">
        <v>70</v>
      </c>
      <c r="K573" s="7">
        <v>93</v>
      </c>
      <c r="L573" s="7">
        <v>68</v>
      </c>
      <c r="M573" s="7">
        <v>75</v>
      </c>
    </row>
    <row r="574" spans="1:13" s="14" customFormat="1" ht="15.75" customHeight="1" x14ac:dyDescent="0.25">
      <c r="A574" s="4"/>
      <c r="B574" s="5" t="s">
        <v>1534</v>
      </c>
      <c r="C574" s="6"/>
      <c r="D574" s="6"/>
      <c r="E574" s="6"/>
      <c r="F574" s="6"/>
      <c r="G574" s="7">
        <f>SUM(H574:M574)</f>
        <v>510</v>
      </c>
      <c r="H574" s="7">
        <v>75</v>
      </c>
      <c r="I574" s="7">
        <v>50</v>
      </c>
      <c r="J574" s="7">
        <v>100</v>
      </c>
      <c r="K574" s="7">
        <v>110</v>
      </c>
      <c r="L574" s="7">
        <v>110</v>
      </c>
      <c r="M574" s="7">
        <v>65</v>
      </c>
    </row>
    <row r="575" spans="1:13" s="14" customFormat="1" ht="15.75" customHeight="1" x14ac:dyDescent="0.25">
      <c r="A575" s="4" t="s">
        <v>1340</v>
      </c>
      <c r="B575" s="5" t="s">
        <v>1276</v>
      </c>
      <c r="C575" s="6" t="s">
        <v>232</v>
      </c>
      <c r="D575" s="6"/>
      <c r="E575" s="6" t="s">
        <v>896</v>
      </c>
      <c r="F575" s="6"/>
      <c r="G575" s="7">
        <f t="shared" si="9"/>
        <v>520</v>
      </c>
      <c r="H575" s="7">
        <v>65</v>
      </c>
      <c r="I575" s="7">
        <v>130</v>
      </c>
      <c r="J575" s="7">
        <v>60</v>
      </c>
      <c r="K575" s="7">
        <v>90</v>
      </c>
      <c r="L575" s="7">
        <v>100</v>
      </c>
      <c r="M575" s="7">
        <v>75</v>
      </c>
    </row>
    <row r="576" spans="1:13" s="14" customFormat="1" ht="15.75" customHeight="1" x14ac:dyDescent="0.25">
      <c r="A576" s="4"/>
      <c r="B576" s="5" t="s">
        <v>1535</v>
      </c>
      <c r="C576" s="6"/>
      <c r="D576" s="6"/>
      <c r="E576" s="6"/>
      <c r="F576" s="6"/>
      <c r="G576" s="7">
        <f t="shared" si="9"/>
        <v>520</v>
      </c>
      <c r="H576" s="7">
        <v>65</v>
      </c>
      <c r="I576" s="7">
        <v>135</v>
      </c>
      <c r="J576" s="7">
        <v>60</v>
      </c>
      <c r="K576" s="7">
        <v>75</v>
      </c>
      <c r="L576" s="7">
        <v>60</v>
      </c>
      <c r="M576" s="7">
        <v>125</v>
      </c>
    </row>
    <row r="577" spans="1:13" s="14" customFormat="1" ht="15.75" customHeight="1" x14ac:dyDescent="0.25">
      <c r="A577" s="4" t="s">
        <v>1341</v>
      </c>
      <c r="B577" s="5" t="s">
        <v>1290</v>
      </c>
      <c r="C577" s="6" t="s">
        <v>119</v>
      </c>
      <c r="D577" s="6" t="s">
        <v>112</v>
      </c>
      <c r="E577" s="6" t="s">
        <v>1243</v>
      </c>
      <c r="F577" s="6"/>
      <c r="G577" s="7">
        <f t="shared" si="9"/>
        <v>535</v>
      </c>
      <c r="H577" s="7">
        <v>80</v>
      </c>
      <c r="I577" s="7">
        <v>90</v>
      </c>
      <c r="J577" s="7">
        <v>90</v>
      </c>
      <c r="K577" s="7">
        <v>90</v>
      </c>
      <c r="L577" s="7">
        <v>90</v>
      </c>
      <c r="M577" s="7">
        <v>95</v>
      </c>
    </row>
    <row r="578" spans="1:13" s="14" customFormat="1" ht="15.75" customHeight="1" x14ac:dyDescent="0.25">
      <c r="A578" s="4" t="s">
        <v>1342</v>
      </c>
      <c r="B578" s="5" t="s">
        <v>1291</v>
      </c>
      <c r="C578" s="6" t="s">
        <v>181</v>
      </c>
      <c r="D578" s="6" t="s">
        <v>26</v>
      </c>
      <c r="E578" s="6" t="s">
        <v>886</v>
      </c>
      <c r="F578" s="6"/>
      <c r="G578" s="7">
        <f t="shared" si="9"/>
        <v>650</v>
      </c>
      <c r="H578" s="7">
        <v>95</v>
      </c>
      <c r="I578" s="7">
        <v>135</v>
      </c>
      <c r="J578" s="7">
        <v>115</v>
      </c>
      <c r="K578" s="7">
        <v>105</v>
      </c>
      <c r="L578" s="7">
        <v>90</v>
      </c>
      <c r="M578" s="7">
        <v>110</v>
      </c>
    </row>
    <row r="579" spans="1:13" s="14" customFormat="1" ht="15.75" customHeight="1" x14ac:dyDescent="0.25">
      <c r="A579" s="4" t="s">
        <v>1343</v>
      </c>
      <c r="B579" s="5" t="s">
        <v>1292</v>
      </c>
      <c r="C579" s="6" t="s">
        <v>112</v>
      </c>
      <c r="D579" s="6" t="s">
        <v>92</v>
      </c>
      <c r="E579" s="6" t="s">
        <v>581</v>
      </c>
      <c r="F579" s="6"/>
      <c r="G579" s="7">
        <f t="shared" si="9"/>
        <v>645</v>
      </c>
      <c r="H579" s="7">
        <v>80</v>
      </c>
      <c r="I579" s="7">
        <v>145</v>
      </c>
      <c r="J579" s="7">
        <v>135</v>
      </c>
      <c r="K579" s="7">
        <v>95</v>
      </c>
      <c r="L579" s="7">
        <v>100</v>
      </c>
      <c r="M579" s="7">
        <v>90</v>
      </c>
    </row>
    <row r="580" spans="1:13" s="14" customFormat="1" ht="15.75" customHeight="1" x14ac:dyDescent="0.25">
      <c r="A580" s="4" t="s">
        <v>1344</v>
      </c>
      <c r="B580" s="5" t="s">
        <v>1277</v>
      </c>
      <c r="C580" s="6" t="s">
        <v>181</v>
      </c>
      <c r="D580" s="6" t="s">
        <v>92</v>
      </c>
      <c r="E580" s="6" t="s">
        <v>581</v>
      </c>
      <c r="F580" s="6"/>
      <c r="G580" s="7">
        <f>SUM(H580:M580)</f>
        <v>655</v>
      </c>
      <c r="H580" s="7">
        <v>80</v>
      </c>
      <c r="I580" s="7">
        <v>85</v>
      </c>
      <c r="J580" s="7">
        <v>110</v>
      </c>
      <c r="K580" s="7">
        <v>130</v>
      </c>
      <c r="L580" s="7">
        <v>140</v>
      </c>
      <c r="M580" s="7">
        <v>110</v>
      </c>
    </row>
    <row r="581" spans="1:13" s="14" customFormat="1" ht="15.75" customHeight="1" x14ac:dyDescent="0.25">
      <c r="A581" s="4" t="s">
        <v>1345</v>
      </c>
      <c r="B581" s="5" t="s">
        <v>1278</v>
      </c>
      <c r="C581" s="6" t="s">
        <v>181</v>
      </c>
      <c r="D581" s="6" t="s">
        <v>92</v>
      </c>
      <c r="E581" s="6" t="s">
        <v>581</v>
      </c>
      <c r="F581" s="6"/>
      <c r="G581" s="7">
        <f>SUM(H581:M581)</f>
        <v>655</v>
      </c>
      <c r="H581" s="7">
        <v>80</v>
      </c>
      <c r="I581" s="7">
        <v>110</v>
      </c>
      <c r="J581" s="7">
        <v>90</v>
      </c>
      <c r="K581" s="7">
        <v>150</v>
      </c>
      <c r="L581" s="7">
        <v>115</v>
      </c>
      <c r="M581" s="7">
        <v>110</v>
      </c>
    </row>
    <row r="582" spans="1:13" s="14" customFormat="1" ht="15.75" customHeight="1" x14ac:dyDescent="0.25">
      <c r="A582" s="4" t="s">
        <v>1346</v>
      </c>
      <c r="B582" s="5" t="s">
        <v>1297</v>
      </c>
      <c r="C582" s="6" t="s">
        <v>28</v>
      </c>
      <c r="D582" s="6"/>
      <c r="E582" s="6" t="s">
        <v>1381</v>
      </c>
      <c r="F582" s="6">
        <v>707</v>
      </c>
      <c r="G582" s="7">
        <f>SUM(H582:M582)</f>
        <v>707</v>
      </c>
      <c r="H582" s="7">
        <v>100</v>
      </c>
      <c r="I582" s="7">
        <v>115</v>
      </c>
      <c r="J582" s="7">
        <v>90</v>
      </c>
      <c r="K582" s="7">
        <v>165</v>
      </c>
      <c r="L582" s="7">
        <v>150</v>
      </c>
      <c r="M582" s="7">
        <v>87</v>
      </c>
    </row>
    <row r="583" spans="1:13" s="14" customFormat="1" ht="15.75" customHeight="1" x14ac:dyDescent="0.25">
      <c r="A583" s="4" t="s">
        <v>1347</v>
      </c>
      <c r="B583" s="5" t="s">
        <v>1298</v>
      </c>
      <c r="C583" s="6" t="s">
        <v>54</v>
      </c>
      <c r="D583" s="6" t="s">
        <v>21</v>
      </c>
      <c r="E583" s="6" t="s">
        <v>1152</v>
      </c>
      <c r="F583" s="6">
        <v>707</v>
      </c>
      <c r="G583" s="7">
        <f>SUM(H583:M583)</f>
        <v>707</v>
      </c>
      <c r="H583" s="7">
        <v>100</v>
      </c>
      <c r="I583" s="7">
        <v>165</v>
      </c>
      <c r="J583" s="7">
        <v>150</v>
      </c>
      <c r="K583" s="7">
        <v>115</v>
      </c>
      <c r="L583" s="7">
        <v>90</v>
      </c>
      <c r="M583" s="7">
        <v>87</v>
      </c>
    </row>
    <row r="584" spans="1:13" s="14" customFormat="1" ht="15.75" customHeight="1" x14ac:dyDescent="0.25">
      <c r="A584" s="4" t="s">
        <v>1348</v>
      </c>
      <c r="B584" s="5" t="s">
        <v>1299</v>
      </c>
      <c r="C584" s="6" t="s">
        <v>181</v>
      </c>
      <c r="D584" s="6"/>
      <c r="E584" s="6" t="s">
        <v>1382</v>
      </c>
      <c r="F584" s="6">
        <v>725</v>
      </c>
      <c r="G584" s="7">
        <f>SUM(H584:M584)</f>
        <v>725</v>
      </c>
      <c r="H584" s="7">
        <v>105</v>
      </c>
      <c r="I584" s="7">
        <v>165</v>
      </c>
      <c r="J584" s="7">
        <v>95</v>
      </c>
      <c r="K584" s="7">
        <v>165</v>
      </c>
      <c r="L584" s="7">
        <v>95</v>
      </c>
      <c r="M584" s="7">
        <v>100</v>
      </c>
    </row>
    <row r="585" spans="1:13" s="14" customFormat="1" ht="15.75" customHeight="1" x14ac:dyDescent="0.25">
      <c r="A585" s="4"/>
      <c r="B585" s="5" t="s">
        <v>1536</v>
      </c>
      <c r="C585" s="6"/>
      <c r="D585" s="6"/>
      <c r="E585" s="6"/>
      <c r="F585" s="6"/>
      <c r="G585" s="7">
        <f>SUM(H585:M585)</f>
        <v>0</v>
      </c>
      <c r="H585" s="7"/>
      <c r="I585" s="7"/>
      <c r="J585" s="7"/>
      <c r="K585" s="7"/>
      <c r="L585" s="7"/>
      <c r="M585" s="7"/>
    </row>
    <row r="586" spans="1:13" s="14" customFormat="1" ht="15.75" customHeight="1" x14ac:dyDescent="0.25">
      <c r="A586" s="4" t="s">
        <v>1384</v>
      </c>
      <c r="B586" s="5" t="s">
        <v>1383</v>
      </c>
      <c r="C586" s="6" t="s">
        <v>41</v>
      </c>
      <c r="D586" s="6" t="s">
        <v>84</v>
      </c>
      <c r="E586" s="6" t="s">
        <v>593</v>
      </c>
      <c r="F586" s="6"/>
      <c r="G586" s="7">
        <f>SUM(H586:M586)</f>
        <v>0</v>
      </c>
      <c r="H586" s="7"/>
      <c r="I586" s="7"/>
      <c r="J586" s="7"/>
      <c r="K586" s="7"/>
      <c r="L586" s="7"/>
      <c r="M586" s="7"/>
    </row>
    <row r="587" spans="1:13" s="14" customFormat="1" ht="15.75" customHeight="1" x14ac:dyDescent="0.25">
      <c r="A587" s="4" t="s">
        <v>1350</v>
      </c>
      <c r="B587" s="5" t="s">
        <v>1279</v>
      </c>
      <c r="C587" s="6" t="s">
        <v>181</v>
      </c>
      <c r="D587" s="6" t="s">
        <v>54</v>
      </c>
      <c r="E587" s="6" t="s">
        <v>1427</v>
      </c>
      <c r="F587" s="6"/>
      <c r="G587" s="7">
        <f>SUM(H587:M587)</f>
        <v>0</v>
      </c>
      <c r="H587" s="7"/>
      <c r="I587" s="7"/>
      <c r="J587" s="7"/>
      <c r="K587" s="7"/>
      <c r="L587" s="7"/>
      <c r="M587" s="7"/>
    </row>
    <row r="588" spans="1:13" s="14" customFormat="1" ht="15.75" customHeight="1" x14ac:dyDescent="0.25">
      <c r="A588" s="4"/>
      <c r="B588" s="5" t="s">
        <v>1537</v>
      </c>
      <c r="C588" s="6"/>
      <c r="D588" s="6"/>
      <c r="E588" s="6"/>
      <c r="F588" s="6"/>
      <c r="G588" s="7">
        <f>SUM(H588:M588)</f>
        <v>0</v>
      </c>
      <c r="H588" s="7"/>
      <c r="I588" s="7"/>
      <c r="J588" s="7"/>
      <c r="K588" s="7"/>
      <c r="L588" s="7"/>
      <c r="M588" s="7"/>
    </row>
    <row r="589" spans="1:13" s="14" customFormat="1" ht="15.75" customHeight="1" x14ac:dyDescent="0.25">
      <c r="A589" s="4" t="s">
        <v>1351</v>
      </c>
      <c r="B589" s="5" t="s">
        <v>1280</v>
      </c>
      <c r="C589" s="6" t="s">
        <v>84</v>
      </c>
      <c r="D589" s="6" t="s">
        <v>112</v>
      </c>
      <c r="E589" s="6" t="s">
        <v>600</v>
      </c>
      <c r="F589" s="6"/>
      <c r="G589" s="7">
        <f>SUM(H589:M589)</f>
        <v>0</v>
      </c>
      <c r="H589" s="7"/>
      <c r="I589" s="7"/>
      <c r="J589" s="7"/>
      <c r="K589" s="7"/>
      <c r="L589" s="7"/>
      <c r="M589" s="7"/>
    </row>
    <row r="590" spans="1:13" s="14" customFormat="1" ht="15.75" customHeight="1" x14ac:dyDescent="0.25">
      <c r="A590" s="4"/>
      <c r="B590" s="5" t="s">
        <v>1538</v>
      </c>
      <c r="C590" s="6"/>
      <c r="D590" s="6"/>
      <c r="E590" s="6"/>
      <c r="F590" s="6"/>
      <c r="G590" s="7">
        <f>SUM(H590:M590)</f>
        <v>0</v>
      </c>
      <c r="H590" s="7"/>
      <c r="I590" s="7"/>
      <c r="J590" s="7"/>
      <c r="K590" s="7"/>
      <c r="L590" s="7"/>
      <c r="M590" s="7"/>
    </row>
    <row r="591" spans="1:13" s="14" customFormat="1" ht="15.75" customHeight="1" x14ac:dyDescent="0.25">
      <c r="A591" s="4" t="s">
        <v>1351</v>
      </c>
      <c r="B591" s="5" t="s">
        <v>1281</v>
      </c>
      <c r="C591" s="6" t="s">
        <v>14</v>
      </c>
      <c r="D591" s="6" t="s">
        <v>119</v>
      </c>
      <c r="E591" s="6" t="s">
        <v>655</v>
      </c>
      <c r="F591" s="6"/>
      <c r="G591" s="7">
        <f>SUM(H591:M591)</f>
        <v>0</v>
      </c>
      <c r="H591" s="7"/>
      <c r="I591" s="7"/>
      <c r="J591" s="7"/>
      <c r="K591" s="7"/>
      <c r="L591" s="7"/>
      <c r="M591" s="7"/>
    </row>
    <row r="592" spans="1:13" s="14" customFormat="1" ht="15.75" customHeight="1" x14ac:dyDescent="0.25">
      <c r="A592" s="15"/>
      <c r="B592" s="5" t="s">
        <v>1539</v>
      </c>
      <c r="C592" s="17" t="s">
        <v>119</v>
      </c>
      <c r="D592" s="17" t="s">
        <v>125</v>
      </c>
      <c r="F592" s="6"/>
      <c r="G592" s="7">
        <f t="shared" ref="G592:G594" si="10">SUM(H592:M592)</f>
        <v>0</v>
      </c>
      <c r="H592" s="7"/>
      <c r="I592" s="7"/>
      <c r="J592" s="7"/>
      <c r="K592" s="7"/>
      <c r="L592" s="7"/>
      <c r="M592" s="7"/>
    </row>
    <row r="593" spans="2:7" s="14" customFormat="1" ht="15.75" customHeight="1" x14ac:dyDescent="0.25">
      <c r="B593" s="5" t="s">
        <v>1540</v>
      </c>
      <c r="C593" s="17" t="s">
        <v>21</v>
      </c>
      <c r="D593" s="17" t="s">
        <v>112</v>
      </c>
      <c r="G593" s="7">
        <f t="shared" si="10"/>
        <v>0</v>
      </c>
    </row>
    <row r="594" spans="2:7" s="14" customFormat="1" ht="15.75" customHeight="1" x14ac:dyDescent="0.25">
      <c r="B594" s="5" t="s">
        <v>1541</v>
      </c>
      <c r="C594" s="17" t="s">
        <v>232</v>
      </c>
      <c r="D594" s="17"/>
      <c r="G594" s="7">
        <f t="shared" si="10"/>
        <v>0</v>
      </c>
    </row>
  </sheetData>
  <autoFilter ref="A1:M591" xr:uid="{6C715FBB-B710-4F00-BECE-F0EBAE21712D}"/>
  <phoneticPr fontId="15" type="noConversion"/>
  <conditionalFormatting sqref="A1:A1048576">
    <cfRule type="notContainsBlanks" dxfId="393" priority="202">
      <formula>LEN(TRIM(A1))&gt;0</formula>
    </cfRule>
  </conditionalFormatting>
  <conditionalFormatting sqref="A2:A506 A516:A527 A529:A533 A538:A542 A544:A545 A547:A551 A553 A578:A585 A587:A588 A576 A592:A1048576 A557:A574">
    <cfRule type="expression" priority="250">
      <formula>IF(A1&lt;10, "00"&amp;A1, IF(A1&lt;100, "0"&amp;A1, A1))</formula>
    </cfRule>
  </conditionalFormatting>
  <conditionalFormatting sqref="A507">
    <cfRule type="expression" priority="846">
      <formula>IF(A498&lt;10, "00"&amp;A498, IF(A498&lt;100, "0"&amp;A498, A498))</formula>
    </cfRule>
  </conditionalFormatting>
  <conditionalFormatting sqref="A508:A511">
    <cfRule type="expression" priority="702">
      <formula>IF(A507&lt;10, "00"&amp;A507, IF(A507&lt;100, "0"&amp;A507, A507))</formula>
    </cfRule>
  </conditionalFormatting>
  <conditionalFormatting sqref="A512">
    <cfRule type="expression" priority="848">
      <formula>IF(#REF!&lt;10, "00"&amp;#REF!, IF(#REF!&lt;100, "0"&amp;#REF!, #REF!))</formula>
    </cfRule>
  </conditionalFormatting>
  <conditionalFormatting sqref="A513">
    <cfRule type="expression" priority="193">
      <formula>IF(A512&lt;10, "00"&amp;A512, IF(A512&lt;100, "0"&amp;A512, A512))</formula>
    </cfRule>
  </conditionalFormatting>
  <conditionalFormatting sqref="A514 A528 A534:A536 A543 A552 A577 A586 A589:A591 A575">
    <cfRule type="expression" priority="203">
      <formula>IF(A512&lt;10, "00"&amp;A512, IF(A512&lt;100, "0"&amp;A512, A512))</formula>
    </cfRule>
  </conditionalFormatting>
  <conditionalFormatting sqref="A515">
    <cfRule type="expression" priority="915">
      <formula>IF(A521&lt;10, "00"&amp;A521, IF(A521&lt;100, "0"&amp;A521, A521))</formula>
    </cfRule>
  </conditionalFormatting>
  <conditionalFormatting sqref="A520">
    <cfRule type="expression" priority="857">
      <formula>IF(A511&lt;10, "00"&amp;A511, IF(A511&lt;100, "0"&amp;A511, A511))</formula>
    </cfRule>
  </conditionalFormatting>
  <conditionalFormatting sqref="A537">
    <cfRule type="expression" priority="1976">
      <formula>IF(A532&lt;10, "00"&amp;A532, IF(A532&lt;100, "0"&amp;A532, A532))</formula>
    </cfRule>
  </conditionalFormatting>
  <conditionalFormatting sqref="A544:A545">
    <cfRule type="expression" priority="1984">
      <formula>IF(A556&lt;10, "00"&amp;A556, IF(A556&lt;100, "0"&amp;A556, A556))</formula>
    </cfRule>
  </conditionalFormatting>
  <conditionalFormatting sqref="A546">
    <cfRule type="expression" priority="1980">
      <formula>IF(A543&lt;10, "00"&amp;A543, IF(A543&lt;100, "0"&amp;A543, A543))</formula>
    </cfRule>
    <cfRule type="expression" priority="1981">
      <formula>IF(A544&lt;10, "00"&amp;A544, IF(A544&lt;100, "0"&amp;A544, A544))</formula>
    </cfRule>
  </conditionalFormatting>
  <conditionalFormatting sqref="A551">
    <cfRule type="expression" priority="2066">
      <formula>IF(A554&lt;10, "00"&amp;A554, IF(A554&lt;100, "0"&amp;A554, A554))</formula>
    </cfRule>
  </conditionalFormatting>
  <conditionalFormatting sqref="A554">
    <cfRule type="expression" priority="2068">
      <formula>IF(A545&lt;10, "00"&amp;A545, IF(A545&lt;100, "0"&amp;A545, A545))</formula>
    </cfRule>
    <cfRule type="expression" priority="2069">
      <formula>IF(A558&lt;10, "00"&amp;A558, IF(A558&lt;100, "0"&amp;A558, A558))</formula>
    </cfRule>
  </conditionalFormatting>
  <conditionalFormatting sqref="A555">
    <cfRule type="expression" priority="2070">
      <formula>IF(A558&lt;10, "00"&amp;A558, IF(A558&lt;100, "0"&amp;A558, A558))</formula>
    </cfRule>
    <cfRule type="expression" priority="2071">
      <formula>IF(A545&lt;10, "00"&amp;A545, IF(A545&lt;100, "0"&amp;A545, A545))</formula>
    </cfRule>
  </conditionalFormatting>
  <conditionalFormatting sqref="A556">
    <cfRule type="expression" priority="1986">
      <formula>IF(A553&lt;10, "00"&amp;A553, IF(A553&lt;100, "0"&amp;A553, A553))</formula>
    </cfRule>
  </conditionalFormatting>
  <conditionalFormatting sqref="A557">
    <cfRule type="expression" priority="995">
      <formula>IF(A544&lt;10, "00"&amp;A544, IF(A544&lt;100, "0"&amp;A544, A544))</formula>
    </cfRule>
  </conditionalFormatting>
  <conditionalFormatting sqref="B1:B1048576">
    <cfRule type="notContainsBlanks" dxfId="392" priority="58">
      <formula>LEN(TRIM(B1))&gt;0</formula>
    </cfRule>
  </conditionalFormatting>
  <conditionalFormatting sqref="C1:D465 C467:D1048576">
    <cfRule type="containsText" dxfId="391" priority="39" operator="containsText" text="Flying">
      <formula>NOT(ISERROR(SEARCH("Flying",C1)))</formula>
    </cfRule>
    <cfRule type="containsText" dxfId="390" priority="40" operator="containsText" text="Fairy">
      <formula>NOT(ISERROR(SEARCH("Fairy",C1)))</formula>
    </cfRule>
    <cfRule type="containsText" dxfId="389" priority="41" operator="containsText" text="Steel">
      <formula>NOT(ISERROR(SEARCH("Steel",C1)))</formula>
    </cfRule>
    <cfRule type="containsText" dxfId="388" priority="42" operator="containsText" text="Dark">
      <formula>NOT(ISERROR(SEARCH("Dark",C1)))</formula>
    </cfRule>
    <cfRule type="containsText" dxfId="387" priority="43" operator="containsText" text="Dragon">
      <formula>NOT(ISERROR(SEARCH("Dragon",C1)))</formula>
    </cfRule>
    <cfRule type="containsText" dxfId="386" priority="44" operator="containsText" text="Ghost">
      <formula>NOT(ISERROR(SEARCH("Ghost",C1)))</formula>
    </cfRule>
    <cfRule type="containsText" dxfId="385" priority="45" operator="containsText" text="Rock">
      <formula>NOT(ISERROR(SEARCH("Rock",C1)))</formula>
    </cfRule>
    <cfRule type="containsText" dxfId="384" priority="46" operator="containsText" text="Bug">
      <formula>NOT(ISERROR(SEARCH("Bug",C1)))</formula>
    </cfRule>
    <cfRule type="containsText" dxfId="383" priority="47" operator="containsText" text="Psychic">
      <formula>NOT(ISERROR(SEARCH("Psychic",C1)))</formula>
    </cfRule>
    <cfRule type="containsText" dxfId="382" priority="48" operator="containsText" text="Ground">
      <formula>NOT(ISERROR(SEARCH("Ground",C1)))</formula>
    </cfRule>
    <cfRule type="containsText" dxfId="381" priority="49" operator="containsText" text="Poison">
      <formula>NOT(ISERROR(SEARCH("Poison",C1)))</formula>
    </cfRule>
    <cfRule type="containsText" dxfId="380" priority="50" operator="containsText" text="Fighting">
      <formula>NOT(ISERROR(SEARCH("Fighting",C1)))</formula>
    </cfRule>
    <cfRule type="containsText" dxfId="379" priority="51" operator="containsText" text="Ice">
      <formula>NOT(ISERROR(SEARCH("Ice",C1)))</formula>
    </cfRule>
    <cfRule type="containsText" dxfId="378" priority="52" operator="containsText" text="Electric">
      <formula>NOT(ISERROR(SEARCH("Electric",C1)))</formula>
    </cfRule>
    <cfRule type="containsText" dxfId="377" priority="53" operator="containsText" text="Water">
      <formula>NOT(ISERROR(SEARCH("Water",C1)))</formula>
    </cfRule>
    <cfRule type="containsText" dxfId="376" priority="54" operator="containsText" text="Fire">
      <formula>NOT(ISERROR(SEARCH("Fire",C1)))</formula>
    </cfRule>
    <cfRule type="containsText" dxfId="375" priority="55" operator="containsText" text="Normal">
      <formula>NOT(ISERROR(SEARCH("Normal",C1)))</formula>
    </cfRule>
    <cfRule type="containsText" dxfId="374" priority="56" operator="containsText" text="Grass">
      <formula>NOT(ISERROR(SEARCH("Grass",C1)))</formula>
    </cfRule>
  </conditionalFormatting>
  <conditionalFormatting sqref="E2:F92 E95:F591">
    <cfRule type="notContainsBlanks" dxfId="373" priority="138">
      <formula>LEN(TRIM(E2))&gt;0</formula>
    </cfRule>
  </conditionalFormatting>
  <conditionalFormatting sqref="F93:F94">
    <cfRule type="notContainsBlanks" dxfId="372" priority="730">
      <formula>LEN(TRIM(F93))&gt;0</formula>
    </cfRule>
  </conditionalFormatting>
  <conditionalFormatting sqref="G1:G1048576">
    <cfRule type="notContainsBlanks" dxfId="371" priority="13">
      <formula>LEN(TRIM(G1))&gt;0</formula>
    </cfRule>
  </conditionalFormatting>
  <conditionalFormatting sqref="H1:H1048576">
    <cfRule type="notContainsBlanks" dxfId="370" priority="5">
      <formula>LEN(TRIM(H1))&gt;0</formula>
    </cfRule>
  </conditionalFormatting>
  <conditionalFormatting sqref="I1:I1048576">
    <cfRule type="notContainsBlanks" dxfId="0" priority="2">
      <formula>LEN(TRIM(I1))&gt;0</formula>
    </cfRule>
  </conditionalFormatting>
  <conditionalFormatting sqref="J1:J1048576">
    <cfRule type="notContainsBlanks" dxfId="369" priority="4">
      <formula>LEN(TRIM(J1))&gt;0</formula>
    </cfRule>
  </conditionalFormatting>
  <conditionalFormatting sqref="K1:K1048576">
    <cfRule type="notContainsBlanks" dxfId="368" priority="3">
      <formula>LEN(TRIM(K1))&gt;0</formula>
    </cfRule>
  </conditionalFormatting>
  <conditionalFormatting sqref="L1:L1048576">
    <cfRule type="notContainsBlanks" dxfId="367" priority="6">
      <formula>LEN(TRIM(L1))&gt;0</formula>
    </cfRule>
  </conditionalFormatting>
  <conditionalFormatting sqref="M1:M1048576">
    <cfRule type="notContainsBlanks" dxfId="366" priority="1">
      <formula>LEN(TRIM(M1))&gt;0</formula>
    </cfRule>
  </conditionalFormatting>
  <conditionalFormatting sqref="N13">
    <cfRule type="containsText" dxfId="365" priority="678" operator="containsText" text="Flying">
      <formula>NOT(ISERROR(SEARCH("Flying",N13)))</formula>
    </cfRule>
    <cfRule type="containsText" dxfId="364" priority="679" operator="containsText" text="Fairy">
      <formula>NOT(ISERROR(SEARCH("Fairy",N13)))</formula>
    </cfRule>
    <cfRule type="containsText" dxfId="363" priority="680" operator="containsText" text="Steel">
      <formula>NOT(ISERROR(SEARCH("Steel",N13)))</formula>
    </cfRule>
    <cfRule type="containsText" dxfId="362" priority="681" operator="containsText" text="Dark">
      <formula>NOT(ISERROR(SEARCH("Dark",N13)))</formula>
    </cfRule>
    <cfRule type="containsText" dxfId="361" priority="682" operator="containsText" text="Dragon">
      <formula>NOT(ISERROR(SEARCH("Dragon",N13)))</formula>
    </cfRule>
    <cfRule type="containsText" dxfId="360" priority="683" operator="containsText" text="Ghost">
      <formula>NOT(ISERROR(SEARCH("Ghost",N13)))</formula>
    </cfRule>
    <cfRule type="containsText" dxfId="359" priority="684" operator="containsText" text="Rock">
      <formula>NOT(ISERROR(SEARCH("Rock",N13)))</formula>
    </cfRule>
    <cfRule type="containsText" dxfId="358" priority="685" operator="containsText" text="Bug">
      <formula>NOT(ISERROR(SEARCH("Bug",N13)))</formula>
    </cfRule>
    <cfRule type="containsText" dxfId="357" priority="686" operator="containsText" text="Psychic">
      <formula>NOT(ISERROR(SEARCH("Psychic",N13)))</formula>
    </cfRule>
    <cfRule type="containsText" dxfId="356" priority="687" operator="containsText" text="Ground">
      <formula>NOT(ISERROR(SEARCH("Ground",N13)))</formula>
    </cfRule>
    <cfRule type="containsText" dxfId="355" priority="688" operator="containsText" text="Poison">
      <formula>NOT(ISERROR(SEARCH("Poison",N13)))</formula>
    </cfRule>
    <cfRule type="containsText" dxfId="354" priority="689" operator="containsText" text="Fighting">
      <formula>NOT(ISERROR(SEARCH("Fighting",N13)))</formula>
    </cfRule>
    <cfRule type="containsText" dxfId="353" priority="690" operator="containsText" text="Ice">
      <formula>NOT(ISERROR(SEARCH("Ice",N13)))</formula>
    </cfRule>
    <cfRule type="containsText" dxfId="352" priority="691" operator="containsText" text="Electric">
      <formula>NOT(ISERROR(SEARCH("Electric",N13)))</formula>
    </cfRule>
    <cfRule type="containsText" dxfId="351" priority="692" operator="containsText" text="Water">
      <formula>NOT(ISERROR(SEARCH("Water",N13)))</formula>
    </cfRule>
    <cfRule type="containsText" dxfId="350" priority="693" operator="containsText" text="Fire">
      <formula>NOT(ISERROR(SEARCH("Fire",N13)))</formula>
    </cfRule>
    <cfRule type="containsText" dxfId="349" priority="694" operator="containsText" text="Normal">
      <formula>NOT(ISERROR(SEARCH("Normal",N13)))</formula>
    </cfRule>
    <cfRule type="containsText" dxfId="348" priority="695" operator="containsText" text="Grass">
      <formula>NOT(ISERROR(SEARCH("Grass",N13)))</formula>
    </cfRule>
  </conditionalFormatting>
  <conditionalFormatting sqref="N148">
    <cfRule type="containsText" dxfId="347" priority="660" operator="containsText" text="Flying">
      <formula>NOT(ISERROR(SEARCH("Flying",N148)))</formula>
    </cfRule>
    <cfRule type="containsText" dxfId="346" priority="661" operator="containsText" text="Fairy">
      <formula>NOT(ISERROR(SEARCH("Fairy",N148)))</formula>
    </cfRule>
    <cfRule type="containsText" dxfId="345" priority="662" operator="containsText" text="Steel">
      <formula>NOT(ISERROR(SEARCH("Steel",N148)))</formula>
    </cfRule>
    <cfRule type="containsText" dxfId="344" priority="663" operator="containsText" text="Dark">
      <formula>NOT(ISERROR(SEARCH("Dark",N148)))</formula>
    </cfRule>
    <cfRule type="containsText" dxfId="343" priority="664" operator="containsText" text="Dragon">
      <formula>NOT(ISERROR(SEARCH("Dragon",N148)))</formula>
    </cfRule>
    <cfRule type="containsText" dxfId="342" priority="665" operator="containsText" text="Ghost">
      <formula>NOT(ISERROR(SEARCH("Ghost",N148)))</formula>
    </cfRule>
    <cfRule type="containsText" dxfId="341" priority="666" operator="containsText" text="Rock">
      <formula>NOT(ISERROR(SEARCH("Rock",N148)))</formula>
    </cfRule>
    <cfRule type="containsText" dxfId="340" priority="667" operator="containsText" text="Bug">
      <formula>NOT(ISERROR(SEARCH("Bug",N148)))</formula>
    </cfRule>
    <cfRule type="containsText" dxfId="339" priority="668" operator="containsText" text="Psychic">
      <formula>NOT(ISERROR(SEARCH("Psychic",N148)))</formula>
    </cfRule>
    <cfRule type="containsText" dxfId="338" priority="669" operator="containsText" text="Ground">
      <formula>NOT(ISERROR(SEARCH("Ground",N148)))</formula>
    </cfRule>
    <cfRule type="containsText" dxfId="337" priority="670" operator="containsText" text="Poison">
      <formula>NOT(ISERROR(SEARCH("Poison",N148)))</formula>
    </cfRule>
    <cfRule type="containsText" dxfId="336" priority="671" operator="containsText" text="Fighting">
      <formula>NOT(ISERROR(SEARCH("Fighting",N148)))</formula>
    </cfRule>
    <cfRule type="containsText" dxfId="335" priority="672" operator="containsText" text="Ice">
      <formula>NOT(ISERROR(SEARCH("Ice",N148)))</formula>
    </cfRule>
    <cfRule type="containsText" dxfId="334" priority="673" operator="containsText" text="Electric">
      <formula>NOT(ISERROR(SEARCH("Electric",N148)))</formula>
    </cfRule>
    <cfRule type="containsText" dxfId="333" priority="674" operator="containsText" text="Water">
      <formula>NOT(ISERROR(SEARCH("Water",N148)))</formula>
    </cfRule>
    <cfRule type="containsText" dxfId="332" priority="675" operator="containsText" text="Fire">
      <formula>NOT(ISERROR(SEARCH("Fire",N148)))</formula>
    </cfRule>
    <cfRule type="containsText" dxfId="331" priority="676" operator="containsText" text="Normal">
      <formula>NOT(ISERROR(SEARCH("Normal",N148)))</formula>
    </cfRule>
    <cfRule type="containsText" dxfId="330" priority="677" operator="containsText" text="Grass">
      <formula>NOT(ISERROR(SEARCH("Grass",N148)))</formula>
    </cfRule>
  </conditionalFormatting>
  <conditionalFormatting sqref="N181">
    <cfRule type="containsText" dxfId="329" priority="624" operator="containsText" text="Flying">
      <formula>NOT(ISERROR(SEARCH("Flying",N181)))</formula>
    </cfRule>
    <cfRule type="containsText" dxfId="328" priority="625" operator="containsText" text="Fairy">
      <formula>NOT(ISERROR(SEARCH("Fairy",N181)))</formula>
    </cfRule>
    <cfRule type="containsText" dxfId="327" priority="626" operator="containsText" text="Steel">
      <formula>NOT(ISERROR(SEARCH("Steel",N181)))</formula>
    </cfRule>
    <cfRule type="containsText" dxfId="326" priority="627" operator="containsText" text="Dark">
      <formula>NOT(ISERROR(SEARCH("Dark",N181)))</formula>
    </cfRule>
    <cfRule type="containsText" dxfId="325" priority="628" operator="containsText" text="Dragon">
      <formula>NOT(ISERROR(SEARCH("Dragon",N181)))</formula>
    </cfRule>
    <cfRule type="containsText" dxfId="324" priority="629" operator="containsText" text="Ghost">
      <formula>NOT(ISERROR(SEARCH("Ghost",N181)))</formula>
    </cfRule>
    <cfRule type="containsText" dxfId="323" priority="630" operator="containsText" text="Rock">
      <formula>NOT(ISERROR(SEARCH("Rock",N181)))</formula>
    </cfRule>
    <cfRule type="containsText" dxfId="322" priority="631" operator="containsText" text="Bug">
      <formula>NOT(ISERROR(SEARCH("Bug",N181)))</formula>
    </cfRule>
    <cfRule type="containsText" dxfId="321" priority="632" operator="containsText" text="Psychic">
      <formula>NOT(ISERROR(SEARCH("Psychic",N181)))</formula>
    </cfRule>
    <cfRule type="containsText" dxfId="320" priority="633" operator="containsText" text="Ground">
      <formula>NOT(ISERROR(SEARCH("Ground",N181)))</formula>
    </cfRule>
    <cfRule type="containsText" dxfId="319" priority="634" operator="containsText" text="Poison">
      <formula>NOT(ISERROR(SEARCH("Poison",N181)))</formula>
    </cfRule>
    <cfRule type="containsText" dxfId="318" priority="635" operator="containsText" text="Fighting">
      <formula>NOT(ISERROR(SEARCH("Fighting",N181)))</formula>
    </cfRule>
    <cfRule type="containsText" dxfId="317" priority="636" operator="containsText" text="Ice">
      <formula>NOT(ISERROR(SEARCH("Ice",N181)))</formula>
    </cfRule>
    <cfRule type="containsText" dxfId="316" priority="637" operator="containsText" text="Electric">
      <formula>NOT(ISERROR(SEARCH("Electric",N181)))</formula>
    </cfRule>
    <cfRule type="containsText" dxfId="315" priority="638" operator="containsText" text="Water">
      <formula>NOT(ISERROR(SEARCH("Water",N181)))</formula>
    </cfRule>
    <cfRule type="containsText" dxfId="314" priority="639" operator="containsText" text="Fire">
      <formula>NOT(ISERROR(SEARCH("Fire",N181)))</formula>
    </cfRule>
    <cfRule type="containsText" dxfId="313" priority="640" operator="containsText" text="Normal">
      <formula>NOT(ISERROR(SEARCH("Normal",N181)))</formula>
    </cfRule>
    <cfRule type="containsText" dxfId="312" priority="641" operator="containsText" text="Grass">
      <formula>NOT(ISERROR(SEARCH("Grass",N181)))</formula>
    </cfRule>
  </conditionalFormatting>
  <conditionalFormatting sqref="N197:N198">
    <cfRule type="containsText" dxfId="311" priority="606" operator="containsText" text="Flying">
      <formula>NOT(ISERROR(SEARCH("Flying",N197)))</formula>
    </cfRule>
    <cfRule type="containsText" dxfId="310" priority="607" operator="containsText" text="Fairy">
      <formula>NOT(ISERROR(SEARCH("Fairy",N197)))</formula>
    </cfRule>
    <cfRule type="containsText" dxfId="309" priority="608" operator="containsText" text="Steel">
      <formula>NOT(ISERROR(SEARCH("Steel",N197)))</formula>
    </cfRule>
    <cfRule type="containsText" dxfId="308" priority="609" operator="containsText" text="Dark">
      <formula>NOT(ISERROR(SEARCH("Dark",N197)))</formula>
    </cfRule>
    <cfRule type="containsText" dxfId="307" priority="610" operator="containsText" text="Dragon">
      <formula>NOT(ISERROR(SEARCH("Dragon",N197)))</formula>
    </cfRule>
    <cfRule type="containsText" dxfId="306" priority="611" operator="containsText" text="Ghost">
      <formula>NOT(ISERROR(SEARCH("Ghost",N197)))</formula>
    </cfRule>
    <cfRule type="containsText" dxfId="305" priority="612" operator="containsText" text="Rock">
      <formula>NOT(ISERROR(SEARCH("Rock",N197)))</formula>
    </cfRule>
    <cfRule type="containsText" dxfId="304" priority="613" operator="containsText" text="Bug">
      <formula>NOT(ISERROR(SEARCH("Bug",N197)))</formula>
    </cfRule>
    <cfRule type="containsText" dxfId="303" priority="614" operator="containsText" text="Psychic">
      <formula>NOT(ISERROR(SEARCH("Psychic",N197)))</formula>
    </cfRule>
    <cfRule type="containsText" dxfId="302" priority="615" operator="containsText" text="Ground">
      <formula>NOT(ISERROR(SEARCH("Ground",N197)))</formula>
    </cfRule>
    <cfRule type="containsText" dxfId="301" priority="616" operator="containsText" text="Poison">
      <formula>NOT(ISERROR(SEARCH("Poison",N197)))</formula>
    </cfRule>
    <cfRule type="containsText" dxfId="300" priority="617" operator="containsText" text="Fighting">
      <formula>NOT(ISERROR(SEARCH("Fighting",N197)))</formula>
    </cfRule>
    <cfRule type="containsText" dxfId="299" priority="618" operator="containsText" text="Ice">
      <formula>NOT(ISERROR(SEARCH("Ice",N197)))</formula>
    </cfRule>
    <cfRule type="containsText" dxfId="298" priority="619" operator="containsText" text="Electric">
      <formula>NOT(ISERROR(SEARCH("Electric",N197)))</formula>
    </cfRule>
    <cfRule type="containsText" dxfId="297" priority="620" operator="containsText" text="Water">
      <formula>NOT(ISERROR(SEARCH("Water",N197)))</formula>
    </cfRule>
    <cfRule type="containsText" dxfId="296" priority="621" operator="containsText" text="Fire">
      <formula>NOT(ISERROR(SEARCH("Fire",N197)))</formula>
    </cfRule>
    <cfRule type="containsText" dxfId="295" priority="622" operator="containsText" text="Normal">
      <formula>NOT(ISERROR(SEARCH("Normal",N197)))</formula>
    </cfRule>
    <cfRule type="containsText" dxfId="294" priority="623" operator="containsText" text="Grass">
      <formula>NOT(ISERROR(SEARCH("Grass",N197)))</formula>
    </cfRule>
  </conditionalFormatting>
  <conditionalFormatting sqref="N229:N230">
    <cfRule type="containsText" dxfId="293" priority="426" operator="containsText" text="Flying">
      <formula>NOT(ISERROR(SEARCH("Flying",N229)))</formula>
    </cfRule>
    <cfRule type="containsText" dxfId="292" priority="427" operator="containsText" text="Fairy">
      <formula>NOT(ISERROR(SEARCH("Fairy",N229)))</formula>
    </cfRule>
    <cfRule type="containsText" dxfId="291" priority="428" operator="containsText" text="Steel">
      <formula>NOT(ISERROR(SEARCH("Steel",N229)))</formula>
    </cfRule>
    <cfRule type="containsText" dxfId="290" priority="429" operator="containsText" text="Dark">
      <formula>NOT(ISERROR(SEARCH("Dark",N229)))</formula>
    </cfRule>
    <cfRule type="containsText" dxfId="289" priority="430" operator="containsText" text="Dragon">
      <formula>NOT(ISERROR(SEARCH("Dragon",N229)))</formula>
    </cfRule>
    <cfRule type="containsText" dxfId="288" priority="431" operator="containsText" text="Ghost">
      <formula>NOT(ISERROR(SEARCH("Ghost",N229)))</formula>
    </cfRule>
    <cfRule type="containsText" dxfId="287" priority="432" operator="containsText" text="Rock">
      <formula>NOT(ISERROR(SEARCH("Rock",N229)))</formula>
    </cfRule>
    <cfRule type="containsText" dxfId="286" priority="433" operator="containsText" text="Bug">
      <formula>NOT(ISERROR(SEARCH("Bug",N229)))</formula>
    </cfRule>
    <cfRule type="containsText" dxfId="285" priority="434" operator="containsText" text="Psychic">
      <formula>NOT(ISERROR(SEARCH("Psychic",N229)))</formula>
    </cfRule>
    <cfRule type="containsText" dxfId="284" priority="435" operator="containsText" text="Ground">
      <formula>NOT(ISERROR(SEARCH("Ground",N229)))</formula>
    </cfRule>
    <cfRule type="containsText" dxfId="283" priority="436" operator="containsText" text="Poison">
      <formula>NOT(ISERROR(SEARCH("Poison",N229)))</formula>
    </cfRule>
    <cfRule type="containsText" dxfId="282" priority="437" operator="containsText" text="Fighting">
      <formula>NOT(ISERROR(SEARCH("Fighting",N229)))</formula>
    </cfRule>
    <cfRule type="containsText" dxfId="281" priority="438" operator="containsText" text="Ice">
      <formula>NOT(ISERROR(SEARCH("Ice",N229)))</formula>
    </cfRule>
    <cfRule type="containsText" dxfId="280" priority="439" operator="containsText" text="Electric">
      <formula>NOT(ISERROR(SEARCH("Electric",N229)))</formula>
    </cfRule>
    <cfRule type="containsText" dxfId="279" priority="440" operator="containsText" text="Water">
      <formula>NOT(ISERROR(SEARCH("Water",N229)))</formula>
    </cfRule>
    <cfRule type="containsText" dxfId="278" priority="441" operator="containsText" text="Fire">
      <formula>NOT(ISERROR(SEARCH("Fire",N229)))</formula>
    </cfRule>
    <cfRule type="containsText" dxfId="277" priority="442" operator="containsText" text="Normal">
      <formula>NOT(ISERROR(SEARCH("Normal",N229)))</formula>
    </cfRule>
    <cfRule type="containsText" dxfId="276" priority="443" operator="containsText" text="Grass">
      <formula>NOT(ISERROR(SEARCH("Grass",N229)))</formula>
    </cfRule>
  </conditionalFormatting>
  <conditionalFormatting sqref="N235:N236">
    <cfRule type="containsText" dxfId="275" priority="570" operator="containsText" text="Flying">
      <formula>NOT(ISERROR(SEARCH("Flying",N235)))</formula>
    </cfRule>
    <cfRule type="containsText" dxfId="274" priority="571" operator="containsText" text="Fairy">
      <formula>NOT(ISERROR(SEARCH("Fairy",N235)))</formula>
    </cfRule>
    <cfRule type="containsText" dxfId="273" priority="572" operator="containsText" text="Steel">
      <formula>NOT(ISERROR(SEARCH("Steel",N235)))</formula>
    </cfRule>
    <cfRule type="containsText" dxfId="272" priority="573" operator="containsText" text="Dark">
      <formula>NOT(ISERROR(SEARCH("Dark",N235)))</formula>
    </cfRule>
    <cfRule type="containsText" dxfId="271" priority="574" operator="containsText" text="Dragon">
      <formula>NOT(ISERROR(SEARCH("Dragon",N235)))</formula>
    </cfRule>
    <cfRule type="containsText" dxfId="270" priority="575" operator="containsText" text="Ghost">
      <formula>NOT(ISERROR(SEARCH("Ghost",N235)))</formula>
    </cfRule>
    <cfRule type="containsText" dxfId="269" priority="576" operator="containsText" text="Rock">
      <formula>NOT(ISERROR(SEARCH("Rock",N235)))</formula>
    </cfRule>
    <cfRule type="containsText" dxfId="268" priority="577" operator="containsText" text="Bug">
      <formula>NOT(ISERROR(SEARCH("Bug",N235)))</formula>
    </cfRule>
    <cfRule type="containsText" dxfId="267" priority="578" operator="containsText" text="Psychic">
      <formula>NOT(ISERROR(SEARCH("Psychic",N235)))</formula>
    </cfRule>
    <cfRule type="containsText" dxfId="266" priority="579" operator="containsText" text="Ground">
      <formula>NOT(ISERROR(SEARCH("Ground",N235)))</formula>
    </cfRule>
    <cfRule type="containsText" dxfId="265" priority="580" operator="containsText" text="Poison">
      <formula>NOT(ISERROR(SEARCH("Poison",N235)))</formula>
    </cfRule>
    <cfRule type="containsText" dxfId="264" priority="581" operator="containsText" text="Fighting">
      <formula>NOT(ISERROR(SEARCH("Fighting",N235)))</formula>
    </cfRule>
    <cfRule type="containsText" dxfId="263" priority="582" operator="containsText" text="Ice">
      <formula>NOT(ISERROR(SEARCH("Ice",N235)))</formula>
    </cfRule>
    <cfRule type="containsText" dxfId="262" priority="583" operator="containsText" text="Electric">
      <formula>NOT(ISERROR(SEARCH("Electric",N235)))</formula>
    </cfRule>
    <cfRule type="containsText" dxfId="261" priority="584" operator="containsText" text="Water">
      <formula>NOT(ISERROR(SEARCH("Water",N235)))</formula>
    </cfRule>
    <cfRule type="containsText" dxfId="260" priority="585" operator="containsText" text="Fire">
      <formula>NOT(ISERROR(SEARCH("Fire",N235)))</formula>
    </cfRule>
    <cfRule type="containsText" dxfId="259" priority="586" operator="containsText" text="Normal">
      <formula>NOT(ISERROR(SEARCH("Normal",N235)))</formula>
    </cfRule>
    <cfRule type="containsText" dxfId="258" priority="587" operator="containsText" text="Grass">
      <formula>NOT(ISERROR(SEARCH("Grass",N235)))</formula>
    </cfRule>
  </conditionalFormatting>
  <conditionalFormatting sqref="N244">
    <cfRule type="containsText" dxfId="257" priority="552" operator="containsText" text="Flying">
      <formula>NOT(ISERROR(SEARCH("Flying",N244)))</formula>
    </cfRule>
    <cfRule type="containsText" dxfId="256" priority="553" operator="containsText" text="Fairy">
      <formula>NOT(ISERROR(SEARCH("Fairy",N244)))</formula>
    </cfRule>
    <cfRule type="containsText" dxfId="255" priority="554" operator="containsText" text="Steel">
      <formula>NOT(ISERROR(SEARCH("Steel",N244)))</formula>
    </cfRule>
    <cfRule type="containsText" dxfId="254" priority="555" operator="containsText" text="Dark">
      <formula>NOT(ISERROR(SEARCH("Dark",N244)))</formula>
    </cfRule>
    <cfRule type="containsText" dxfId="253" priority="556" operator="containsText" text="Dragon">
      <formula>NOT(ISERROR(SEARCH("Dragon",N244)))</formula>
    </cfRule>
    <cfRule type="containsText" dxfId="252" priority="557" operator="containsText" text="Ghost">
      <formula>NOT(ISERROR(SEARCH("Ghost",N244)))</formula>
    </cfRule>
    <cfRule type="containsText" dxfId="251" priority="558" operator="containsText" text="Rock">
      <formula>NOT(ISERROR(SEARCH("Rock",N244)))</formula>
    </cfRule>
    <cfRule type="containsText" dxfId="250" priority="559" operator="containsText" text="Bug">
      <formula>NOT(ISERROR(SEARCH("Bug",N244)))</formula>
    </cfRule>
    <cfRule type="containsText" dxfId="249" priority="560" operator="containsText" text="Psychic">
      <formula>NOT(ISERROR(SEARCH("Psychic",N244)))</formula>
    </cfRule>
    <cfRule type="containsText" dxfId="248" priority="561" operator="containsText" text="Ground">
      <formula>NOT(ISERROR(SEARCH("Ground",N244)))</formula>
    </cfRule>
    <cfRule type="containsText" dxfId="247" priority="562" operator="containsText" text="Poison">
      <formula>NOT(ISERROR(SEARCH("Poison",N244)))</formula>
    </cfRule>
    <cfRule type="containsText" dxfId="246" priority="563" operator="containsText" text="Fighting">
      <formula>NOT(ISERROR(SEARCH("Fighting",N244)))</formula>
    </cfRule>
    <cfRule type="containsText" dxfId="245" priority="564" operator="containsText" text="Ice">
      <formula>NOT(ISERROR(SEARCH("Ice",N244)))</formula>
    </cfRule>
    <cfRule type="containsText" dxfId="244" priority="565" operator="containsText" text="Electric">
      <formula>NOT(ISERROR(SEARCH("Electric",N244)))</formula>
    </cfRule>
    <cfRule type="containsText" dxfId="243" priority="566" operator="containsText" text="Water">
      <formula>NOT(ISERROR(SEARCH("Water",N244)))</formula>
    </cfRule>
    <cfRule type="containsText" dxfId="242" priority="567" operator="containsText" text="Fire">
      <formula>NOT(ISERROR(SEARCH("Fire",N244)))</formula>
    </cfRule>
    <cfRule type="containsText" dxfId="241" priority="568" operator="containsText" text="Normal">
      <formula>NOT(ISERROR(SEARCH("Normal",N244)))</formula>
    </cfRule>
    <cfRule type="containsText" dxfId="240" priority="569" operator="containsText" text="Grass">
      <formula>NOT(ISERROR(SEARCH("Grass",N244)))</formula>
    </cfRule>
  </conditionalFormatting>
  <conditionalFormatting sqref="N245">
    <cfRule type="notContainsBlanks" dxfId="239" priority="20">
      <formula>LEN(TRIM(N245))&gt;0</formula>
    </cfRule>
  </conditionalFormatting>
  <conditionalFormatting sqref="N272">
    <cfRule type="containsText" dxfId="238" priority="534" operator="containsText" text="Flying">
      <formula>NOT(ISERROR(SEARCH("Flying",N272)))</formula>
    </cfRule>
    <cfRule type="containsText" dxfId="237" priority="535" operator="containsText" text="Fairy">
      <formula>NOT(ISERROR(SEARCH("Fairy",N272)))</formula>
    </cfRule>
    <cfRule type="containsText" dxfId="236" priority="536" operator="containsText" text="Steel">
      <formula>NOT(ISERROR(SEARCH("Steel",N272)))</formula>
    </cfRule>
    <cfRule type="containsText" dxfId="235" priority="537" operator="containsText" text="Dark">
      <formula>NOT(ISERROR(SEARCH("Dark",N272)))</formula>
    </cfRule>
    <cfRule type="containsText" dxfId="234" priority="538" operator="containsText" text="Dragon">
      <formula>NOT(ISERROR(SEARCH("Dragon",N272)))</formula>
    </cfRule>
    <cfRule type="containsText" dxfId="233" priority="539" operator="containsText" text="Ghost">
      <formula>NOT(ISERROR(SEARCH("Ghost",N272)))</formula>
    </cfRule>
    <cfRule type="containsText" dxfId="232" priority="540" operator="containsText" text="Rock">
      <formula>NOT(ISERROR(SEARCH("Rock",N272)))</formula>
    </cfRule>
    <cfRule type="containsText" dxfId="231" priority="541" operator="containsText" text="Bug">
      <formula>NOT(ISERROR(SEARCH("Bug",N272)))</formula>
    </cfRule>
    <cfRule type="containsText" dxfId="230" priority="542" operator="containsText" text="Psychic">
      <formula>NOT(ISERROR(SEARCH("Psychic",N272)))</formula>
    </cfRule>
    <cfRule type="containsText" dxfId="229" priority="543" operator="containsText" text="Ground">
      <formula>NOT(ISERROR(SEARCH("Ground",N272)))</formula>
    </cfRule>
    <cfRule type="containsText" dxfId="228" priority="544" operator="containsText" text="Poison">
      <formula>NOT(ISERROR(SEARCH("Poison",N272)))</formula>
    </cfRule>
    <cfRule type="containsText" dxfId="227" priority="545" operator="containsText" text="Fighting">
      <formula>NOT(ISERROR(SEARCH("Fighting",N272)))</formula>
    </cfRule>
    <cfRule type="containsText" dxfId="226" priority="546" operator="containsText" text="Ice">
      <formula>NOT(ISERROR(SEARCH("Ice",N272)))</formula>
    </cfRule>
    <cfRule type="containsText" dxfId="225" priority="547" operator="containsText" text="Electric">
      <formula>NOT(ISERROR(SEARCH("Electric",N272)))</formula>
    </cfRule>
    <cfRule type="containsText" dxfId="224" priority="548" operator="containsText" text="Water">
      <formula>NOT(ISERROR(SEARCH("Water",N272)))</formula>
    </cfRule>
    <cfRule type="containsText" dxfId="223" priority="549" operator="containsText" text="Fire">
      <formula>NOT(ISERROR(SEARCH("Fire",N272)))</formula>
    </cfRule>
    <cfRule type="containsText" dxfId="222" priority="550" operator="containsText" text="Normal">
      <formula>NOT(ISERROR(SEARCH("Normal",N272)))</formula>
    </cfRule>
    <cfRule type="containsText" dxfId="221" priority="551" operator="containsText" text="Grass">
      <formula>NOT(ISERROR(SEARCH("Grass",N272)))</formula>
    </cfRule>
  </conditionalFormatting>
  <conditionalFormatting sqref="N314">
    <cfRule type="containsText" dxfId="220" priority="516" operator="containsText" text="Flying">
      <formula>NOT(ISERROR(SEARCH("Flying",N314)))</formula>
    </cfRule>
    <cfRule type="containsText" dxfId="219" priority="517" operator="containsText" text="Fairy">
      <formula>NOT(ISERROR(SEARCH("Fairy",N314)))</formula>
    </cfRule>
    <cfRule type="containsText" dxfId="218" priority="518" operator="containsText" text="Steel">
      <formula>NOT(ISERROR(SEARCH("Steel",N314)))</formula>
    </cfRule>
    <cfRule type="containsText" dxfId="217" priority="519" operator="containsText" text="Dark">
      <formula>NOT(ISERROR(SEARCH("Dark",N314)))</formula>
    </cfRule>
    <cfRule type="containsText" dxfId="216" priority="520" operator="containsText" text="Dragon">
      <formula>NOT(ISERROR(SEARCH("Dragon",N314)))</formula>
    </cfRule>
    <cfRule type="containsText" dxfId="215" priority="521" operator="containsText" text="Ghost">
      <formula>NOT(ISERROR(SEARCH("Ghost",N314)))</formula>
    </cfRule>
    <cfRule type="containsText" dxfId="214" priority="522" operator="containsText" text="Rock">
      <formula>NOT(ISERROR(SEARCH("Rock",N314)))</formula>
    </cfRule>
    <cfRule type="containsText" dxfId="213" priority="523" operator="containsText" text="Bug">
      <formula>NOT(ISERROR(SEARCH("Bug",N314)))</formula>
    </cfRule>
    <cfRule type="containsText" dxfId="212" priority="524" operator="containsText" text="Psychic">
      <formula>NOT(ISERROR(SEARCH("Psychic",N314)))</formula>
    </cfRule>
    <cfRule type="containsText" dxfId="211" priority="525" operator="containsText" text="Ground">
      <formula>NOT(ISERROR(SEARCH("Ground",N314)))</formula>
    </cfRule>
    <cfRule type="containsText" dxfId="210" priority="526" operator="containsText" text="Poison">
      <formula>NOT(ISERROR(SEARCH("Poison",N314)))</formula>
    </cfRule>
    <cfRule type="containsText" dxfId="209" priority="527" operator="containsText" text="Fighting">
      <formula>NOT(ISERROR(SEARCH("Fighting",N314)))</formula>
    </cfRule>
    <cfRule type="containsText" dxfId="208" priority="528" operator="containsText" text="Ice">
      <formula>NOT(ISERROR(SEARCH("Ice",N314)))</formula>
    </cfRule>
    <cfRule type="containsText" dxfId="207" priority="529" operator="containsText" text="Electric">
      <formula>NOT(ISERROR(SEARCH("Electric",N314)))</formula>
    </cfRule>
    <cfRule type="containsText" dxfId="206" priority="530" operator="containsText" text="Water">
      <formula>NOT(ISERROR(SEARCH("Water",N314)))</formula>
    </cfRule>
    <cfRule type="containsText" dxfId="205" priority="531" operator="containsText" text="Fire">
      <formula>NOT(ISERROR(SEARCH("Fire",N314)))</formula>
    </cfRule>
    <cfRule type="containsText" dxfId="204" priority="532" operator="containsText" text="Normal">
      <formula>NOT(ISERROR(SEARCH("Normal",N314)))</formula>
    </cfRule>
    <cfRule type="containsText" dxfId="203" priority="533" operator="containsText" text="Grass">
      <formula>NOT(ISERROR(SEARCH("Grass",N314)))</formula>
    </cfRule>
  </conditionalFormatting>
  <conditionalFormatting sqref="N385">
    <cfRule type="containsText" dxfId="202" priority="480" operator="containsText" text="Flying">
      <formula>NOT(ISERROR(SEARCH("Flying",N385)))</formula>
    </cfRule>
    <cfRule type="containsText" dxfId="201" priority="481" operator="containsText" text="Fairy">
      <formula>NOT(ISERROR(SEARCH("Fairy",N385)))</formula>
    </cfRule>
    <cfRule type="containsText" dxfId="200" priority="482" operator="containsText" text="Steel">
      <formula>NOT(ISERROR(SEARCH("Steel",N385)))</formula>
    </cfRule>
    <cfRule type="containsText" dxfId="199" priority="483" operator="containsText" text="Dark">
      <formula>NOT(ISERROR(SEARCH("Dark",N385)))</formula>
    </cfRule>
    <cfRule type="containsText" dxfId="198" priority="484" operator="containsText" text="Dragon">
      <formula>NOT(ISERROR(SEARCH("Dragon",N385)))</formula>
    </cfRule>
    <cfRule type="containsText" dxfId="197" priority="485" operator="containsText" text="Ghost">
      <formula>NOT(ISERROR(SEARCH("Ghost",N385)))</formula>
    </cfRule>
    <cfRule type="containsText" dxfId="196" priority="486" operator="containsText" text="Rock">
      <formula>NOT(ISERROR(SEARCH("Rock",N385)))</formula>
    </cfRule>
    <cfRule type="containsText" dxfId="195" priority="487" operator="containsText" text="Bug">
      <formula>NOT(ISERROR(SEARCH("Bug",N385)))</formula>
    </cfRule>
    <cfRule type="containsText" dxfId="194" priority="488" operator="containsText" text="Psychic">
      <formula>NOT(ISERROR(SEARCH("Psychic",N385)))</formula>
    </cfRule>
    <cfRule type="containsText" dxfId="193" priority="489" operator="containsText" text="Ground">
      <formula>NOT(ISERROR(SEARCH("Ground",N385)))</formula>
    </cfRule>
    <cfRule type="containsText" dxfId="192" priority="490" operator="containsText" text="Poison">
      <formula>NOT(ISERROR(SEARCH("Poison",N385)))</formula>
    </cfRule>
    <cfRule type="containsText" dxfId="191" priority="491" operator="containsText" text="Fighting">
      <formula>NOT(ISERROR(SEARCH("Fighting",N385)))</formula>
    </cfRule>
    <cfRule type="containsText" dxfId="190" priority="492" operator="containsText" text="Ice">
      <formula>NOT(ISERROR(SEARCH("Ice",N385)))</formula>
    </cfRule>
    <cfRule type="containsText" dxfId="189" priority="493" operator="containsText" text="Electric">
      <formula>NOT(ISERROR(SEARCH("Electric",N385)))</formula>
    </cfRule>
    <cfRule type="containsText" dxfId="188" priority="494" operator="containsText" text="Water">
      <formula>NOT(ISERROR(SEARCH("Water",N385)))</formula>
    </cfRule>
    <cfRule type="containsText" dxfId="187" priority="495" operator="containsText" text="Fire">
      <formula>NOT(ISERROR(SEARCH("Fire",N385)))</formula>
    </cfRule>
    <cfRule type="containsText" dxfId="186" priority="496" operator="containsText" text="Normal">
      <formula>NOT(ISERROR(SEARCH("Normal",N385)))</formula>
    </cfRule>
    <cfRule type="containsText" dxfId="185" priority="497" operator="containsText" text="Grass">
      <formula>NOT(ISERROR(SEARCH("Grass",N385)))</formula>
    </cfRule>
  </conditionalFormatting>
  <conditionalFormatting sqref="N439">
    <cfRule type="containsText" dxfId="184" priority="462" operator="containsText" text="Flying">
      <formula>NOT(ISERROR(SEARCH("Flying",N439)))</formula>
    </cfRule>
    <cfRule type="containsText" dxfId="183" priority="463" operator="containsText" text="Fairy">
      <formula>NOT(ISERROR(SEARCH("Fairy",N439)))</formula>
    </cfRule>
    <cfRule type="containsText" dxfId="182" priority="464" operator="containsText" text="Steel">
      <formula>NOT(ISERROR(SEARCH("Steel",N439)))</formula>
    </cfRule>
    <cfRule type="containsText" dxfId="181" priority="465" operator="containsText" text="Dark">
      <formula>NOT(ISERROR(SEARCH("Dark",N439)))</formula>
    </cfRule>
    <cfRule type="containsText" dxfId="180" priority="466" operator="containsText" text="Dragon">
      <formula>NOT(ISERROR(SEARCH("Dragon",N439)))</formula>
    </cfRule>
    <cfRule type="containsText" dxfId="179" priority="467" operator="containsText" text="Ghost">
      <formula>NOT(ISERROR(SEARCH("Ghost",N439)))</formula>
    </cfRule>
    <cfRule type="containsText" dxfId="178" priority="468" operator="containsText" text="Rock">
      <formula>NOT(ISERROR(SEARCH("Rock",N439)))</formula>
    </cfRule>
    <cfRule type="containsText" dxfId="177" priority="469" operator="containsText" text="Bug">
      <formula>NOT(ISERROR(SEARCH("Bug",N439)))</formula>
    </cfRule>
    <cfRule type="containsText" dxfId="176" priority="470" operator="containsText" text="Psychic">
      <formula>NOT(ISERROR(SEARCH("Psychic",N439)))</formula>
    </cfRule>
    <cfRule type="containsText" dxfId="175" priority="471" operator="containsText" text="Ground">
      <formula>NOT(ISERROR(SEARCH("Ground",N439)))</formula>
    </cfRule>
    <cfRule type="containsText" dxfId="174" priority="472" operator="containsText" text="Poison">
      <formula>NOT(ISERROR(SEARCH("Poison",N439)))</formula>
    </cfRule>
    <cfRule type="containsText" dxfId="173" priority="473" operator="containsText" text="Fighting">
      <formula>NOT(ISERROR(SEARCH("Fighting",N439)))</formula>
    </cfRule>
    <cfRule type="containsText" dxfId="172" priority="474" operator="containsText" text="Ice">
      <formula>NOT(ISERROR(SEARCH("Ice",N439)))</formula>
    </cfRule>
    <cfRule type="containsText" dxfId="171" priority="475" operator="containsText" text="Electric">
      <formula>NOT(ISERROR(SEARCH("Electric",N439)))</formula>
    </cfRule>
    <cfRule type="containsText" dxfId="170" priority="476" operator="containsText" text="Water">
      <formula>NOT(ISERROR(SEARCH("Water",N439)))</formula>
    </cfRule>
    <cfRule type="containsText" dxfId="169" priority="477" operator="containsText" text="Fire">
      <formula>NOT(ISERROR(SEARCH("Fire",N439)))</formula>
    </cfRule>
    <cfRule type="containsText" dxfId="168" priority="478" operator="containsText" text="Normal">
      <formula>NOT(ISERROR(SEARCH("Normal",N439)))</formula>
    </cfRule>
    <cfRule type="containsText" dxfId="167" priority="479" operator="containsText" text="Grass">
      <formula>NOT(ISERROR(SEARCH("Grass",N439)))</formula>
    </cfRule>
  </conditionalFormatting>
  <conditionalFormatting sqref="N454">
    <cfRule type="containsText" dxfId="166" priority="444" operator="containsText" text="Flying">
      <formula>NOT(ISERROR(SEARCH("Flying",N454)))</formula>
    </cfRule>
    <cfRule type="containsText" dxfId="165" priority="445" operator="containsText" text="Fairy">
      <formula>NOT(ISERROR(SEARCH("Fairy",N454)))</formula>
    </cfRule>
    <cfRule type="containsText" dxfId="164" priority="446" operator="containsText" text="Steel">
      <formula>NOT(ISERROR(SEARCH("Steel",N454)))</formula>
    </cfRule>
    <cfRule type="containsText" dxfId="163" priority="447" operator="containsText" text="Dark">
      <formula>NOT(ISERROR(SEARCH("Dark",N454)))</formula>
    </cfRule>
    <cfRule type="containsText" dxfId="162" priority="448" operator="containsText" text="Dragon">
      <formula>NOT(ISERROR(SEARCH("Dragon",N454)))</formula>
    </cfRule>
    <cfRule type="containsText" dxfId="161" priority="449" operator="containsText" text="Ghost">
      <formula>NOT(ISERROR(SEARCH("Ghost",N454)))</formula>
    </cfRule>
    <cfRule type="containsText" dxfId="160" priority="450" operator="containsText" text="Rock">
      <formula>NOT(ISERROR(SEARCH("Rock",N454)))</formula>
    </cfRule>
    <cfRule type="containsText" dxfId="159" priority="451" operator="containsText" text="Bug">
      <formula>NOT(ISERROR(SEARCH("Bug",N454)))</formula>
    </cfRule>
    <cfRule type="containsText" dxfId="158" priority="452" operator="containsText" text="Psychic">
      <formula>NOT(ISERROR(SEARCH("Psychic",N454)))</formula>
    </cfRule>
    <cfRule type="containsText" dxfId="157" priority="453" operator="containsText" text="Ground">
      <formula>NOT(ISERROR(SEARCH("Ground",N454)))</formula>
    </cfRule>
    <cfRule type="containsText" dxfId="156" priority="454" operator="containsText" text="Poison">
      <formula>NOT(ISERROR(SEARCH("Poison",N454)))</formula>
    </cfRule>
    <cfRule type="containsText" dxfId="155" priority="455" operator="containsText" text="Fighting">
      <formula>NOT(ISERROR(SEARCH("Fighting",N454)))</formula>
    </cfRule>
    <cfRule type="containsText" dxfId="154" priority="456" operator="containsText" text="Ice">
      <formula>NOT(ISERROR(SEARCH("Ice",N454)))</formula>
    </cfRule>
    <cfRule type="containsText" dxfId="153" priority="457" operator="containsText" text="Electric">
      <formula>NOT(ISERROR(SEARCH("Electric",N454)))</formula>
    </cfRule>
    <cfRule type="containsText" dxfId="152" priority="458" operator="containsText" text="Water">
      <formula>NOT(ISERROR(SEARCH("Water",N454)))</formula>
    </cfRule>
    <cfRule type="containsText" dxfId="151" priority="459" operator="containsText" text="Fire">
      <formula>NOT(ISERROR(SEARCH("Fire",N454)))</formula>
    </cfRule>
    <cfRule type="containsText" dxfId="150" priority="460" operator="containsText" text="Normal">
      <formula>NOT(ISERROR(SEARCH("Normal",N454)))</formula>
    </cfRule>
    <cfRule type="containsText" dxfId="149" priority="461" operator="containsText" text="Grass">
      <formula>NOT(ISERROR(SEARCH("Grass",N454)))</formula>
    </cfRule>
  </conditionalFormatting>
  <conditionalFormatting sqref="N472">
    <cfRule type="containsText" dxfId="148" priority="408" operator="containsText" text="Flying">
      <formula>NOT(ISERROR(SEARCH("Flying",N472)))</formula>
    </cfRule>
    <cfRule type="containsText" dxfId="147" priority="409" operator="containsText" text="Fairy">
      <formula>NOT(ISERROR(SEARCH("Fairy",N472)))</formula>
    </cfRule>
    <cfRule type="containsText" dxfId="146" priority="410" operator="containsText" text="Steel">
      <formula>NOT(ISERROR(SEARCH("Steel",N472)))</formula>
    </cfRule>
    <cfRule type="containsText" dxfId="145" priority="411" operator="containsText" text="Dark">
      <formula>NOT(ISERROR(SEARCH("Dark",N472)))</formula>
    </cfRule>
    <cfRule type="containsText" dxfId="144" priority="412" operator="containsText" text="Dragon">
      <formula>NOT(ISERROR(SEARCH("Dragon",N472)))</formula>
    </cfRule>
    <cfRule type="containsText" dxfId="143" priority="413" operator="containsText" text="Ghost">
      <formula>NOT(ISERROR(SEARCH("Ghost",N472)))</formula>
    </cfRule>
    <cfRule type="containsText" dxfId="142" priority="414" operator="containsText" text="Rock">
      <formula>NOT(ISERROR(SEARCH("Rock",N472)))</formula>
    </cfRule>
    <cfRule type="containsText" dxfId="141" priority="415" operator="containsText" text="Bug">
      <formula>NOT(ISERROR(SEARCH("Bug",N472)))</formula>
    </cfRule>
    <cfRule type="containsText" dxfId="140" priority="416" operator="containsText" text="Psychic">
      <formula>NOT(ISERROR(SEARCH("Psychic",N472)))</formula>
    </cfRule>
    <cfRule type="containsText" dxfId="139" priority="417" operator="containsText" text="Ground">
      <formula>NOT(ISERROR(SEARCH("Ground",N472)))</formula>
    </cfRule>
    <cfRule type="containsText" dxfId="138" priority="418" operator="containsText" text="Poison">
      <formula>NOT(ISERROR(SEARCH("Poison",N472)))</formula>
    </cfRule>
    <cfRule type="containsText" dxfId="137" priority="419" operator="containsText" text="Fighting">
      <formula>NOT(ISERROR(SEARCH("Fighting",N472)))</formula>
    </cfRule>
    <cfRule type="containsText" dxfId="136" priority="420" operator="containsText" text="Ice">
      <formula>NOT(ISERROR(SEARCH("Ice",N472)))</formula>
    </cfRule>
    <cfRule type="containsText" dxfId="135" priority="421" operator="containsText" text="Electric">
      <formula>NOT(ISERROR(SEARCH("Electric",N472)))</formula>
    </cfRule>
    <cfRule type="containsText" dxfId="134" priority="422" operator="containsText" text="Water">
      <formula>NOT(ISERROR(SEARCH("Water",N472)))</formula>
    </cfRule>
    <cfRule type="containsText" dxfId="133" priority="423" operator="containsText" text="Fire">
      <formula>NOT(ISERROR(SEARCH("Fire",N472)))</formula>
    </cfRule>
    <cfRule type="containsText" dxfId="132" priority="424" operator="containsText" text="Normal">
      <formula>NOT(ISERROR(SEARCH("Normal",N472)))</formula>
    </cfRule>
    <cfRule type="containsText" dxfId="131" priority="425" operator="containsText" text="Grass">
      <formula>NOT(ISERROR(SEARCH("Grass",N472)))</formula>
    </cfRule>
  </conditionalFormatting>
  <conditionalFormatting sqref="O152 N153 O369 N380 C466">
    <cfRule type="containsText" dxfId="130" priority="705" operator="containsText" text="Flying">
      <formula>NOT(ISERROR(SEARCH("Flying",C152)))</formula>
    </cfRule>
    <cfRule type="containsText" dxfId="129" priority="706" operator="containsText" text="Fairy">
      <formula>NOT(ISERROR(SEARCH("Fairy",C152)))</formula>
    </cfRule>
    <cfRule type="containsText" dxfId="128" priority="707" operator="containsText" text="Steel">
      <formula>NOT(ISERROR(SEARCH("Steel",C152)))</formula>
    </cfRule>
    <cfRule type="containsText" dxfId="127" priority="708" operator="containsText" text="Dark">
      <formula>NOT(ISERROR(SEARCH("Dark",C152)))</formula>
    </cfRule>
    <cfRule type="containsText" dxfId="126" priority="709" operator="containsText" text="Dragon">
      <formula>NOT(ISERROR(SEARCH("Dragon",C152)))</formula>
    </cfRule>
    <cfRule type="containsText" dxfId="125" priority="710" operator="containsText" text="Ghost">
      <formula>NOT(ISERROR(SEARCH("Ghost",C152)))</formula>
    </cfRule>
    <cfRule type="containsText" dxfId="124" priority="711" operator="containsText" text="Rock">
      <formula>NOT(ISERROR(SEARCH("Rock",C152)))</formula>
    </cfRule>
    <cfRule type="containsText" dxfId="123" priority="712" operator="containsText" text="Bug">
      <formula>NOT(ISERROR(SEARCH("Bug",C152)))</formula>
    </cfRule>
    <cfRule type="containsText" dxfId="122" priority="713" operator="containsText" text="Psychic">
      <formula>NOT(ISERROR(SEARCH("Psychic",C152)))</formula>
    </cfRule>
    <cfRule type="containsText" dxfId="121" priority="714" operator="containsText" text="Ground">
      <formula>NOT(ISERROR(SEARCH("Ground",C152)))</formula>
    </cfRule>
    <cfRule type="containsText" dxfId="120" priority="715" operator="containsText" text="Poison">
      <formula>NOT(ISERROR(SEARCH("Poison",C152)))</formula>
    </cfRule>
    <cfRule type="containsText" dxfId="119" priority="716" operator="containsText" text="Fighting">
      <formula>NOT(ISERROR(SEARCH("Fighting",C152)))</formula>
    </cfRule>
    <cfRule type="containsText" dxfId="118" priority="717" operator="containsText" text="Ice">
      <formula>NOT(ISERROR(SEARCH("Ice",C152)))</formula>
    </cfRule>
    <cfRule type="containsText" dxfId="117" priority="718" operator="containsText" text="Electric">
      <formula>NOT(ISERROR(SEARCH("Electric",C152)))</formula>
    </cfRule>
    <cfRule type="containsText" dxfId="116" priority="719" operator="containsText" text="Water">
      <formula>NOT(ISERROR(SEARCH("Water",C152)))</formula>
    </cfRule>
    <cfRule type="containsText" dxfId="115" priority="720" operator="containsText" text="Fire">
      <formula>NOT(ISERROR(SEARCH("Fire",C152)))</formula>
    </cfRule>
    <cfRule type="containsText" dxfId="114" priority="721" operator="containsText" text="Normal">
      <formula>NOT(ISERROR(SEARCH("Normal",C152)))</formula>
    </cfRule>
    <cfRule type="containsText" dxfId="113" priority="722" operator="containsText" text="Grass">
      <formula>NOT(ISERROR(SEARCH("Grass",C152)))</formula>
    </cfRule>
  </conditionalFormatting>
  <conditionalFormatting sqref="O245">
    <cfRule type="notContainsBlanks" dxfId="112" priority="18">
      <formula>LEN(TRIM(O245))&gt;0</formula>
    </cfRule>
  </conditionalFormatting>
  <conditionalFormatting sqref="P245">
    <cfRule type="notContainsBlanks" dxfId="111" priority="15">
      <formula>LEN(TRIM(P245))&gt;0</formula>
    </cfRule>
  </conditionalFormatting>
  <conditionalFormatting sqref="Q245">
    <cfRule type="notContainsBlanks" dxfId="110" priority="17">
      <formula>LEN(TRIM(Q245))&gt;0</formula>
    </cfRule>
  </conditionalFormatting>
  <conditionalFormatting sqref="R245">
    <cfRule type="notContainsBlanks" dxfId="109" priority="16">
      <formula>LEN(TRIM(R245))&gt;0</formula>
    </cfRule>
  </conditionalFormatting>
  <conditionalFormatting sqref="S245">
    <cfRule type="notContainsBlanks" dxfId="108" priority="19">
      <formula>LEN(TRIM(S245))&gt;0</formula>
    </cfRule>
  </conditionalFormatting>
  <conditionalFormatting sqref="T245">
    <cfRule type="notContainsBlanks" dxfId="107" priority="14">
      <formula>LEN(TRIM(T245))&gt;0</formula>
    </cfRule>
  </conditionalFormatting>
  <conditionalFormatting sqref="A574">
    <cfRule type="expression" priority="2073">
      <formula>IF(A570&lt;10, "00"&amp;A570, IF(A570&lt;100, "0"&amp;A570, A570))</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E4143-7209-43B3-942E-8A55CFF4DE70}">
  <sheetPr>
    <tabColor rgb="FF949CC5"/>
  </sheetPr>
  <dimension ref="A1:Y576"/>
  <sheetViews>
    <sheetView topLeftCell="A13" workbookViewId="0">
      <selection activeCell="J26" sqref="J26"/>
    </sheetView>
  </sheetViews>
  <sheetFormatPr defaultRowHeight="15" x14ac:dyDescent="0.25"/>
  <cols>
    <col min="1" max="1" width="15" style="15" bestFit="1" customWidth="1"/>
    <col min="2" max="2" width="20.140625" style="16" bestFit="1" customWidth="1"/>
    <col min="3" max="4" width="9.28515625" style="17" bestFit="1" customWidth="1"/>
    <col min="5" max="5" width="18.140625" style="14" bestFit="1" customWidth="1"/>
    <col min="6" max="6" width="18.140625" style="6" bestFit="1" customWidth="1"/>
    <col min="7" max="7" width="6.7109375" style="18" bestFit="1" customWidth="1"/>
    <col min="8" max="8" width="5.140625" style="18" bestFit="1" customWidth="1"/>
    <col min="9" max="9" width="8.28515625" style="18" bestFit="1" customWidth="1"/>
    <col min="10" max="10" width="10.28515625" style="18" bestFit="1" customWidth="1"/>
    <col min="11" max="11" width="11.7109375" style="18" bestFit="1" customWidth="1"/>
    <col min="12" max="12" width="14" style="18" bestFit="1" customWidth="1"/>
    <col min="13" max="13" width="8.28515625" style="18" bestFit="1" customWidth="1"/>
    <col min="20" max="22" width="9.140625" style="17"/>
    <col min="23" max="23" width="57" style="17" customWidth="1"/>
    <col min="24" max="16384" width="9.140625" style="17"/>
  </cols>
  <sheetData>
    <row r="1" spans="1:23" ht="15.75" customHeight="1" x14ac:dyDescent="0.25">
      <c r="A1" s="1" t="s">
        <v>0</v>
      </c>
      <c r="B1" s="2" t="s">
        <v>1</v>
      </c>
      <c r="C1" s="11" t="s">
        <v>2</v>
      </c>
      <c r="D1" s="11" t="s">
        <v>3</v>
      </c>
      <c r="E1" s="11" t="s">
        <v>4</v>
      </c>
      <c r="F1" s="11" t="s">
        <v>5</v>
      </c>
      <c r="G1" s="3" t="s">
        <v>12</v>
      </c>
      <c r="H1" s="3" t="s">
        <v>6</v>
      </c>
      <c r="I1" s="3" t="s">
        <v>7</v>
      </c>
      <c r="J1" s="3" t="s">
        <v>8</v>
      </c>
      <c r="K1" s="3" t="s">
        <v>9</v>
      </c>
      <c r="L1" s="3" t="s">
        <v>10</v>
      </c>
      <c r="M1" s="3" t="s">
        <v>11</v>
      </c>
      <c r="W1" s="6" t="s">
        <v>685</v>
      </c>
    </row>
    <row r="2" spans="1:23" ht="15.75" customHeight="1" x14ac:dyDescent="0.25">
      <c r="A2" s="4">
        <v>1</v>
      </c>
      <c r="B2" s="5" t="s">
        <v>13</v>
      </c>
      <c r="C2" s="6" t="s">
        <v>14</v>
      </c>
      <c r="D2" s="6" t="s">
        <v>15</v>
      </c>
      <c r="E2" s="6" t="s">
        <v>16</v>
      </c>
      <c r="G2" s="7">
        <f t="shared" ref="G2:G39" si="0">SUM(H2:M2)</f>
        <v>318</v>
      </c>
      <c r="H2" s="7">
        <v>45</v>
      </c>
      <c r="I2" s="13">
        <v>49</v>
      </c>
      <c r="J2" s="7">
        <v>49</v>
      </c>
      <c r="K2" s="7">
        <v>65</v>
      </c>
      <c r="L2" s="7">
        <v>65</v>
      </c>
      <c r="M2" s="7">
        <v>45</v>
      </c>
    </row>
    <row r="3" spans="1:23" ht="15.75" customHeight="1" x14ac:dyDescent="0.25">
      <c r="A3" s="4">
        <v>2</v>
      </c>
      <c r="B3" s="5" t="s">
        <v>18</v>
      </c>
      <c r="C3" s="6" t="s">
        <v>14</v>
      </c>
      <c r="D3" s="6" t="s">
        <v>15</v>
      </c>
      <c r="E3" s="6" t="s">
        <v>16</v>
      </c>
      <c r="G3" s="7">
        <f t="shared" si="0"/>
        <v>405</v>
      </c>
      <c r="H3" s="7">
        <v>60</v>
      </c>
      <c r="I3" s="7">
        <v>62</v>
      </c>
      <c r="J3" s="7">
        <v>63</v>
      </c>
      <c r="K3" s="7">
        <v>80</v>
      </c>
      <c r="L3" s="7">
        <v>80</v>
      </c>
      <c r="M3" s="7">
        <v>60</v>
      </c>
      <c r="W3" s="47" t="s">
        <v>686</v>
      </c>
    </row>
    <row r="4" spans="1:23" ht="15.75" customHeight="1" x14ac:dyDescent="0.25">
      <c r="A4" s="4">
        <v>3</v>
      </c>
      <c r="B4" s="5" t="s">
        <v>19</v>
      </c>
      <c r="C4" s="6" t="s">
        <v>14</v>
      </c>
      <c r="D4" s="6" t="s">
        <v>15</v>
      </c>
      <c r="E4" s="6" t="s">
        <v>16</v>
      </c>
      <c r="G4" s="7">
        <f t="shared" si="0"/>
        <v>525</v>
      </c>
      <c r="H4" s="7">
        <v>80</v>
      </c>
      <c r="I4" s="7">
        <v>82</v>
      </c>
      <c r="J4" s="7">
        <v>83</v>
      </c>
      <c r="K4" s="7">
        <v>100</v>
      </c>
      <c r="L4" s="7">
        <v>100</v>
      </c>
      <c r="M4" s="7">
        <v>80</v>
      </c>
    </row>
    <row r="5" spans="1:23" ht="15.75" customHeight="1" x14ac:dyDescent="0.25">
      <c r="A5" s="4">
        <v>4</v>
      </c>
      <c r="B5" s="5" t="s">
        <v>20</v>
      </c>
      <c r="C5" s="6" t="s">
        <v>21</v>
      </c>
      <c r="D5" s="6"/>
      <c r="E5" s="6" t="s">
        <v>22</v>
      </c>
      <c r="G5" s="7">
        <f t="shared" si="0"/>
        <v>309</v>
      </c>
      <c r="H5" s="7">
        <v>39</v>
      </c>
      <c r="I5" s="7">
        <v>52</v>
      </c>
      <c r="J5" s="7">
        <v>43</v>
      </c>
      <c r="K5" s="7">
        <v>60</v>
      </c>
      <c r="L5" s="7">
        <v>50</v>
      </c>
      <c r="M5" s="7">
        <v>65</v>
      </c>
    </row>
    <row r="6" spans="1:23" ht="15.75" customHeight="1" x14ac:dyDescent="0.25">
      <c r="A6" s="4">
        <v>5</v>
      </c>
      <c r="B6" s="5" t="s">
        <v>24</v>
      </c>
      <c r="C6" s="6" t="s">
        <v>21</v>
      </c>
      <c r="D6" s="6"/>
      <c r="E6" s="6" t="s">
        <v>22</v>
      </c>
      <c r="G6" s="7">
        <f t="shared" si="0"/>
        <v>405</v>
      </c>
      <c r="H6" s="7">
        <v>58</v>
      </c>
      <c r="I6" s="7">
        <v>64</v>
      </c>
      <c r="J6" s="7">
        <v>58</v>
      </c>
      <c r="K6" s="7">
        <v>80</v>
      </c>
      <c r="L6" s="7">
        <v>65</v>
      </c>
      <c r="M6" s="7">
        <v>80</v>
      </c>
    </row>
    <row r="7" spans="1:23" ht="15.75" customHeight="1" x14ac:dyDescent="0.25">
      <c r="A7" s="4">
        <v>6</v>
      </c>
      <c r="B7" s="8" t="s">
        <v>25</v>
      </c>
      <c r="C7" s="6" t="s">
        <v>21</v>
      </c>
      <c r="D7" s="6" t="s">
        <v>26</v>
      </c>
      <c r="E7" s="6" t="s">
        <v>22</v>
      </c>
      <c r="G7" s="7">
        <f t="shared" si="0"/>
        <v>534</v>
      </c>
      <c r="H7" s="7">
        <v>78</v>
      </c>
      <c r="I7" s="7">
        <v>84</v>
      </c>
      <c r="J7" s="7">
        <v>78</v>
      </c>
      <c r="K7" s="7">
        <v>109</v>
      </c>
      <c r="L7" s="7">
        <v>85</v>
      </c>
      <c r="M7" s="7">
        <v>100</v>
      </c>
    </row>
    <row r="8" spans="1:23" ht="15.75" customHeight="1" x14ac:dyDescent="0.25">
      <c r="A8" s="4">
        <v>7</v>
      </c>
      <c r="B8" s="5" t="s">
        <v>27</v>
      </c>
      <c r="C8" s="6" t="s">
        <v>28</v>
      </c>
      <c r="D8" s="6"/>
      <c r="E8" s="6" t="s">
        <v>29</v>
      </c>
      <c r="G8" s="7">
        <f t="shared" si="0"/>
        <v>314</v>
      </c>
      <c r="H8" s="7">
        <v>44</v>
      </c>
      <c r="I8" s="7">
        <v>48</v>
      </c>
      <c r="J8" s="7">
        <v>65</v>
      </c>
      <c r="K8" s="7">
        <v>50</v>
      </c>
      <c r="L8" s="7">
        <v>64</v>
      </c>
      <c r="M8" s="7">
        <v>43</v>
      </c>
    </row>
    <row r="9" spans="1:23" ht="15.75" customHeight="1" x14ac:dyDescent="0.25">
      <c r="A9" s="4">
        <v>8</v>
      </c>
      <c r="B9" s="5" t="s">
        <v>31</v>
      </c>
      <c r="C9" s="6" t="s">
        <v>28</v>
      </c>
      <c r="D9" s="6"/>
      <c r="E9" s="6" t="s">
        <v>29</v>
      </c>
      <c r="G9" s="7">
        <f t="shared" si="0"/>
        <v>405</v>
      </c>
      <c r="H9" s="7">
        <v>59</v>
      </c>
      <c r="I9" s="7">
        <v>63</v>
      </c>
      <c r="J9" s="7">
        <v>80</v>
      </c>
      <c r="K9" s="7">
        <v>65</v>
      </c>
      <c r="L9" s="7">
        <v>80</v>
      </c>
      <c r="M9" s="7">
        <v>58</v>
      </c>
    </row>
    <row r="10" spans="1:23" ht="15.75" customHeight="1" x14ac:dyDescent="0.25">
      <c r="A10" s="4">
        <v>9</v>
      </c>
      <c r="B10" s="5" t="s">
        <v>32</v>
      </c>
      <c r="C10" s="6" t="s">
        <v>28</v>
      </c>
      <c r="D10" s="6"/>
      <c r="E10" s="6" t="s">
        <v>29</v>
      </c>
      <c r="G10" s="7">
        <f t="shared" si="0"/>
        <v>530</v>
      </c>
      <c r="H10" s="7">
        <v>79</v>
      </c>
      <c r="I10" s="7">
        <v>83</v>
      </c>
      <c r="J10" s="7">
        <v>100</v>
      </c>
      <c r="K10" s="7">
        <v>85</v>
      </c>
      <c r="L10" s="7">
        <v>105</v>
      </c>
      <c r="M10" s="7">
        <v>78</v>
      </c>
    </row>
    <row r="11" spans="1:23" ht="15.75" customHeight="1" x14ac:dyDescent="0.25">
      <c r="A11" s="4">
        <v>10</v>
      </c>
      <c r="B11" s="5" t="s">
        <v>33</v>
      </c>
      <c r="C11" s="6" t="s">
        <v>34</v>
      </c>
      <c r="D11" s="6"/>
      <c r="E11" s="6" t="s">
        <v>536</v>
      </c>
      <c r="G11" s="7">
        <f t="shared" si="0"/>
        <v>195</v>
      </c>
      <c r="H11" s="7">
        <v>45</v>
      </c>
      <c r="I11" s="7">
        <v>30</v>
      </c>
      <c r="J11" s="7">
        <v>35</v>
      </c>
      <c r="K11" s="7">
        <v>20</v>
      </c>
      <c r="L11" s="7">
        <v>20</v>
      </c>
      <c r="M11" s="7">
        <v>45</v>
      </c>
    </row>
    <row r="12" spans="1:23" ht="15.75" customHeight="1" x14ac:dyDescent="0.25">
      <c r="A12" s="4">
        <v>11</v>
      </c>
      <c r="B12" s="5" t="s">
        <v>35</v>
      </c>
      <c r="C12" s="6" t="s">
        <v>34</v>
      </c>
      <c r="D12" s="6"/>
      <c r="E12" s="6" t="s">
        <v>537</v>
      </c>
      <c r="G12" s="7">
        <f t="shared" si="0"/>
        <v>205</v>
      </c>
      <c r="H12" s="7">
        <v>50</v>
      </c>
      <c r="I12" s="7">
        <v>20</v>
      </c>
      <c r="J12" s="7">
        <v>55</v>
      </c>
      <c r="K12" s="7">
        <v>25</v>
      </c>
      <c r="L12" s="7">
        <v>25</v>
      </c>
      <c r="M12" s="7">
        <v>30</v>
      </c>
    </row>
    <row r="13" spans="1:23" ht="15.75" customHeight="1" x14ac:dyDescent="0.25">
      <c r="A13" s="4">
        <v>12</v>
      </c>
      <c r="B13" s="5" t="s">
        <v>36</v>
      </c>
      <c r="C13" s="6" t="s">
        <v>34</v>
      </c>
      <c r="D13" s="6" t="s">
        <v>26</v>
      </c>
      <c r="E13" s="6" t="s">
        <v>538</v>
      </c>
      <c r="G13" s="7">
        <f t="shared" si="0"/>
        <v>385</v>
      </c>
      <c r="H13" s="7">
        <v>60</v>
      </c>
      <c r="I13" s="7">
        <v>45</v>
      </c>
      <c r="J13" s="7">
        <v>50</v>
      </c>
      <c r="K13" s="7">
        <v>80</v>
      </c>
      <c r="L13" s="7">
        <v>80</v>
      </c>
      <c r="M13" s="7">
        <v>70</v>
      </c>
    </row>
    <row r="14" spans="1:23" ht="15.75" customHeight="1" x14ac:dyDescent="0.25">
      <c r="A14" s="4">
        <v>13</v>
      </c>
      <c r="B14" s="5" t="s">
        <v>37</v>
      </c>
      <c r="C14" s="6" t="s">
        <v>34</v>
      </c>
      <c r="D14" s="6" t="s">
        <v>15</v>
      </c>
      <c r="E14" s="6" t="s">
        <v>536</v>
      </c>
      <c r="G14" s="7">
        <f t="shared" si="0"/>
        <v>195</v>
      </c>
      <c r="H14" s="7">
        <v>40</v>
      </c>
      <c r="I14" s="7">
        <v>35</v>
      </c>
      <c r="J14" s="7">
        <v>30</v>
      </c>
      <c r="K14" s="7">
        <v>20</v>
      </c>
      <c r="L14" s="7">
        <v>20</v>
      </c>
      <c r="M14" s="7">
        <v>50</v>
      </c>
    </row>
    <row r="15" spans="1:23" ht="15.75" customHeight="1" x14ac:dyDescent="0.25">
      <c r="A15" s="4">
        <v>14</v>
      </c>
      <c r="B15" s="5" t="s">
        <v>38</v>
      </c>
      <c r="C15" s="6" t="s">
        <v>34</v>
      </c>
      <c r="D15" s="6" t="s">
        <v>15</v>
      </c>
      <c r="E15" s="6" t="s">
        <v>537</v>
      </c>
      <c r="G15" s="7">
        <f t="shared" si="0"/>
        <v>205</v>
      </c>
      <c r="H15" s="7">
        <v>45</v>
      </c>
      <c r="I15" s="7">
        <v>25</v>
      </c>
      <c r="J15" s="7">
        <v>50</v>
      </c>
      <c r="K15" s="7">
        <v>25</v>
      </c>
      <c r="L15" s="7">
        <v>25</v>
      </c>
      <c r="M15" s="7">
        <v>35</v>
      </c>
    </row>
    <row r="16" spans="1:23" ht="15.75" customHeight="1" x14ac:dyDescent="0.25">
      <c r="A16" s="4">
        <v>15</v>
      </c>
      <c r="B16" s="5" t="s">
        <v>39</v>
      </c>
      <c r="C16" s="6" t="s">
        <v>34</v>
      </c>
      <c r="D16" s="6" t="s">
        <v>15</v>
      </c>
      <c r="E16" s="6" t="s">
        <v>539</v>
      </c>
      <c r="G16" s="7">
        <f t="shared" si="0"/>
        <v>385</v>
      </c>
      <c r="H16" s="7">
        <v>65</v>
      </c>
      <c r="I16" s="7">
        <v>80</v>
      </c>
      <c r="J16" s="7">
        <v>40</v>
      </c>
      <c r="K16" s="7">
        <v>45</v>
      </c>
      <c r="L16" s="7">
        <v>80</v>
      </c>
      <c r="M16" s="7">
        <v>75</v>
      </c>
    </row>
    <row r="17" spans="1:13" ht="15.75" customHeight="1" x14ac:dyDescent="0.25">
      <c r="A17" s="4">
        <v>16</v>
      </c>
      <c r="B17" s="5" t="s">
        <v>40</v>
      </c>
      <c r="C17" s="6" t="s">
        <v>41</v>
      </c>
      <c r="D17" s="6" t="s">
        <v>26</v>
      </c>
      <c r="E17" s="6" t="s">
        <v>540</v>
      </c>
      <c r="F17" s="6" t="s">
        <v>541</v>
      </c>
      <c r="G17" s="7">
        <f t="shared" si="0"/>
        <v>251</v>
      </c>
      <c r="H17" s="7">
        <v>40</v>
      </c>
      <c r="I17" s="7">
        <v>45</v>
      </c>
      <c r="J17" s="7">
        <v>40</v>
      </c>
      <c r="K17" s="7">
        <v>35</v>
      </c>
      <c r="L17" s="7">
        <v>35</v>
      </c>
      <c r="M17" s="7">
        <v>56</v>
      </c>
    </row>
    <row r="18" spans="1:13" ht="15.75" customHeight="1" x14ac:dyDescent="0.25">
      <c r="A18" s="4">
        <v>17</v>
      </c>
      <c r="B18" s="5" t="s">
        <v>42</v>
      </c>
      <c r="C18" s="6" t="s">
        <v>41</v>
      </c>
      <c r="D18" s="6" t="s">
        <v>26</v>
      </c>
      <c r="E18" s="6" t="s">
        <v>540</v>
      </c>
      <c r="F18" s="6" t="s">
        <v>541</v>
      </c>
      <c r="G18" s="7">
        <f t="shared" si="0"/>
        <v>349</v>
      </c>
      <c r="H18" s="7">
        <v>63</v>
      </c>
      <c r="I18" s="7">
        <v>60</v>
      </c>
      <c r="J18" s="7">
        <v>55</v>
      </c>
      <c r="K18" s="7">
        <v>50</v>
      </c>
      <c r="L18" s="7">
        <v>50</v>
      </c>
      <c r="M18" s="7">
        <v>71</v>
      </c>
    </row>
    <row r="19" spans="1:13" ht="15.75" customHeight="1" x14ac:dyDescent="0.25">
      <c r="A19" s="4">
        <v>18</v>
      </c>
      <c r="B19" s="5" t="s">
        <v>43</v>
      </c>
      <c r="C19" s="6" t="s">
        <v>41</v>
      </c>
      <c r="D19" s="6" t="s">
        <v>26</v>
      </c>
      <c r="E19" s="6" t="s">
        <v>540</v>
      </c>
      <c r="F19" s="6" t="s">
        <v>541</v>
      </c>
      <c r="G19" s="7">
        <f t="shared" si="0"/>
        <v>469</v>
      </c>
      <c r="H19" s="7">
        <v>83</v>
      </c>
      <c r="I19" s="7">
        <v>80</v>
      </c>
      <c r="J19" s="7">
        <v>75</v>
      </c>
      <c r="K19" s="7">
        <v>70</v>
      </c>
      <c r="L19" s="7">
        <v>70</v>
      </c>
      <c r="M19" s="7">
        <v>91</v>
      </c>
    </row>
    <row r="20" spans="1:13" ht="15.75" customHeight="1" x14ac:dyDescent="0.25">
      <c r="A20" s="4">
        <v>19</v>
      </c>
      <c r="B20" s="5" t="s">
        <v>44</v>
      </c>
      <c r="C20" s="6" t="s">
        <v>41</v>
      </c>
      <c r="D20" s="6"/>
      <c r="E20" s="6" t="s">
        <v>542</v>
      </c>
      <c r="F20" s="6" t="s">
        <v>543</v>
      </c>
      <c r="G20" s="7">
        <f t="shared" si="0"/>
        <v>253</v>
      </c>
      <c r="H20" s="7">
        <v>30</v>
      </c>
      <c r="I20" s="7">
        <v>56</v>
      </c>
      <c r="J20" s="7">
        <v>35</v>
      </c>
      <c r="K20" s="7">
        <v>25</v>
      </c>
      <c r="L20" s="7">
        <v>35</v>
      </c>
      <c r="M20" s="7">
        <v>72</v>
      </c>
    </row>
    <row r="21" spans="1:13" ht="15.75" customHeight="1" x14ac:dyDescent="0.25">
      <c r="A21" s="4">
        <v>20</v>
      </c>
      <c r="B21" s="5" t="s">
        <v>45</v>
      </c>
      <c r="C21" s="6" t="s">
        <v>41</v>
      </c>
      <c r="D21" s="6"/>
      <c r="E21" s="6" t="s">
        <v>542</v>
      </c>
      <c r="F21" s="6" t="s">
        <v>543</v>
      </c>
      <c r="G21" s="7">
        <f t="shared" si="0"/>
        <v>413</v>
      </c>
      <c r="H21" s="7">
        <v>55</v>
      </c>
      <c r="I21" s="7">
        <v>81</v>
      </c>
      <c r="J21" s="7">
        <v>60</v>
      </c>
      <c r="K21" s="7">
        <v>50</v>
      </c>
      <c r="L21" s="7">
        <v>70</v>
      </c>
      <c r="M21" s="7">
        <v>97</v>
      </c>
    </row>
    <row r="22" spans="1:13" ht="15.75" customHeight="1" x14ac:dyDescent="0.25">
      <c r="A22" s="4">
        <v>21</v>
      </c>
      <c r="B22" s="5" t="s">
        <v>48</v>
      </c>
      <c r="C22" s="6" t="s">
        <v>15</v>
      </c>
      <c r="D22" s="6"/>
      <c r="E22" s="6" t="s">
        <v>544</v>
      </c>
      <c r="F22" s="6" t="s">
        <v>537</v>
      </c>
      <c r="G22" s="7">
        <f t="shared" si="0"/>
        <v>288</v>
      </c>
      <c r="H22" s="7">
        <v>35</v>
      </c>
      <c r="I22" s="7">
        <v>60</v>
      </c>
      <c r="J22" s="7">
        <v>44</v>
      </c>
      <c r="K22" s="7">
        <v>40</v>
      </c>
      <c r="L22" s="7">
        <v>54</v>
      </c>
      <c r="M22" s="7">
        <v>55</v>
      </c>
    </row>
    <row r="23" spans="1:13" ht="15.75" customHeight="1" x14ac:dyDescent="0.25">
      <c r="A23" s="4">
        <v>22</v>
      </c>
      <c r="B23" s="5" t="s">
        <v>49</v>
      </c>
      <c r="C23" s="6" t="s">
        <v>15</v>
      </c>
      <c r="D23" s="6"/>
      <c r="E23" s="6" t="s">
        <v>544</v>
      </c>
      <c r="F23" s="6" t="s">
        <v>537</v>
      </c>
      <c r="G23" s="7">
        <f t="shared" si="0"/>
        <v>448</v>
      </c>
      <c r="H23" s="7">
        <v>60</v>
      </c>
      <c r="I23" s="7">
        <v>95</v>
      </c>
      <c r="J23" s="7">
        <v>69</v>
      </c>
      <c r="K23" s="7">
        <v>65</v>
      </c>
      <c r="L23" s="7">
        <v>79</v>
      </c>
      <c r="M23" s="7">
        <v>80</v>
      </c>
    </row>
    <row r="24" spans="1:13" ht="15.75" customHeight="1" x14ac:dyDescent="0.25">
      <c r="A24" s="4">
        <v>23</v>
      </c>
      <c r="B24" s="5" t="s">
        <v>206</v>
      </c>
      <c r="C24" s="6" t="s">
        <v>51</v>
      </c>
      <c r="D24" s="6"/>
      <c r="E24" s="6" t="s">
        <v>545</v>
      </c>
      <c r="G24" s="7">
        <f>SUM(H24:M24)</f>
        <v>205</v>
      </c>
      <c r="H24" s="7">
        <v>20</v>
      </c>
      <c r="I24" s="7">
        <v>40</v>
      </c>
      <c r="J24" s="7">
        <v>15</v>
      </c>
      <c r="K24" s="7">
        <v>35</v>
      </c>
      <c r="L24" s="7">
        <v>35</v>
      </c>
      <c r="M24" s="7">
        <v>60</v>
      </c>
    </row>
    <row r="25" spans="1:13" ht="15.75" customHeight="1" x14ac:dyDescent="0.25">
      <c r="A25" s="4">
        <v>24</v>
      </c>
      <c r="B25" s="5" t="s">
        <v>50</v>
      </c>
      <c r="C25" s="6" t="s">
        <v>51</v>
      </c>
      <c r="D25" s="6"/>
      <c r="E25" s="6" t="s">
        <v>545</v>
      </c>
      <c r="G25" s="7">
        <f t="shared" si="0"/>
        <v>300</v>
      </c>
      <c r="H25" s="7">
        <v>35</v>
      </c>
      <c r="I25" s="7">
        <v>55</v>
      </c>
      <c r="J25" s="7">
        <v>30</v>
      </c>
      <c r="K25" s="7">
        <v>50</v>
      </c>
      <c r="L25" s="7">
        <v>40</v>
      </c>
      <c r="M25" s="7">
        <v>90</v>
      </c>
    </row>
    <row r="26" spans="1:13" ht="15.75" customHeight="1" x14ac:dyDescent="0.25">
      <c r="A26" s="4">
        <v>25</v>
      </c>
      <c r="B26" s="5" t="s">
        <v>52</v>
      </c>
      <c r="C26" s="6" t="s">
        <v>51</v>
      </c>
      <c r="D26" s="6"/>
      <c r="E26" s="6" t="s">
        <v>545</v>
      </c>
      <c r="G26" s="7">
        <f t="shared" si="0"/>
        <v>475</v>
      </c>
      <c r="H26" s="7">
        <v>60</v>
      </c>
      <c r="I26" s="7">
        <v>90</v>
      </c>
      <c r="J26" s="7">
        <v>55</v>
      </c>
      <c r="K26" s="7">
        <v>90</v>
      </c>
      <c r="L26" s="7">
        <v>80</v>
      </c>
      <c r="M26" s="7">
        <v>100</v>
      </c>
    </row>
    <row r="27" spans="1:13" ht="15.75" customHeight="1" x14ac:dyDescent="0.25">
      <c r="A27" s="4">
        <v>26</v>
      </c>
      <c r="B27" s="5" t="s">
        <v>53</v>
      </c>
      <c r="C27" s="6" t="s">
        <v>54</v>
      </c>
      <c r="D27" s="6"/>
      <c r="E27" s="6" t="s">
        <v>546</v>
      </c>
      <c r="G27" s="7">
        <f t="shared" si="0"/>
        <v>300</v>
      </c>
      <c r="H27" s="7">
        <v>50</v>
      </c>
      <c r="I27" s="7">
        <v>75</v>
      </c>
      <c r="J27" s="7">
        <v>85</v>
      </c>
      <c r="K27" s="7">
        <v>20</v>
      </c>
      <c r="L27" s="7">
        <v>30</v>
      </c>
      <c r="M27" s="7">
        <v>40</v>
      </c>
    </row>
    <row r="28" spans="1:13" ht="15.75" customHeight="1" x14ac:dyDescent="0.25">
      <c r="A28" s="4">
        <v>27</v>
      </c>
      <c r="B28" s="5" t="s">
        <v>55</v>
      </c>
      <c r="C28" s="6" t="s">
        <v>54</v>
      </c>
      <c r="D28" s="6"/>
      <c r="E28" s="6" t="s">
        <v>546</v>
      </c>
      <c r="G28" s="7">
        <f t="shared" si="0"/>
        <v>450</v>
      </c>
      <c r="H28" s="7">
        <v>75</v>
      </c>
      <c r="I28" s="7">
        <v>100</v>
      </c>
      <c r="J28" s="7">
        <v>110</v>
      </c>
      <c r="K28" s="7">
        <v>45</v>
      </c>
      <c r="L28" s="7">
        <v>55</v>
      </c>
      <c r="M28" s="7">
        <v>65</v>
      </c>
    </row>
    <row r="29" spans="1:13" ht="15.75" customHeight="1" x14ac:dyDescent="0.25">
      <c r="A29" s="4">
        <v>28</v>
      </c>
      <c r="B29" s="5" t="s">
        <v>56</v>
      </c>
      <c r="C29" s="6" t="s">
        <v>15</v>
      </c>
      <c r="D29" s="6"/>
      <c r="E29" s="6" t="s">
        <v>547</v>
      </c>
      <c r="F29" s="6" t="s">
        <v>548</v>
      </c>
      <c r="G29" s="7">
        <f t="shared" si="0"/>
        <v>275</v>
      </c>
      <c r="H29" s="7">
        <v>55</v>
      </c>
      <c r="I29" s="7">
        <v>47</v>
      </c>
      <c r="J29" s="7">
        <v>52</v>
      </c>
      <c r="K29" s="7">
        <v>40</v>
      </c>
      <c r="L29" s="7">
        <v>40</v>
      </c>
      <c r="M29" s="7">
        <v>41</v>
      </c>
    </row>
    <row r="30" spans="1:13" ht="15.75" customHeight="1" x14ac:dyDescent="0.25">
      <c r="A30" s="4">
        <v>29</v>
      </c>
      <c r="B30" s="5" t="s">
        <v>57</v>
      </c>
      <c r="C30" s="6" t="s">
        <v>15</v>
      </c>
      <c r="D30" s="6"/>
      <c r="E30" s="6" t="s">
        <v>547</v>
      </c>
      <c r="F30" s="6" t="s">
        <v>548</v>
      </c>
      <c r="G30" s="7">
        <f t="shared" si="0"/>
        <v>365</v>
      </c>
      <c r="H30" s="7">
        <v>70</v>
      </c>
      <c r="I30" s="7">
        <v>62</v>
      </c>
      <c r="J30" s="7">
        <v>67</v>
      </c>
      <c r="K30" s="7">
        <v>55</v>
      </c>
      <c r="L30" s="7">
        <v>55</v>
      </c>
      <c r="M30" s="7">
        <v>56</v>
      </c>
    </row>
    <row r="31" spans="1:13" ht="15.75" customHeight="1" x14ac:dyDescent="0.25">
      <c r="A31" s="4">
        <v>30</v>
      </c>
      <c r="B31" s="5" t="s">
        <v>58</v>
      </c>
      <c r="C31" s="6" t="s">
        <v>15</v>
      </c>
      <c r="D31" s="6" t="s">
        <v>54</v>
      </c>
      <c r="E31" s="6" t="s">
        <v>547</v>
      </c>
      <c r="F31" s="6" t="s">
        <v>548</v>
      </c>
      <c r="G31" s="7">
        <f t="shared" si="0"/>
        <v>505</v>
      </c>
      <c r="H31" s="7">
        <v>90</v>
      </c>
      <c r="I31" s="7">
        <v>92</v>
      </c>
      <c r="J31" s="7">
        <v>87</v>
      </c>
      <c r="K31" s="7">
        <v>75</v>
      </c>
      <c r="L31" s="7">
        <v>85</v>
      </c>
      <c r="M31" s="7">
        <v>76</v>
      </c>
    </row>
    <row r="32" spans="1:13" ht="15.75" customHeight="1" x14ac:dyDescent="0.25">
      <c r="A32" s="4">
        <v>31</v>
      </c>
      <c r="B32" s="5" t="s">
        <v>59</v>
      </c>
      <c r="C32" s="6" t="s">
        <v>15</v>
      </c>
      <c r="D32" s="6"/>
      <c r="E32" s="6" t="s">
        <v>547</v>
      </c>
      <c r="F32" s="6" t="s">
        <v>548</v>
      </c>
      <c r="G32" s="7">
        <f t="shared" si="0"/>
        <v>273</v>
      </c>
      <c r="H32" s="7">
        <v>46</v>
      </c>
      <c r="I32" s="7">
        <v>57</v>
      </c>
      <c r="J32" s="7">
        <v>40</v>
      </c>
      <c r="K32" s="7">
        <v>40</v>
      </c>
      <c r="L32" s="7">
        <v>40</v>
      </c>
      <c r="M32" s="7">
        <v>50</v>
      </c>
    </row>
    <row r="33" spans="1:13" ht="15.75" customHeight="1" x14ac:dyDescent="0.25">
      <c r="A33" s="4">
        <v>32</v>
      </c>
      <c r="B33" s="5" t="s">
        <v>60</v>
      </c>
      <c r="C33" s="6" t="s">
        <v>15</v>
      </c>
      <c r="D33" s="6"/>
      <c r="E33" s="6" t="s">
        <v>547</v>
      </c>
      <c r="F33" s="6" t="s">
        <v>548</v>
      </c>
      <c r="G33" s="7">
        <f t="shared" si="0"/>
        <v>365</v>
      </c>
      <c r="H33" s="7">
        <v>61</v>
      </c>
      <c r="I33" s="7">
        <v>72</v>
      </c>
      <c r="J33" s="7">
        <v>57</v>
      </c>
      <c r="K33" s="7">
        <v>55</v>
      </c>
      <c r="L33" s="7">
        <v>55</v>
      </c>
      <c r="M33" s="7">
        <v>65</v>
      </c>
    </row>
    <row r="34" spans="1:13" ht="15.75" customHeight="1" x14ac:dyDescent="0.25">
      <c r="A34" s="4">
        <v>33</v>
      </c>
      <c r="B34" s="5" t="s">
        <v>61</v>
      </c>
      <c r="C34" s="6" t="s">
        <v>15</v>
      </c>
      <c r="D34" s="6" t="s">
        <v>54</v>
      </c>
      <c r="E34" s="6" t="s">
        <v>547</v>
      </c>
      <c r="F34" s="6" t="s">
        <v>548</v>
      </c>
      <c r="G34" s="7">
        <f t="shared" si="0"/>
        <v>505</v>
      </c>
      <c r="H34" s="7">
        <v>81</v>
      </c>
      <c r="I34" s="7">
        <v>102</v>
      </c>
      <c r="J34" s="7">
        <v>77</v>
      </c>
      <c r="K34" s="7">
        <v>85</v>
      </c>
      <c r="L34" s="7">
        <v>75</v>
      </c>
      <c r="M34" s="7">
        <v>85</v>
      </c>
    </row>
    <row r="35" spans="1:13" ht="15.75" customHeight="1" x14ac:dyDescent="0.25">
      <c r="A35" s="4">
        <v>34</v>
      </c>
      <c r="B35" s="5" t="s">
        <v>207</v>
      </c>
      <c r="C35" s="6" t="s">
        <v>41</v>
      </c>
      <c r="D35" s="6"/>
      <c r="E35" s="6" t="s">
        <v>549</v>
      </c>
      <c r="F35" s="6" t="s">
        <v>550</v>
      </c>
      <c r="G35" s="7">
        <f>SUM(H35:M35)</f>
        <v>218</v>
      </c>
      <c r="H35" s="7">
        <v>50</v>
      </c>
      <c r="I35" s="7">
        <v>25</v>
      </c>
      <c r="J35" s="7">
        <v>28</v>
      </c>
      <c r="K35" s="7">
        <v>45</v>
      </c>
      <c r="L35" s="7">
        <v>55</v>
      </c>
      <c r="M35" s="7">
        <v>15</v>
      </c>
    </row>
    <row r="36" spans="1:13" ht="15.75" customHeight="1" x14ac:dyDescent="0.25">
      <c r="A36" s="4">
        <v>35</v>
      </c>
      <c r="B36" s="5" t="s">
        <v>62</v>
      </c>
      <c r="C36" s="6" t="s">
        <v>41</v>
      </c>
      <c r="D36" s="6"/>
      <c r="E36" s="6" t="s">
        <v>549</v>
      </c>
      <c r="F36" s="6" t="s">
        <v>550</v>
      </c>
      <c r="G36" s="7">
        <f t="shared" si="0"/>
        <v>323</v>
      </c>
      <c r="H36" s="7">
        <v>70</v>
      </c>
      <c r="I36" s="7">
        <v>45</v>
      </c>
      <c r="J36" s="7">
        <v>48</v>
      </c>
      <c r="K36" s="7">
        <v>60</v>
      </c>
      <c r="L36" s="7">
        <v>65</v>
      </c>
      <c r="M36" s="7">
        <v>35</v>
      </c>
    </row>
    <row r="37" spans="1:13" ht="15.75" customHeight="1" x14ac:dyDescent="0.25">
      <c r="A37" s="4">
        <v>36</v>
      </c>
      <c r="B37" s="5" t="s">
        <v>63</v>
      </c>
      <c r="C37" s="6" t="s">
        <v>41</v>
      </c>
      <c r="D37" s="6"/>
      <c r="E37" s="6" t="s">
        <v>549</v>
      </c>
      <c r="F37" s="6" t="s">
        <v>550</v>
      </c>
      <c r="G37" s="7">
        <f t="shared" si="0"/>
        <v>473</v>
      </c>
      <c r="H37" s="7">
        <v>95</v>
      </c>
      <c r="I37" s="7">
        <v>70</v>
      </c>
      <c r="J37" s="7">
        <v>73</v>
      </c>
      <c r="K37" s="7">
        <v>85</v>
      </c>
      <c r="L37" s="7">
        <v>90</v>
      </c>
      <c r="M37" s="7">
        <v>60</v>
      </c>
    </row>
    <row r="38" spans="1:13" ht="15.75" customHeight="1" x14ac:dyDescent="0.25">
      <c r="A38" s="4">
        <v>37</v>
      </c>
      <c r="B38" s="5" t="s">
        <v>64</v>
      </c>
      <c r="C38" s="6" t="s">
        <v>21</v>
      </c>
      <c r="D38" s="6"/>
      <c r="E38" s="6" t="s">
        <v>551</v>
      </c>
      <c r="G38" s="7">
        <f t="shared" si="0"/>
        <v>299</v>
      </c>
      <c r="H38" s="7">
        <v>38</v>
      </c>
      <c r="I38" s="7">
        <v>41</v>
      </c>
      <c r="J38" s="7">
        <v>40</v>
      </c>
      <c r="K38" s="7">
        <v>50</v>
      </c>
      <c r="L38" s="7">
        <v>65</v>
      </c>
      <c r="M38" s="7">
        <v>65</v>
      </c>
    </row>
    <row r="39" spans="1:13" ht="15.75" customHeight="1" x14ac:dyDescent="0.25">
      <c r="A39" s="4">
        <v>38</v>
      </c>
      <c r="B39" s="5" t="s">
        <v>65</v>
      </c>
      <c r="C39" s="6" t="s">
        <v>21</v>
      </c>
      <c r="D39" s="6"/>
      <c r="E39" s="6" t="s">
        <v>551</v>
      </c>
      <c r="G39" s="7">
        <f t="shared" si="0"/>
        <v>505</v>
      </c>
      <c r="H39" s="7">
        <v>73</v>
      </c>
      <c r="I39" s="7">
        <v>76</v>
      </c>
      <c r="J39" s="7">
        <v>75</v>
      </c>
      <c r="K39" s="7">
        <v>81</v>
      </c>
      <c r="L39" s="7">
        <v>100</v>
      </c>
      <c r="M39" s="7">
        <v>100</v>
      </c>
    </row>
    <row r="40" spans="1:13" ht="15.75" customHeight="1" x14ac:dyDescent="0.25">
      <c r="A40" s="4">
        <v>39</v>
      </c>
      <c r="B40" s="5" t="s">
        <v>208</v>
      </c>
      <c r="C40" s="6" t="s">
        <v>41</v>
      </c>
      <c r="D40" s="6"/>
      <c r="E40" s="6" t="s">
        <v>549</v>
      </c>
      <c r="G40" s="7">
        <f t="shared" ref="G40:G92" si="1">SUM(H40:M40)</f>
        <v>210</v>
      </c>
      <c r="H40" s="7">
        <v>90</v>
      </c>
      <c r="I40" s="7">
        <v>30</v>
      </c>
      <c r="J40" s="7">
        <v>15</v>
      </c>
      <c r="K40" s="7">
        <v>40</v>
      </c>
      <c r="L40" s="7">
        <v>20</v>
      </c>
      <c r="M40" s="7">
        <v>15</v>
      </c>
    </row>
    <row r="41" spans="1:13" ht="15.75" customHeight="1" x14ac:dyDescent="0.25">
      <c r="A41" s="4">
        <v>40</v>
      </c>
      <c r="B41" s="5" t="s">
        <v>66</v>
      </c>
      <c r="C41" s="6" t="s">
        <v>41</v>
      </c>
      <c r="D41" s="6"/>
      <c r="E41" s="6" t="s">
        <v>549</v>
      </c>
      <c r="G41" s="7">
        <f t="shared" si="1"/>
        <v>270</v>
      </c>
      <c r="H41" s="7">
        <v>115</v>
      </c>
      <c r="I41" s="7">
        <v>45</v>
      </c>
      <c r="J41" s="7">
        <v>20</v>
      </c>
      <c r="K41" s="7">
        <v>45</v>
      </c>
      <c r="L41" s="7">
        <v>25</v>
      </c>
      <c r="M41" s="7">
        <v>20</v>
      </c>
    </row>
    <row r="42" spans="1:13" ht="15.75" customHeight="1" x14ac:dyDescent="0.25">
      <c r="A42" s="4">
        <v>41</v>
      </c>
      <c r="B42" s="5" t="s">
        <v>67</v>
      </c>
      <c r="C42" s="6" t="s">
        <v>41</v>
      </c>
      <c r="D42" s="6"/>
      <c r="E42" s="6" t="s">
        <v>549</v>
      </c>
      <c r="G42" s="7">
        <f t="shared" si="1"/>
        <v>425</v>
      </c>
      <c r="H42" s="7">
        <v>140</v>
      </c>
      <c r="I42" s="7">
        <v>70</v>
      </c>
      <c r="J42" s="7">
        <v>45</v>
      </c>
      <c r="K42" s="7">
        <v>75</v>
      </c>
      <c r="L42" s="7">
        <v>50</v>
      </c>
      <c r="M42" s="7">
        <v>45</v>
      </c>
    </row>
    <row r="43" spans="1:13" ht="15.75" customHeight="1" x14ac:dyDescent="0.25">
      <c r="A43" s="4">
        <v>42</v>
      </c>
      <c r="B43" s="5" t="s">
        <v>68</v>
      </c>
      <c r="C43" s="6" t="s">
        <v>15</v>
      </c>
      <c r="D43" s="6" t="s">
        <v>26</v>
      </c>
      <c r="E43" s="6" t="s">
        <v>552</v>
      </c>
      <c r="G43" s="7">
        <f t="shared" si="1"/>
        <v>245</v>
      </c>
      <c r="H43" s="7">
        <v>40</v>
      </c>
      <c r="I43" s="7">
        <v>45</v>
      </c>
      <c r="J43" s="7">
        <v>35</v>
      </c>
      <c r="K43" s="7">
        <v>30</v>
      </c>
      <c r="L43" s="7">
        <v>40</v>
      </c>
      <c r="M43" s="7">
        <v>55</v>
      </c>
    </row>
    <row r="44" spans="1:13" ht="15.75" customHeight="1" x14ac:dyDescent="0.25">
      <c r="A44" s="4">
        <v>43</v>
      </c>
      <c r="B44" s="5" t="s">
        <v>69</v>
      </c>
      <c r="C44" s="6" t="s">
        <v>15</v>
      </c>
      <c r="D44" s="6" t="s">
        <v>26</v>
      </c>
      <c r="E44" s="6" t="s">
        <v>552</v>
      </c>
      <c r="G44" s="7">
        <f t="shared" si="1"/>
        <v>455</v>
      </c>
      <c r="H44" s="7">
        <v>75</v>
      </c>
      <c r="I44" s="7">
        <v>80</v>
      </c>
      <c r="J44" s="7">
        <v>70</v>
      </c>
      <c r="K44" s="7">
        <v>65</v>
      </c>
      <c r="L44" s="7">
        <v>75</v>
      </c>
      <c r="M44" s="7">
        <v>90</v>
      </c>
    </row>
    <row r="45" spans="1:13" ht="15.75" customHeight="1" x14ac:dyDescent="0.25">
      <c r="A45" s="4">
        <v>44</v>
      </c>
      <c r="B45" s="5" t="s">
        <v>203</v>
      </c>
      <c r="C45" s="6" t="s">
        <v>15</v>
      </c>
      <c r="D45" s="6" t="s">
        <v>26</v>
      </c>
      <c r="E45" s="6" t="s">
        <v>552</v>
      </c>
      <c r="G45" s="7">
        <f t="shared" si="1"/>
        <v>535</v>
      </c>
      <c r="H45" s="7">
        <v>85</v>
      </c>
      <c r="I45" s="7">
        <v>90</v>
      </c>
      <c r="J45" s="7">
        <v>80</v>
      </c>
      <c r="K45" s="7">
        <v>70</v>
      </c>
      <c r="L45" s="7">
        <v>80</v>
      </c>
      <c r="M45" s="7">
        <v>130</v>
      </c>
    </row>
    <row r="46" spans="1:13" ht="15.75" customHeight="1" x14ac:dyDescent="0.25">
      <c r="A46" s="4">
        <v>45</v>
      </c>
      <c r="B46" s="5" t="s">
        <v>70</v>
      </c>
      <c r="C46" s="6" t="s">
        <v>14</v>
      </c>
      <c r="D46" s="6" t="s">
        <v>15</v>
      </c>
      <c r="E46" s="6" t="s">
        <v>17</v>
      </c>
      <c r="G46" s="7">
        <f t="shared" si="1"/>
        <v>320</v>
      </c>
      <c r="H46" s="7">
        <v>45</v>
      </c>
      <c r="I46" s="7">
        <v>50</v>
      </c>
      <c r="J46" s="7">
        <v>55</v>
      </c>
      <c r="K46" s="7">
        <v>75</v>
      </c>
      <c r="L46" s="7">
        <v>65</v>
      </c>
      <c r="M46" s="7">
        <v>30</v>
      </c>
    </row>
    <row r="47" spans="1:13" ht="15.75" customHeight="1" x14ac:dyDescent="0.25">
      <c r="A47" s="4">
        <v>46</v>
      </c>
      <c r="B47" s="5" t="s">
        <v>71</v>
      </c>
      <c r="C47" s="6" t="s">
        <v>14</v>
      </c>
      <c r="D47" s="6" t="s">
        <v>15</v>
      </c>
      <c r="E47" s="6" t="s">
        <v>17</v>
      </c>
      <c r="G47" s="7">
        <f t="shared" si="1"/>
        <v>395</v>
      </c>
      <c r="H47" s="7">
        <v>60</v>
      </c>
      <c r="I47" s="7">
        <v>65</v>
      </c>
      <c r="J47" s="7">
        <v>70</v>
      </c>
      <c r="K47" s="7">
        <v>85</v>
      </c>
      <c r="L47" s="7">
        <v>75</v>
      </c>
      <c r="M47" s="7">
        <v>40</v>
      </c>
    </row>
    <row r="48" spans="1:13" ht="15.75" customHeight="1" x14ac:dyDescent="0.25">
      <c r="A48" s="4">
        <v>47</v>
      </c>
      <c r="B48" s="5" t="s">
        <v>72</v>
      </c>
      <c r="C48" s="6" t="s">
        <v>14</v>
      </c>
      <c r="D48" s="6" t="s">
        <v>15</v>
      </c>
      <c r="E48" s="6" t="s">
        <v>17</v>
      </c>
      <c r="G48" s="7">
        <f t="shared" si="1"/>
        <v>480</v>
      </c>
      <c r="H48" s="7">
        <v>75</v>
      </c>
      <c r="I48" s="7">
        <v>80</v>
      </c>
      <c r="J48" s="7">
        <v>85</v>
      </c>
      <c r="K48" s="7">
        <v>100</v>
      </c>
      <c r="L48" s="7">
        <v>90</v>
      </c>
      <c r="M48" s="7">
        <v>50</v>
      </c>
    </row>
    <row r="49" spans="1:13" ht="15.75" customHeight="1" x14ac:dyDescent="0.25">
      <c r="A49" s="4">
        <v>48</v>
      </c>
      <c r="B49" s="5" t="s">
        <v>216</v>
      </c>
      <c r="C49" s="6" t="s">
        <v>14</v>
      </c>
      <c r="D49" s="6"/>
      <c r="E49" s="6" t="s">
        <v>17</v>
      </c>
      <c r="G49" s="7">
        <f t="shared" si="1"/>
        <v>490</v>
      </c>
      <c r="H49" s="7">
        <v>75</v>
      </c>
      <c r="I49" s="7">
        <v>80</v>
      </c>
      <c r="J49" s="7">
        <v>95</v>
      </c>
      <c r="K49" s="7">
        <v>90</v>
      </c>
      <c r="L49" s="7">
        <v>100</v>
      </c>
      <c r="M49" s="7">
        <v>50</v>
      </c>
    </row>
    <row r="50" spans="1:13" ht="15.75" customHeight="1" x14ac:dyDescent="0.25">
      <c r="A50" s="4">
        <v>49</v>
      </c>
      <c r="B50" s="5" t="s">
        <v>73</v>
      </c>
      <c r="C50" s="6" t="s">
        <v>34</v>
      </c>
      <c r="D50" s="6" t="s">
        <v>14</v>
      </c>
      <c r="E50" s="6" t="s">
        <v>553</v>
      </c>
      <c r="F50" s="6" t="s">
        <v>554</v>
      </c>
      <c r="G50" s="7">
        <f t="shared" si="1"/>
        <v>285</v>
      </c>
      <c r="H50" s="7">
        <v>35</v>
      </c>
      <c r="I50" s="7">
        <v>70</v>
      </c>
      <c r="J50" s="7">
        <v>55</v>
      </c>
      <c r="K50" s="7">
        <v>45</v>
      </c>
      <c r="L50" s="7">
        <v>55</v>
      </c>
      <c r="M50" s="7">
        <v>25</v>
      </c>
    </row>
    <row r="51" spans="1:13" ht="15.75" customHeight="1" x14ac:dyDescent="0.25">
      <c r="A51" s="4">
        <v>50</v>
      </c>
      <c r="B51" s="5" t="s">
        <v>74</v>
      </c>
      <c r="C51" s="6" t="s">
        <v>34</v>
      </c>
      <c r="D51" s="6" t="s">
        <v>14</v>
      </c>
      <c r="E51" s="6" t="s">
        <v>553</v>
      </c>
      <c r="F51" s="6" t="s">
        <v>554</v>
      </c>
      <c r="G51" s="7">
        <f t="shared" si="1"/>
        <v>405</v>
      </c>
      <c r="H51" s="7">
        <v>60</v>
      </c>
      <c r="I51" s="7">
        <v>95</v>
      </c>
      <c r="J51" s="7">
        <v>80</v>
      </c>
      <c r="K51" s="7">
        <v>60</v>
      </c>
      <c r="L51" s="7">
        <v>80</v>
      </c>
      <c r="M51" s="7">
        <v>30</v>
      </c>
    </row>
    <row r="52" spans="1:13" ht="15.75" customHeight="1" x14ac:dyDescent="0.25">
      <c r="A52" s="4">
        <v>51</v>
      </c>
      <c r="B52" s="5" t="s">
        <v>75</v>
      </c>
      <c r="C52" s="6" t="s">
        <v>34</v>
      </c>
      <c r="D52" s="6" t="s">
        <v>15</v>
      </c>
      <c r="E52" s="6" t="s">
        <v>538</v>
      </c>
      <c r="F52" s="6" t="s">
        <v>555</v>
      </c>
      <c r="G52" s="7">
        <f t="shared" si="1"/>
        <v>305</v>
      </c>
      <c r="H52" s="7">
        <v>60</v>
      </c>
      <c r="I52" s="7">
        <v>55</v>
      </c>
      <c r="J52" s="7">
        <v>50</v>
      </c>
      <c r="K52" s="7">
        <v>40</v>
      </c>
      <c r="L52" s="7">
        <v>55</v>
      </c>
      <c r="M52" s="7">
        <v>45</v>
      </c>
    </row>
    <row r="53" spans="1:13" ht="15.75" customHeight="1" x14ac:dyDescent="0.25">
      <c r="A53" s="4">
        <v>52</v>
      </c>
      <c r="B53" s="5" t="s">
        <v>76</v>
      </c>
      <c r="C53" s="6" t="s">
        <v>34</v>
      </c>
      <c r="D53" s="6" t="s">
        <v>15</v>
      </c>
      <c r="E53" s="6" t="s">
        <v>536</v>
      </c>
      <c r="F53" s="6" t="s">
        <v>555</v>
      </c>
      <c r="G53" s="7">
        <f t="shared" si="1"/>
        <v>450</v>
      </c>
      <c r="H53" s="7">
        <v>70</v>
      </c>
      <c r="I53" s="7">
        <v>65</v>
      </c>
      <c r="J53" s="7">
        <v>60</v>
      </c>
      <c r="K53" s="7">
        <v>90</v>
      </c>
      <c r="L53" s="7">
        <v>75</v>
      </c>
      <c r="M53" s="7">
        <v>90</v>
      </c>
    </row>
    <row r="54" spans="1:13" ht="15.75" customHeight="1" x14ac:dyDescent="0.25">
      <c r="A54" s="4">
        <v>53</v>
      </c>
      <c r="B54" s="5" t="s">
        <v>77</v>
      </c>
      <c r="C54" s="6" t="s">
        <v>54</v>
      </c>
      <c r="D54" s="6"/>
      <c r="E54" s="6" t="s">
        <v>546</v>
      </c>
      <c r="F54" s="6" t="s">
        <v>556</v>
      </c>
      <c r="G54" s="7">
        <f t="shared" si="1"/>
        <v>265</v>
      </c>
      <c r="H54" s="7">
        <v>10</v>
      </c>
      <c r="I54" s="7">
        <v>55</v>
      </c>
      <c r="J54" s="7">
        <v>25</v>
      </c>
      <c r="K54" s="7">
        <v>35</v>
      </c>
      <c r="L54" s="7">
        <v>45</v>
      </c>
      <c r="M54" s="7">
        <v>95</v>
      </c>
    </row>
    <row r="55" spans="1:13" ht="15.75" customHeight="1" x14ac:dyDescent="0.25">
      <c r="A55" s="4">
        <v>54</v>
      </c>
      <c r="B55" s="5" t="s">
        <v>78</v>
      </c>
      <c r="C55" s="6" t="s">
        <v>54</v>
      </c>
      <c r="D55" s="6"/>
      <c r="E55" s="6" t="s">
        <v>546</v>
      </c>
      <c r="F55" s="6" t="s">
        <v>556</v>
      </c>
      <c r="G55" s="7">
        <f t="shared" si="1"/>
        <v>425</v>
      </c>
      <c r="H55" s="7">
        <v>35</v>
      </c>
      <c r="I55" s="7">
        <v>100</v>
      </c>
      <c r="J55" s="7">
        <v>50</v>
      </c>
      <c r="K55" s="7">
        <v>50</v>
      </c>
      <c r="L55" s="7">
        <v>70</v>
      </c>
      <c r="M55" s="7">
        <v>120</v>
      </c>
    </row>
    <row r="56" spans="1:13" ht="15.75" customHeight="1" x14ac:dyDescent="0.25">
      <c r="A56" s="4">
        <v>55</v>
      </c>
      <c r="B56" s="5" t="s">
        <v>79</v>
      </c>
      <c r="C56" s="6" t="s">
        <v>41</v>
      </c>
      <c r="D56" s="6"/>
      <c r="E56" s="6" t="s">
        <v>557</v>
      </c>
      <c r="F56" s="6" t="s">
        <v>558</v>
      </c>
      <c r="G56" s="7">
        <f t="shared" si="1"/>
        <v>290</v>
      </c>
      <c r="H56" s="7">
        <v>40</v>
      </c>
      <c r="I56" s="7">
        <v>45</v>
      </c>
      <c r="J56" s="7">
        <v>35</v>
      </c>
      <c r="K56" s="7">
        <v>40</v>
      </c>
      <c r="L56" s="7">
        <v>40</v>
      </c>
      <c r="M56" s="7">
        <v>90</v>
      </c>
    </row>
    <row r="57" spans="1:13" ht="15.75" customHeight="1" x14ac:dyDescent="0.25">
      <c r="A57" s="4">
        <v>56</v>
      </c>
      <c r="B57" s="5" t="s">
        <v>80</v>
      </c>
      <c r="C57" s="6" t="s">
        <v>41</v>
      </c>
      <c r="D57" s="6"/>
      <c r="E57" s="6" t="s">
        <v>559</v>
      </c>
      <c r="F57" s="6" t="s">
        <v>558</v>
      </c>
      <c r="G57" s="7">
        <f t="shared" si="1"/>
        <v>440</v>
      </c>
      <c r="H57" s="7">
        <v>65</v>
      </c>
      <c r="I57" s="7">
        <v>70</v>
      </c>
      <c r="J57" s="7">
        <v>60</v>
      </c>
      <c r="K57" s="7">
        <v>65</v>
      </c>
      <c r="L57" s="7">
        <v>65</v>
      </c>
      <c r="M57" s="7">
        <v>115</v>
      </c>
    </row>
    <row r="58" spans="1:13" ht="15.75" customHeight="1" x14ac:dyDescent="0.25">
      <c r="A58" s="4">
        <v>57</v>
      </c>
      <c r="B58" s="5" t="s">
        <v>81</v>
      </c>
      <c r="C58" s="6" t="s">
        <v>28</v>
      </c>
      <c r="D58" s="6"/>
      <c r="E58" s="6" t="s">
        <v>560</v>
      </c>
      <c r="F58" s="6" t="s">
        <v>561</v>
      </c>
      <c r="G58" s="7">
        <f t="shared" si="1"/>
        <v>320</v>
      </c>
      <c r="H58" s="7">
        <v>50</v>
      </c>
      <c r="I58" s="7">
        <v>52</v>
      </c>
      <c r="J58" s="7">
        <v>48</v>
      </c>
      <c r="K58" s="7">
        <v>65</v>
      </c>
      <c r="L58" s="7">
        <v>50</v>
      </c>
      <c r="M58" s="7">
        <v>55</v>
      </c>
    </row>
    <row r="59" spans="1:13" ht="15.75" customHeight="1" x14ac:dyDescent="0.25">
      <c r="A59" s="4">
        <v>58</v>
      </c>
      <c r="B59" s="5" t="s">
        <v>82</v>
      </c>
      <c r="C59" s="6" t="s">
        <v>28</v>
      </c>
      <c r="D59" s="6"/>
      <c r="E59" s="6" t="s">
        <v>560</v>
      </c>
      <c r="F59" s="6" t="s">
        <v>561</v>
      </c>
      <c r="G59" s="7">
        <f t="shared" si="1"/>
        <v>500</v>
      </c>
      <c r="H59" s="7">
        <v>80</v>
      </c>
      <c r="I59" s="7">
        <v>82</v>
      </c>
      <c r="J59" s="7">
        <v>78</v>
      </c>
      <c r="K59" s="7">
        <v>95</v>
      </c>
      <c r="L59" s="7">
        <v>80</v>
      </c>
      <c r="M59" s="7">
        <v>85</v>
      </c>
    </row>
    <row r="60" spans="1:13" ht="15.75" customHeight="1" x14ac:dyDescent="0.25">
      <c r="A60" s="4">
        <v>59</v>
      </c>
      <c r="B60" s="5" t="s">
        <v>83</v>
      </c>
      <c r="C60" s="6" t="s">
        <v>84</v>
      </c>
      <c r="D60" s="6"/>
      <c r="E60" s="6" t="s">
        <v>562</v>
      </c>
      <c r="F60" s="6" t="s">
        <v>563</v>
      </c>
      <c r="G60" s="7">
        <f t="shared" si="1"/>
        <v>305</v>
      </c>
      <c r="H60" s="7">
        <v>40</v>
      </c>
      <c r="I60" s="7">
        <v>80</v>
      </c>
      <c r="J60" s="7">
        <v>35</v>
      </c>
      <c r="K60" s="7">
        <v>35</v>
      </c>
      <c r="L60" s="7">
        <v>45</v>
      </c>
      <c r="M60" s="7">
        <v>70</v>
      </c>
    </row>
    <row r="61" spans="1:13" ht="15.75" customHeight="1" x14ac:dyDescent="0.25">
      <c r="A61" s="4">
        <v>60</v>
      </c>
      <c r="B61" s="5" t="s">
        <v>85</v>
      </c>
      <c r="C61" s="6" t="s">
        <v>84</v>
      </c>
      <c r="D61" s="6"/>
      <c r="E61" s="6" t="s">
        <v>562</v>
      </c>
      <c r="F61" s="6" t="s">
        <v>563</v>
      </c>
      <c r="G61" s="7">
        <f t="shared" si="1"/>
        <v>455</v>
      </c>
      <c r="H61" s="7">
        <v>65</v>
      </c>
      <c r="I61" s="7">
        <v>105</v>
      </c>
      <c r="J61" s="7">
        <v>60</v>
      </c>
      <c r="K61" s="7">
        <v>60</v>
      </c>
      <c r="L61" s="7">
        <v>70</v>
      </c>
      <c r="M61" s="7">
        <v>95</v>
      </c>
    </row>
    <row r="62" spans="1:13" ht="15.75" customHeight="1" x14ac:dyDescent="0.25">
      <c r="A62" s="4">
        <v>61</v>
      </c>
      <c r="B62" s="5" t="s">
        <v>958</v>
      </c>
      <c r="C62" s="6" t="s">
        <v>84</v>
      </c>
      <c r="D62" s="6" t="s">
        <v>125</v>
      </c>
      <c r="E62" s="6" t="s">
        <v>562</v>
      </c>
      <c r="F62" s="6" t="s">
        <v>552</v>
      </c>
      <c r="G62" s="7">
        <f t="shared" si="1"/>
        <v>535</v>
      </c>
      <c r="H62" s="7">
        <v>110</v>
      </c>
      <c r="I62" s="7">
        <v>115</v>
      </c>
      <c r="J62" s="7">
        <v>80</v>
      </c>
      <c r="K62" s="7">
        <v>50</v>
      </c>
      <c r="L62" s="7">
        <v>90</v>
      </c>
      <c r="M62" s="7">
        <v>90</v>
      </c>
    </row>
    <row r="63" spans="1:13" ht="15.75" customHeight="1" x14ac:dyDescent="0.25">
      <c r="A63" s="4">
        <v>62</v>
      </c>
      <c r="B63" s="5" t="s">
        <v>86</v>
      </c>
      <c r="C63" s="6" t="s">
        <v>21</v>
      </c>
      <c r="D63" s="6"/>
      <c r="E63" s="6" t="s">
        <v>544</v>
      </c>
      <c r="F63" s="6" t="s">
        <v>551</v>
      </c>
      <c r="G63" s="7">
        <f t="shared" si="1"/>
        <v>350</v>
      </c>
      <c r="H63" s="7">
        <v>55</v>
      </c>
      <c r="I63" s="7">
        <v>70</v>
      </c>
      <c r="J63" s="7">
        <v>45</v>
      </c>
      <c r="K63" s="7">
        <v>70</v>
      </c>
      <c r="L63" s="7">
        <v>50</v>
      </c>
      <c r="M63" s="7">
        <v>60</v>
      </c>
    </row>
    <row r="64" spans="1:13" ht="15.75" customHeight="1" x14ac:dyDescent="0.25">
      <c r="A64" s="4">
        <v>63</v>
      </c>
      <c r="B64" s="5" t="s">
        <v>87</v>
      </c>
      <c r="C64" s="6" t="s">
        <v>21</v>
      </c>
      <c r="D64" s="6"/>
      <c r="E64" s="6" t="s">
        <v>544</v>
      </c>
      <c r="F64" s="6" t="s">
        <v>551</v>
      </c>
      <c r="G64" s="7">
        <f t="shared" si="1"/>
        <v>555</v>
      </c>
      <c r="H64" s="7">
        <v>90</v>
      </c>
      <c r="I64" s="7">
        <v>110</v>
      </c>
      <c r="J64" s="7">
        <v>80</v>
      </c>
      <c r="K64" s="7">
        <v>100</v>
      </c>
      <c r="L64" s="7">
        <v>80</v>
      </c>
      <c r="M64" s="7">
        <v>95</v>
      </c>
    </row>
    <row r="65" spans="1:13" ht="15.75" customHeight="1" x14ac:dyDescent="0.25">
      <c r="A65" s="4">
        <v>64</v>
      </c>
      <c r="B65" s="5" t="s">
        <v>88</v>
      </c>
      <c r="C65" s="6" t="s">
        <v>28</v>
      </c>
      <c r="D65" s="6"/>
      <c r="E65" s="6" t="s">
        <v>564</v>
      </c>
      <c r="F65" s="6" t="s">
        <v>560</v>
      </c>
      <c r="G65" s="7">
        <f t="shared" si="1"/>
        <v>300</v>
      </c>
      <c r="H65" s="7">
        <v>40</v>
      </c>
      <c r="I65" s="7">
        <v>50</v>
      </c>
      <c r="J65" s="7">
        <v>40</v>
      </c>
      <c r="K65" s="7">
        <v>40</v>
      </c>
      <c r="L65" s="7">
        <v>40</v>
      </c>
      <c r="M65" s="7">
        <v>90</v>
      </c>
    </row>
    <row r="66" spans="1:13" ht="15.75" customHeight="1" x14ac:dyDescent="0.25">
      <c r="A66" s="4">
        <v>65</v>
      </c>
      <c r="B66" s="5" t="s">
        <v>89</v>
      </c>
      <c r="C66" s="6" t="s">
        <v>28</v>
      </c>
      <c r="D66" s="6"/>
      <c r="E66" s="6" t="s">
        <v>564</v>
      </c>
      <c r="F66" s="6" t="s">
        <v>560</v>
      </c>
      <c r="G66" s="7">
        <f t="shared" si="1"/>
        <v>385</v>
      </c>
      <c r="H66" s="7">
        <v>65</v>
      </c>
      <c r="I66" s="7">
        <v>65</v>
      </c>
      <c r="J66" s="7">
        <v>65</v>
      </c>
      <c r="K66" s="7">
        <v>50</v>
      </c>
      <c r="L66" s="7">
        <v>50</v>
      </c>
      <c r="M66" s="7">
        <v>90</v>
      </c>
    </row>
    <row r="67" spans="1:13" ht="15.75" customHeight="1" x14ac:dyDescent="0.25">
      <c r="A67" s="4">
        <v>66</v>
      </c>
      <c r="B67" s="5" t="s">
        <v>90</v>
      </c>
      <c r="C67" s="6" t="s">
        <v>28</v>
      </c>
      <c r="D67" s="6" t="s">
        <v>84</v>
      </c>
      <c r="E67" s="6" t="s">
        <v>564</v>
      </c>
      <c r="F67" s="6" t="s">
        <v>560</v>
      </c>
      <c r="G67" s="7">
        <f t="shared" si="1"/>
        <v>500</v>
      </c>
      <c r="H67" s="7">
        <v>90</v>
      </c>
      <c r="I67" s="7">
        <v>85</v>
      </c>
      <c r="J67" s="7">
        <v>95</v>
      </c>
      <c r="K67" s="7">
        <v>70</v>
      </c>
      <c r="L67" s="7">
        <v>90</v>
      </c>
      <c r="M67" s="7">
        <v>70</v>
      </c>
    </row>
    <row r="68" spans="1:13" ht="15.75" customHeight="1" x14ac:dyDescent="0.25">
      <c r="A68" s="4">
        <v>67</v>
      </c>
      <c r="B68" s="5" t="s">
        <v>220</v>
      </c>
      <c r="C68" s="6" t="s">
        <v>28</v>
      </c>
      <c r="D68" s="6"/>
      <c r="E68" s="6" t="s">
        <v>564</v>
      </c>
      <c r="F68" s="6" t="s">
        <v>560</v>
      </c>
      <c r="G68" s="7">
        <f t="shared" si="1"/>
        <v>500</v>
      </c>
      <c r="H68" s="7">
        <v>90</v>
      </c>
      <c r="I68" s="7">
        <v>75</v>
      </c>
      <c r="J68" s="7">
        <v>75</v>
      </c>
      <c r="K68" s="7">
        <v>90</v>
      </c>
      <c r="L68" s="7">
        <v>100</v>
      </c>
      <c r="M68" s="7">
        <v>70</v>
      </c>
    </row>
    <row r="69" spans="1:13" ht="15.75" customHeight="1" x14ac:dyDescent="0.25">
      <c r="A69" s="4">
        <v>68</v>
      </c>
      <c r="B69" s="5" t="s">
        <v>91</v>
      </c>
      <c r="C69" s="6" t="s">
        <v>92</v>
      </c>
      <c r="D69" s="6"/>
      <c r="E69" s="6" t="s">
        <v>565</v>
      </c>
      <c r="F69" s="6" t="s">
        <v>552</v>
      </c>
      <c r="G69" s="7">
        <f t="shared" si="1"/>
        <v>310</v>
      </c>
      <c r="H69" s="7">
        <v>25</v>
      </c>
      <c r="I69" s="7">
        <v>20</v>
      </c>
      <c r="J69" s="7">
        <v>15</v>
      </c>
      <c r="K69" s="7">
        <v>105</v>
      </c>
      <c r="L69" s="7">
        <v>55</v>
      </c>
      <c r="M69" s="7">
        <v>90</v>
      </c>
    </row>
    <row r="70" spans="1:13" ht="15.75" customHeight="1" x14ac:dyDescent="0.25">
      <c r="A70" s="4">
        <v>69</v>
      </c>
      <c r="B70" s="5" t="s">
        <v>93</v>
      </c>
      <c r="C70" s="6" t="s">
        <v>92</v>
      </c>
      <c r="D70" s="6"/>
      <c r="E70" s="6" t="s">
        <v>565</v>
      </c>
      <c r="F70" s="6" t="s">
        <v>552</v>
      </c>
      <c r="G70" s="7">
        <f t="shared" si="1"/>
        <v>400</v>
      </c>
      <c r="H70" s="7">
        <v>40</v>
      </c>
      <c r="I70" s="7">
        <v>35</v>
      </c>
      <c r="J70" s="7">
        <v>30</v>
      </c>
      <c r="K70" s="7">
        <v>120</v>
      </c>
      <c r="L70" s="7">
        <v>70</v>
      </c>
      <c r="M70" s="7">
        <v>105</v>
      </c>
    </row>
    <row r="71" spans="1:13" ht="15.75" customHeight="1" x14ac:dyDescent="0.25">
      <c r="A71" s="4">
        <v>70</v>
      </c>
      <c r="B71" s="5" t="s">
        <v>94</v>
      </c>
      <c r="C71" s="6" t="s">
        <v>92</v>
      </c>
      <c r="D71" s="6"/>
      <c r="E71" s="6" t="s">
        <v>565</v>
      </c>
      <c r="F71" s="6" t="s">
        <v>552</v>
      </c>
      <c r="G71" s="7">
        <f t="shared" si="1"/>
        <v>490</v>
      </c>
      <c r="H71" s="7">
        <v>55</v>
      </c>
      <c r="I71" s="7">
        <v>50</v>
      </c>
      <c r="J71" s="7">
        <v>45</v>
      </c>
      <c r="K71" s="7">
        <v>135</v>
      </c>
      <c r="L71" s="7">
        <v>85</v>
      </c>
      <c r="M71" s="7">
        <v>120</v>
      </c>
    </row>
    <row r="72" spans="1:13" ht="15.75" customHeight="1" x14ac:dyDescent="0.25">
      <c r="A72" s="4">
        <v>71</v>
      </c>
      <c r="B72" s="5" t="s">
        <v>95</v>
      </c>
      <c r="C72" s="6" t="s">
        <v>84</v>
      </c>
      <c r="D72" s="6"/>
      <c r="E72" s="6" t="s">
        <v>543</v>
      </c>
      <c r="F72" s="6" t="s">
        <v>566</v>
      </c>
      <c r="G72" s="7">
        <f t="shared" si="1"/>
        <v>305</v>
      </c>
      <c r="H72" s="7">
        <v>70</v>
      </c>
      <c r="I72" s="7">
        <v>80</v>
      </c>
      <c r="J72" s="7">
        <v>50</v>
      </c>
      <c r="K72" s="7">
        <v>35</v>
      </c>
      <c r="L72" s="7">
        <v>35</v>
      </c>
      <c r="M72" s="7">
        <v>35</v>
      </c>
    </row>
    <row r="73" spans="1:13" ht="15.75" customHeight="1" x14ac:dyDescent="0.25">
      <c r="A73" s="4">
        <v>72</v>
      </c>
      <c r="B73" s="5" t="s">
        <v>96</v>
      </c>
      <c r="C73" s="6" t="s">
        <v>84</v>
      </c>
      <c r="D73" s="6"/>
      <c r="E73" s="6" t="s">
        <v>543</v>
      </c>
      <c r="F73" s="6" t="s">
        <v>566</v>
      </c>
      <c r="G73" s="7">
        <f t="shared" si="1"/>
        <v>405</v>
      </c>
      <c r="H73" s="7">
        <v>80</v>
      </c>
      <c r="I73" s="7">
        <v>100</v>
      </c>
      <c r="J73" s="7">
        <v>70</v>
      </c>
      <c r="K73" s="7">
        <v>50</v>
      </c>
      <c r="L73" s="7">
        <v>60</v>
      </c>
      <c r="M73" s="7">
        <v>45</v>
      </c>
    </row>
    <row r="74" spans="1:13" ht="15.75" customHeight="1" x14ac:dyDescent="0.25">
      <c r="A74" s="4">
        <v>73</v>
      </c>
      <c r="B74" s="5" t="s">
        <v>97</v>
      </c>
      <c r="C74" s="6" t="s">
        <v>84</v>
      </c>
      <c r="D74" s="6"/>
      <c r="E74" s="6" t="s">
        <v>543</v>
      </c>
      <c r="F74" s="6" t="s">
        <v>566</v>
      </c>
      <c r="G74" s="7">
        <f t="shared" si="1"/>
        <v>505</v>
      </c>
      <c r="H74" s="7">
        <v>90</v>
      </c>
      <c r="I74" s="7">
        <v>130</v>
      </c>
      <c r="J74" s="7">
        <v>80</v>
      </c>
      <c r="K74" s="7">
        <v>65</v>
      </c>
      <c r="L74" s="7">
        <v>85</v>
      </c>
      <c r="M74" s="7">
        <v>55</v>
      </c>
    </row>
    <row r="75" spans="1:13" ht="15.75" customHeight="1" x14ac:dyDescent="0.25">
      <c r="A75" s="4">
        <v>74</v>
      </c>
      <c r="B75" s="5" t="s">
        <v>98</v>
      </c>
      <c r="C75" s="6" t="s">
        <v>14</v>
      </c>
      <c r="D75" s="6" t="s">
        <v>15</v>
      </c>
      <c r="E75" s="6" t="s">
        <v>17</v>
      </c>
      <c r="G75" s="7">
        <f t="shared" si="1"/>
        <v>300</v>
      </c>
      <c r="H75" s="7">
        <v>50</v>
      </c>
      <c r="I75" s="7">
        <v>75</v>
      </c>
      <c r="J75" s="7">
        <v>35</v>
      </c>
      <c r="K75" s="7">
        <v>70</v>
      </c>
      <c r="L75" s="7">
        <v>30</v>
      </c>
      <c r="M75" s="7">
        <v>40</v>
      </c>
    </row>
    <row r="76" spans="1:13" ht="15.75" customHeight="1" x14ac:dyDescent="0.25">
      <c r="A76" s="4">
        <v>75</v>
      </c>
      <c r="B76" s="5" t="s">
        <v>99</v>
      </c>
      <c r="C76" s="6" t="s">
        <v>14</v>
      </c>
      <c r="D76" s="6" t="s">
        <v>15</v>
      </c>
      <c r="E76" s="6" t="s">
        <v>17</v>
      </c>
      <c r="G76" s="7">
        <f t="shared" si="1"/>
        <v>390</v>
      </c>
      <c r="H76" s="7">
        <v>65</v>
      </c>
      <c r="I76" s="7">
        <v>90</v>
      </c>
      <c r="J76" s="7">
        <v>50</v>
      </c>
      <c r="K76" s="7">
        <v>85</v>
      </c>
      <c r="L76" s="7">
        <v>45</v>
      </c>
      <c r="M76" s="7">
        <v>55</v>
      </c>
    </row>
    <row r="77" spans="1:13" ht="15.75" customHeight="1" x14ac:dyDescent="0.25">
      <c r="A77" s="4">
        <v>76</v>
      </c>
      <c r="B77" s="5" t="s">
        <v>100</v>
      </c>
      <c r="C77" s="6" t="s">
        <v>14</v>
      </c>
      <c r="D77" s="6" t="s">
        <v>15</v>
      </c>
      <c r="E77" s="6" t="s">
        <v>17</v>
      </c>
      <c r="G77" s="7">
        <f t="shared" si="1"/>
        <v>480</v>
      </c>
      <c r="H77" s="7">
        <v>80</v>
      </c>
      <c r="I77" s="7">
        <v>105</v>
      </c>
      <c r="J77" s="7">
        <v>65</v>
      </c>
      <c r="K77" s="7">
        <v>100</v>
      </c>
      <c r="L77" s="7">
        <v>60</v>
      </c>
      <c r="M77" s="7">
        <v>70</v>
      </c>
    </row>
    <row r="78" spans="1:13" ht="15.75" customHeight="1" x14ac:dyDescent="0.25">
      <c r="A78" s="4">
        <v>77</v>
      </c>
      <c r="B78" s="5" t="s">
        <v>101</v>
      </c>
      <c r="C78" s="6" t="s">
        <v>28</v>
      </c>
      <c r="D78" s="6" t="s">
        <v>15</v>
      </c>
      <c r="E78" s="6" t="s">
        <v>567</v>
      </c>
      <c r="F78" s="6" t="s">
        <v>568</v>
      </c>
      <c r="G78" s="7">
        <f t="shared" si="1"/>
        <v>335</v>
      </c>
      <c r="H78" s="7">
        <v>40</v>
      </c>
      <c r="I78" s="7">
        <v>40</v>
      </c>
      <c r="J78" s="7">
        <v>35</v>
      </c>
      <c r="K78" s="7">
        <v>50</v>
      </c>
      <c r="L78" s="7">
        <v>100</v>
      </c>
      <c r="M78" s="7">
        <v>70</v>
      </c>
    </row>
    <row r="79" spans="1:13" ht="15.75" customHeight="1" x14ac:dyDescent="0.25">
      <c r="A79" s="4">
        <v>78</v>
      </c>
      <c r="B79" s="5" t="s">
        <v>102</v>
      </c>
      <c r="C79" s="6" t="s">
        <v>28</v>
      </c>
      <c r="D79" s="6" t="s">
        <v>15</v>
      </c>
      <c r="E79" s="6" t="s">
        <v>567</v>
      </c>
      <c r="F79" s="6" t="s">
        <v>568</v>
      </c>
      <c r="G79" s="7">
        <f t="shared" si="1"/>
        <v>515</v>
      </c>
      <c r="H79" s="7">
        <v>80</v>
      </c>
      <c r="I79" s="7">
        <v>70</v>
      </c>
      <c r="J79" s="7">
        <v>65</v>
      </c>
      <c r="K79" s="7">
        <v>80</v>
      </c>
      <c r="L79" s="7">
        <v>120</v>
      </c>
      <c r="M79" s="7">
        <v>100</v>
      </c>
    </row>
    <row r="80" spans="1:13" ht="15.75" customHeight="1" x14ac:dyDescent="0.25">
      <c r="A80" s="4">
        <v>79</v>
      </c>
      <c r="B80" s="5" t="s">
        <v>103</v>
      </c>
      <c r="C80" s="6" t="s">
        <v>104</v>
      </c>
      <c r="D80" s="6" t="s">
        <v>54</v>
      </c>
      <c r="E80" s="6" t="s">
        <v>569</v>
      </c>
      <c r="F80" s="6" t="s">
        <v>570</v>
      </c>
      <c r="G80" s="7">
        <f t="shared" si="1"/>
        <v>300</v>
      </c>
      <c r="H80" s="7">
        <v>40</v>
      </c>
      <c r="I80" s="7">
        <v>80</v>
      </c>
      <c r="J80" s="7">
        <v>100</v>
      </c>
      <c r="K80" s="7">
        <v>30</v>
      </c>
      <c r="L80" s="7">
        <v>30</v>
      </c>
      <c r="M80" s="7">
        <v>20</v>
      </c>
    </row>
    <row r="81" spans="1:13" ht="15.75" customHeight="1" x14ac:dyDescent="0.25">
      <c r="A81" s="4">
        <v>80</v>
      </c>
      <c r="B81" s="5" t="s">
        <v>105</v>
      </c>
      <c r="C81" s="6" t="s">
        <v>104</v>
      </c>
      <c r="D81" s="6" t="s">
        <v>54</v>
      </c>
      <c r="E81" s="6" t="s">
        <v>569</v>
      </c>
      <c r="F81" s="6" t="s">
        <v>570</v>
      </c>
      <c r="G81" s="7">
        <f t="shared" si="1"/>
        <v>390</v>
      </c>
      <c r="H81" s="7">
        <v>55</v>
      </c>
      <c r="I81" s="7">
        <v>95</v>
      </c>
      <c r="J81" s="7">
        <v>115</v>
      </c>
      <c r="K81" s="7">
        <v>45</v>
      </c>
      <c r="L81" s="7">
        <v>45</v>
      </c>
      <c r="M81" s="7">
        <v>35</v>
      </c>
    </row>
    <row r="82" spans="1:13" ht="15.75" customHeight="1" x14ac:dyDescent="0.25">
      <c r="A82" s="4">
        <v>81</v>
      </c>
      <c r="B82" s="5" t="s">
        <v>106</v>
      </c>
      <c r="C82" s="6" t="s">
        <v>104</v>
      </c>
      <c r="D82" s="6" t="s">
        <v>54</v>
      </c>
      <c r="E82" s="6" t="s">
        <v>569</v>
      </c>
      <c r="F82" s="6" t="s">
        <v>570</v>
      </c>
      <c r="G82" s="7">
        <f t="shared" si="1"/>
        <v>485</v>
      </c>
      <c r="H82" s="7">
        <v>80</v>
      </c>
      <c r="I82" s="7">
        <v>110</v>
      </c>
      <c r="J82" s="7">
        <v>130</v>
      </c>
      <c r="K82" s="7">
        <v>55</v>
      </c>
      <c r="L82" s="7">
        <v>65</v>
      </c>
      <c r="M82" s="7">
        <v>45</v>
      </c>
    </row>
    <row r="83" spans="1:13" ht="15.75" customHeight="1" x14ac:dyDescent="0.25">
      <c r="A83" s="4">
        <v>82</v>
      </c>
      <c r="B83" s="5" t="s">
        <v>107</v>
      </c>
      <c r="C83" s="6" t="s">
        <v>21</v>
      </c>
      <c r="D83" s="6"/>
      <c r="E83" s="6" t="s">
        <v>542</v>
      </c>
      <c r="F83" s="6" t="s">
        <v>551</v>
      </c>
      <c r="G83" s="7">
        <f t="shared" si="1"/>
        <v>410</v>
      </c>
      <c r="H83" s="7">
        <v>50</v>
      </c>
      <c r="I83" s="7">
        <v>85</v>
      </c>
      <c r="J83" s="7">
        <v>55</v>
      </c>
      <c r="K83" s="7">
        <v>65</v>
      </c>
      <c r="L83" s="7">
        <v>65</v>
      </c>
      <c r="M83" s="7">
        <v>90</v>
      </c>
    </row>
    <row r="84" spans="1:13" ht="15.75" customHeight="1" x14ac:dyDescent="0.25">
      <c r="A84" s="4">
        <v>83</v>
      </c>
      <c r="B84" s="5" t="s">
        <v>108</v>
      </c>
      <c r="C84" s="6" t="s">
        <v>21</v>
      </c>
      <c r="D84" s="6"/>
      <c r="E84" s="6" t="s">
        <v>542</v>
      </c>
      <c r="F84" s="6" t="s">
        <v>551</v>
      </c>
      <c r="G84" s="7">
        <f t="shared" si="1"/>
        <v>500</v>
      </c>
      <c r="H84" s="7">
        <v>65</v>
      </c>
      <c r="I84" s="7">
        <v>100</v>
      </c>
      <c r="J84" s="7">
        <v>70</v>
      </c>
      <c r="K84" s="7">
        <v>80</v>
      </c>
      <c r="L84" s="7">
        <v>80</v>
      </c>
      <c r="M84" s="7">
        <v>105</v>
      </c>
    </row>
    <row r="85" spans="1:13" ht="15.75" customHeight="1" x14ac:dyDescent="0.25">
      <c r="A85" s="4">
        <v>84</v>
      </c>
      <c r="B85" s="5" t="s">
        <v>109</v>
      </c>
      <c r="C85" s="6" t="s">
        <v>28</v>
      </c>
      <c r="D85" s="6" t="s">
        <v>92</v>
      </c>
      <c r="E85" s="6" t="s">
        <v>571</v>
      </c>
      <c r="F85" s="6" t="s">
        <v>572</v>
      </c>
      <c r="G85" s="7">
        <f t="shared" si="1"/>
        <v>315</v>
      </c>
      <c r="H85" s="7">
        <v>90</v>
      </c>
      <c r="I85" s="7">
        <v>65</v>
      </c>
      <c r="J85" s="7">
        <v>65</v>
      </c>
      <c r="K85" s="7">
        <v>40</v>
      </c>
      <c r="L85" s="7">
        <v>40</v>
      </c>
      <c r="M85" s="7">
        <v>15</v>
      </c>
    </row>
    <row r="86" spans="1:13" ht="15.75" customHeight="1" x14ac:dyDescent="0.25">
      <c r="A86" s="4">
        <v>85</v>
      </c>
      <c r="B86" s="5" t="s">
        <v>110</v>
      </c>
      <c r="C86" s="6" t="s">
        <v>28</v>
      </c>
      <c r="D86" s="6" t="s">
        <v>92</v>
      </c>
      <c r="E86" s="6" t="s">
        <v>571</v>
      </c>
      <c r="F86" s="6" t="s">
        <v>572</v>
      </c>
      <c r="G86" s="7">
        <f t="shared" si="1"/>
        <v>490</v>
      </c>
      <c r="H86" s="7">
        <v>95</v>
      </c>
      <c r="I86" s="7">
        <v>75</v>
      </c>
      <c r="J86" s="7">
        <v>110</v>
      </c>
      <c r="K86" s="7">
        <v>100</v>
      </c>
      <c r="L86" s="7">
        <v>80</v>
      </c>
      <c r="M86" s="7">
        <v>30</v>
      </c>
    </row>
    <row r="87" spans="1:13" ht="15.75" customHeight="1" x14ac:dyDescent="0.25">
      <c r="A87" s="4">
        <v>86</v>
      </c>
      <c r="B87" s="5" t="s">
        <v>234</v>
      </c>
      <c r="C87" s="6" t="s">
        <v>28</v>
      </c>
      <c r="D87" s="6" t="s">
        <v>92</v>
      </c>
      <c r="E87" s="6" t="s">
        <v>571</v>
      </c>
      <c r="F87" s="6" t="s">
        <v>572</v>
      </c>
      <c r="G87" s="7">
        <f t="shared" si="1"/>
        <v>490</v>
      </c>
      <c r="H87" s="7">
        <v>95</v>
      </c>
      <c r="I87" s="7">
        <v>75</v>
      </c>
      <c r="J87" s="7">
        <v>80</v>
      </c>
      <c r="K87" s="7">
        <v>100</v>
      </c>
      <c r="L87" s="7">
        <v>110</v>
      </c>
      <c r="M87" s="7">
        <v>30</v>
      </c>
    </row>
    <row r="88" spans="1:13" ht="15.75" customHeight="1" x14ac:dyDescent="0.25">
      <c r="A88" s="4">
        <v>87</v>
      </c>
      <c r="B88" s="5" t="s">
        <v>111</v>
      </c>
      <c r="C88" s="6" t="s">
        <v>51</v>
      </c>
      <c r="D88" s="6" t="s">
        <v>112</v>
      </c>
      <c r="E88" s="6" t="s">
        <v>573</v>
      </c>
      <c r="F88" s="6" t="s">
        <v>570</v>
      </c>
      <c r="G88" s="7">
        <f t="shared" si="1"/>
        <v>325</v>
      </c>
      <c r="H88" s="7">
        <v>25</v>
      </c>
      <c r="I88" s="7">
        <v>35</v>
      </c>
      <c r="J88" s="7">
        <v>70</v>
      </c>
      <c r="K88" s="7">
        <v>95</v>
      </c>
      <c r="L88" s="7">
        <v>55</v>
      </c>
      <c r="M88" s="7">
        <v>45</v>
      </c>
    </row>
    <row r="89" spans="1:13" ht="15.75" customHeight="1" x14ac:dyDescent="0.25">
      <c r="A89" s="4">
        <v>88</v>
      </c>
      <c r="B89" s="5" t="s">
        <v>113</v>
      </c>
      <c r="C89" s="6" t="s">
        <v>51</v>
      </c>
      <c r="D89" s="6" t="s">
        <v>112</v>
      </c>
      <c r="E89" s="6" t="s">
        <v>573</v>
      </c>
      <c r="F89" s="6" t="s">
        <v>570</v>
      </c>
      <c r="G89" s="7">
        <f t="shared" si="1"/>
        <v>465</v>
      </c>
      <c r="H89" s="7">
        <v>50</v>
      </c>
      <c r="I89" s="7">
        <v>60</v>
      </c>
      <c r="J89" s="7">
        <v>95</v>
      </c>
      <c r="K89" s="7">
        <v>120</v>
      </c>
      <c r="L89" s="7">
        <v>70</v>
      </c>
      <c r="M89" s="7">
        <v>70</v>
      </c>
    </row>
    <row r="90" spans="1:13" ht="15.75" customHeight="1" x14ac:dyDescent="0.25">
      <c r="A90" s="4">
        <v>89</v>
      </c>
      <c r="B90" s="5" t="s">
        <v>497</v>
      </c>
      <c r="C90" s="6" t="s">
        <v>51</v>
      </c>
      <c r="D90" s="6" t="s">
        <v>112</v>
      </c>
      <c r="E90" s="6" t="s">
        <v>628</v>
      </c>
      <c r="F90" s="6" t="s">
        <v>570</v>
      </c>
      <c r="G90" s="7">
        <f t="shared" si="1"/>
        <v>535</v>
      </c>
      <c r="H90" s="7">
        <v>70</v>
      </c>
      <c r="I90" s="7">
        <v>70</v>
      </c>
      <c r="J90" s="7">
        <v>115</v>
      </c>
      <c r="K90" s="7">
        <v>130</v>
      </c>
      <c r="L90" s="7">
        <v>90</v>
      </c>
      <c r="M90" s="7">
        <v>60</v>
      </c>
    </row>
    <row r="91" spans="1:13" ht="15.75" customHeight="1" x14ac:dyDescent="0.25">
      <c r="A91" s="4">
        <v>90</v>
      </c>
      <c r="B91" s="5" t="s">
        <v>114</v>
      </c>
      <c r="C91" s="6" t="s">
        <v>41</v>
      </c>
      <c r="D91" s="6" t="s">
        <v>26</v>
      </c>
      <c r="E91" s="6" t="s">
        <v>540</v>
      </c>
      <c r="F91" s="6" t="s">
        <v>552</v>
      </c>
      <c r="G91" s="7">
        <f t="shared" si="1"/>
        <v>377</v>
      </c>
      <c r="H91" s="7">
        <v>52</v>
      </c>
      <c r="I91" s="7">
        <v>90</v>
      </c>
      <c r="J91" s="7">
        <v>55</v>
      </c>
      <c r="K91" s="7">
        <v>58</v>
      </c>
      <c r="L91" s="7">
        <v>62</v>
      </c>
      <c r="M91" s="7">
        <v>60</v>
      </c>
    </row>
    <row r="92" spans="1:13" ht="15.75" customHeight="1" x14ac:dyDescent="0.25">
      <c r="A92" s="4">
        <v>91</v>
      </c>
      <c r="B92" s="5" t="s">
        <v>942</v>
      </c>
      <c r="C92" s="6" t="s">
        <v>84</v>
      </c>
      <c r="D92" s="6"/>
      <c r="E92" s="6" t="s">
        <v>540</v>
      </c>
      <c r="F92" s="6" t="s">
        <v>552</v>
      </c>
      <c r="G92" s="7">
        <f t="shared" si="1"/>
        <v>507</v>
      </c>
      <c r="H92" s="7">
        <v>62</v>
      </c>
      <c r="I92" s="7">
        <v>135</v>
      </c>
      <c r="J92" s="7">
        <v>95</v>
      </c>
      <c r="K92" s="7">
        <v>68</v>
      </c>
      <c r="L92" s="7">
        <v>82</v>
      </c>
      <c r="M92" s="7">
        <v>65</v>
      </c>
    </row>
    <row r="93" spans="1:13" ht="15.75" customHeight="1" x14ac:dyDescent="0.25">
      <c r="A93" s="4">
        <v>92</v>
      </c>
      <c r="B93" s="5" t="s">
        <v>115</v>
      </c>
      <c r="C93" s="6" t="s">
        <v>41</v>
      </c>
      <c r="D93" s="6" t="s">
        <v>26</v>
      </c>
      <c r="E93" s="218" t="s">
        <v>542</v>
      </c>
      <c r="F93" s="6" t="s">
        <v>574</v>
      </c>
      <c r="G93" s="7">
        <f t="shared" ref="G93:G104" si="2">SUM(H93:M93)</f>
        <v>310</v>
      </c>
      <c r="H93" s="7">
        <v>35</v>
      </c>
      <c r="I93" s="7">
        <v>85</v>
      </c>
      <c r="J93" s="7">
        <v>45</v>
      </c>
      <c r="K93" s="7">
        <v>35</v>
      </c>
      <c r="L93" s="7">
        <v>35</v>
      </c>
      <c r="M93" s="7">
        <v>75</v>
      </c>
    </row>
    <row r="94" spans="1:13" ht="15.75" customHeight="1" x14ac:dyDescent="0.25">
      <c r="A94" s="4">
        <v>93</v>
      </c>
      <c r="B94" s="5" t="s">
        <v>116</v>
      </c>
      <c r="C94" s="6" t="s">
        <v>41</v>
      </c>
      <c r="D94" s="6" t="s">
        <v>26</v>
      </c>
      <c r="E94" s="218" t="s">
        <v>542</v>
      </c>
      <c r="F94" s="6" t="s">
        <v>574</v>
      </c>
      <c r="G94" s="7">
        <f t="shared" si="2"/>
        <v>470</v>
      </c>
      <c r="H94" s="7">
        <v>60</v>
      </c>
      <c r="I94" s="7">
        <v>110</v>
      </c>
      <c r="J94" s="7">
        <v>70</v>
      </c>
      <c r="K94" s="7">
        <v>60</v>
      </c>
      <c r="L94" s="7">
        <v>60</v>
      </c>
      <c r="M94" s="7">
        <v>110</v>
      </c>
    </row>
    <row r="95" spans="1:13" ht="15.75" customHeight="1" x14ac:dyDescent="0.25">
      <c r="A95" s="4">
        <v>94</v>
      </c>
      <c r="B95" s="5" t="s">
        <v>117</v>
      </c>
      <c r="C95" s="6" t="s">
        <v>28</v>
      </c>
      <c r="D95" s="6"/>
      <c r="E95" s="6" t="s">
        <v>575</v>
      </c>
      <c r="F95" s="6" t="s">
        <v>576</v>
      </c>
      <c r="G95" s="7">
        <f t="shared" si="2"/>
        <v>325</v>
      </c>
      <c r="H95" s="7">
        <v>65</v>
      </c>
      <c r="I95" s="7">
        <v>45</v>
      </c>
      <c r="J95" s="7">
        <v>55</v>
      </c>
      <c r="K95" s="7">
        <v>45</v>
      </c>
      <c r="L95" s="7">
        <v>70</v>
      </c>
      <c r="M95" s="7">
        <v>45</v>
      </c>
    </row>
    <row r="96" spans="1:13" ht="15.75" customHeight="1" x14ac:dyDescent="0.25">
      <c r="A96" s="4">
        <v>95</v>
      </c>
      <c r="B96" s="5" t="s">
        <v>118</v>
      </c>
      <c r="C96" s="6" t="s">
        <v>28</v>
      </c>
      <c r="D96" s="6" t="s">
        <v>119</v>
      </c>
      <c r="E96" s="6" t="s">
        <v>575</v>
      </c>
      <c r="F96" s="6" t="s">
        <v>576</v>
      </c>
      <c r="G96" s="7">
        <f t="shared" si="2"/>
        <v>475</v>
      </c>
      <c r="H96" s="7">
        <v>90</v>
      </c>
      <c r="I96" s="7">
        <v>70</v>
      </c>
      <c r="J96" s="7">
        <v>80</v>
      </c>
      <c r="K96" s="7">
        <v>70</v>
      </c>
      <c r="L96" s="7">
        <v>95</v>
      </c>
      <c r="M96" s="7">
        <v>70</v>
      </c>
    </row>
    <row r="97" spans="1:13" ht="15.75" customHeight="1" x14ac:dyDescent="0.25">
      <c r="A97" s="4">
        <v>96</v>
      </c>
      <c r="B97" s="5" t="s">
        <v>120</v>
      </c>
      <c r="C97" s="6" t="s">
        <v>15</v>
      </c>
      <c r="D97" s="6"/>
      <c r="E97" s="6" t="s">
        <v>577</v>
      </c>
      <c r="F97" s="6" t="s">
        <v>578</v>
      </c>
      <c r="G97" s="7">
        <f t="shared" si="2"/>
        <v>325</v>
      </c>
      <c r="H97" s="7">
        <v>80</v>
      </c>
      <c r="I97" s="7">
        <v>80</v>
      </c>
      <c r="J97" s="7">
        <v>50</v>
      </c>
      <c r="K97" s="7">
        <v>40</v>
      </c>
      <c r="L97" s="7">
        <v>50</v>
      </c>
      <c r="M97" s="7">
        <v>25</v>
      </c>
    </row>
    <row r="98" spans="1:13" ht="15.75" customHeight="1" x14ac:dyDescent="0.25">
      <c r="A98" s="4">
        <v>97</v>
      </c>
      <c r="B98" s="5" t="s">
        <v>121</v>
      </c>
      <c r="C98" s="6" t="s">
        <v>15</v>
      </c>
      <c r="D98" s="6"/>
      <c r="E98" s="6" t="s">
        <v>577</v>
      </c>
      <c r="F98" s="6" t="s">
        <v>578</v>
      </c>
      <c r="G98" s="7">
        <f t="shared" si="2"/>
        <v>500</v>
      </c>
      <c r="H98" s="7">
        <v>105</v>
      </c>
      <c r="I98" s="7">
        <v>105</v>
      </c>
      <c r="J98" s="7">
        <v>75</v>
      </c>
      <c r="K98" s="7">
        <v>65</v>
      </c>
      <c r="L98" s="7">
        <v>100</v>
      </c>
      <c r="M98" s="7">
        <v>50</v>
      </c>
    </row>
    <row r="99" spans="1:13" ht="15.75" customHeight="1" x14ac:dyDescent="0.25">
      <c r="A99" s="4">
        <v>98</v>
      </c>
      <c r="B99" s="5" t="s">
        <v>122</v>
      </c>
      <c r="C99" s="6" t="s">
        <v>28</v>
      </c>
      <c r="D99" s="6"/>
      <c r="E99" s="6" t="s">
        <v>579</v>
      </c>
      <c r="F99" s="6" t="s">
        <v>580</v>
      </c>
      <c r="G99" s="7">
        <f t="shared" si="2"/>
        <v>305</v>
      </c>
      <c r="H99" s="7">
        <v>30</v>
      </c>
      <c r="I99" s="7">
        <v>65</v>
      </c>
      <c r="J99" s="7">
        <v>100</v>
      </c>
      <c r="K99" s="7">
        <v>45</v>
      </c>
      <c r="L99" s="7">
        <v>25</v>
      </c>
      <c r="M99" s="7">
        <v>40</v>
      </c>
    </row>
    <row r="100" spans="1:13" ht="15.75" customHeight="1" x14ac:dyDescent="0.25">
      <c r="A100" s="4">
        <v>99</v>
      </c>
      <c r="B100" s="5" t="s">
        <v>123</v>
      </c>
      <c r="C100" s="6" t="s">
        <v>28</v>
      </c>
      <c r="D100" s="6" t="s">
        <v>119</v>
      </c>
      <c r="E100" s="6" t="s">
        <v>579</v>
      </c>
      <c r="F100" s="6" t="s">
        <v>580</v>
      </c>
      <c r="G100" s="7">
        <f t="shared" si="2"/>
        <v>525</v>
      </c>
      <c r="H100" s="7">
        <v>50</v>
      </c>
      <c r="I100" s="7">
        <v>95</v>
      </c>
      <c r="J100" s="7">
        <v>180</v>
      </c>
      <c r="K100" s="7">
        <v>85</v>
      </c>
      <c r="L100" s="7">
        <v>45</v>
      </c>
      <c r="M100" s="7">
        <v>70</v>
      </c>
    </row>
    <row r="101" spans="1:13" ht="15.75" customHeight="1" x14ac:dyDescent="0.25">
      <c r="A101" s="4">
        <v>100</v>
      </c>
      <c r="B101" s="5" t="s">
        <v>124</v>
      </c>
      <c r="C101" s="6" t="s">
        <v>125</v>
      </c>
      <c r="D101" s="6" t="s">
        <v>15</v>
      </c>
      <c r="E101" s="6" t="s">
        <v>581</v>
      </c>
      <c r="G101" s="7">
        <f t="shared" si="2"/>
        <v>310</v>
      </c>
      <c r="H101" s="7">
        <v>30</v>
      </c>
      <c r="I101" s="7">
        <v>35</v>
      </c>
      <c r="J101" s="7">
        <v>30</v>
      </c>
      <c r="K101" s="7">
        <v>100</v>
      </c>
      <c r="L101" s="7">
        <v>35</v>
      </c>
      <c r="M101" s="7">
        <v>80</v>
      </c>
    </row>
    <row r="102" spans="1:13" ht="15.75" customHeight="1" x14ac:dyDescent="0.25">
      <c r="A102" s="4">
        <v>101</v>
      </c>
      <c r="B102" s="5" t="s">
        <v>126</v>
      </c>
      <c r="C102" s="6" t="s">
        <v>125</v>
      </c>
      <c r="D102" s="6" t="s">
        <v>15</v>
      </c>
      <c r="E102" s="6" t="s">
        <v>581</v>
      </c>
      <c r="G102" s="7">
        <f t="shared" si="2"/>
        <v>405</v>
      </c>
      <c r="H102" s="7">
        <v>45</v>
      </c>
      <c r="I102" s="7">
        <v>50</v>
      </c>
      <c r="J102" s="7">
        <v>45</v>
      </c>
      <c r="K102" s="7">
        <v>115</v>
      </c>
      <c r="L102" s="7">
        <v>55</v>
      </c>
      <c r="M102" s="7">
        <v>95</v>
      </c>
    </row>
    <row r="103" spans="1:13" ht="15.75" customHeight="1" x14ac:dyDescent="0.25">
      <c r="A103" s="4">
        <v>102</v>
      </c>
      <c r="B103" s="5" t="s">
        <v>127</v>
      </c>
      <c r="C103" s="6" t="s">
        <v>125</v>
      </c>
      <c r="D103" s="6" t="s">
        <v>15</v>
      </c>
      <c r="E103" s="6" t="s">
        <v>581</v>
      </c>
      <c r="G103" s="7">
        <f t="shared" si="2"/>
        <v>500</v>
      </c>
      <c r="H103" s="7">
        <v>60</v>
      </c>
      <c r="I103" s="7">
        <v>65</v>
      </c>
      <c r="J103" s="7">
        <v>60</v>
      </c>
      <c r="K103" s="7">
        <v>130</v>
      </c>
      <c r="L103" s="7">
        <v>75</v>
      </c>
      <c r="M103" s="7">
        <v>110</v>
      </c>
    </row>
    <row r="104" spans="1:13" ht="15.75" customHeight="1" x14ac:dyDescent="0.25">
      <c r="A104" s="4">
        <v>103</v>
      </c>
      <c r="B104" s="5" t="s">
        <v>128</v>
      </c>
      <c r="C104" s="6" t="s">
        <v>104</v>
      </c>
      <c r="D104" s="6" t="s">
        <v>54</v>
      </c>
      <c r="E104" s="6" t="s">
        <v>569</v>
      </c>
      <c r="F104" s="6" t="s">
        <v>843</v>
      </c>
      <c r="G104" s="7">
        <f t="shared" si="2"/>
        <v>385</v>
      </c>
      <c r="H104" s="7">
        <v>35</v>
      </c>
      <c r="I104" s="7">
        <v>45</v>
      </c>
      <c r="J104" s="7">
        <v>160</v>
      </c>
      <c r="K104" s="7">
        <v>30</v>
      </c>
      <c r="L104" s="7">
        <v>45</v>
      </c>
      <c r="M104" s="7">
        <v>70</v>
      </c>
    </row>
    <row r="105" spans="1:13" ht="15.75" customHeight="1" x14ac:dyDescent="0.25">
      <c r="A105" s="4">
        <v>104</v>
      </c>
      <c r="B105" s="5" t="s">
        <v>243</v>
      </c>
      <c r="C105" s="6" t="s">
        <v>112</v>
      </c>
      <c r="D105" s="6" t="s">
        <v>54</v>
      </c>
      <c r="E105" s="6" t="s">
        <v>569</v>
      </c>
      <c r="F105" s="6" t="s">
        <v>843</v>
      </c>
      <c r="G105" s="7">
        <f t="shared" ref="G105:G168" si="3">SUM(H105:M105)</f>
        <v>510</v>
      </c>
      <c r="H105" s="7">
        <v>75</v>
      </c>
      <c r="I105" s="7">
        <v>85</v>
      </c>
      <c r="J105" s="7">
        <v>200</v>
      </c>
      <c r="K105" s="7">
        <v>55</v>
      </c>
      <c r="L105" s="7">
        <v>65</v>
      </c>
      <c r="M105" s="7">
        <v>30</v>
      </c>
    </row>
    <row r="106" spans="1:13" ht="15.75" customHeight="1" x14ac:dyDescent="0.25">
      <c r="A106" s="4">
        <v>105</v>
      </c>
      <c r="B106" s="5" t="s">
        <v>129</v>
      </c>
      <c r="C106" s="6" t="s">
        <v>92</v>
      </c>
      <c r="D106" s="6"/>
      <c r="E106" s="6" t="s">
        <v>582</v>
      </c>
      <c r="F106" s="6" t="s">
        <v>583</v>
      </c>
      <c r="G106" s="7">
        <f t="shared" si="3"/>
        <v>328</v>
      </c>
      <c r="H106" s="7">
        <v>60</v>
      </c>
      <c r="I106" s="7">
        <v>48</v>
      </c>
      <c r="J106" s="7">
        <v>45</v>
      </c>
      <c r="K106" s="7">
        <v>43</v>
      </c>
      <c r="L106" s="7">
        <v>90</v>
      </c>
      <c r="M106" s="7">
        <v>42</v>
      </c>
    </row>
    <row r="107" spans="1:13" ht="15.75" customHeight="1" x14ac:dyDescent="0.25">
      <c r="A107" s="4">
        <v>106</v>
      </c>
      <c r="B107" s="5" t="s">
        <v>130</v>
      </c>
      <c r="C107" s="6" t="s">
        <v>92</v>
      </c>
      <c r="D107" s="6"/>
      <c r="E107" s="6" t="s">
        <v>582</v>
      </c>
      <c r="F107" s="6" t="s">
        <v>583</v>
      </c>
      <c r="G107" s="7">
        <f t="shared" si="3"/>
        <v>483</v>
      </c>
      <c r="H107" s="7">
        <v>85</v>
      </c>
      <c r="I107" s="7">
        <v>73</v>
      </c>
      <c r="J107" s="7">
        <v>70</v>
      </c>
      <c r="K107" s="7">
        <v>73</v>
      </c>
      <c r="L107" s="7">
        <v>115</v>
      </c>
      <c r="M107" s="7">
        <v>67</v>
      </c>
    </row>
    <row r="108" spans="1:13" ht="15.75" customHeight="1" x14ac:dyDescent="0.25">
      <c r="A108" s="4">
        <v>107</v>
      </c>
      <c r="B108" s="5" t="s">
        <v>131</v>
      </c>
      <c r="C108" s="6" t="s">
        <v>28</v>
      </c>
      <c r="D108" s="6"/>
      <c r="E108" s="6" t="s">
        <v>584</v>
      </c>
      <c r="F108" s="6" t="s">
        <v>579</v>
      </c>
      <c r="G108" s="7">
        <f t="shared" si="3"/>
        <v>325</v>
      </c>
      <c r="H108" s="7">
        <v>30</v>
      </c>
      <c r="I108" s="7">
        <v>105</v>
      </c>
      <c r="J108" s="7">
        <v>90</v>
      </c>
      <c r="K108" s="7">
        <v>25</v>
      </c>
      <c r="L108" s="7">
        <v>25</v>
      </c>
      <c r="M108" s="7">
        <v>50</v>
      </c>
    </row>
    <row r="109" spans="1:13" ht="15.75" customHeight="1" x14ac:dyDescent="0.25">
      <c r="A109" s="4">
        <v>108</v>
      </c>
      <c r="B109" s="5" t="s">
        <v>132</v>
      </c>
      <c r="C109" s="6" t="s">
        <v>28</v>
      </c>
      <c r="D109" s="6"/>
      <c r="E109" s="6" t="s">
        <v>584</v>
      </c>
      <c r="F109" s="6" t="s">
        <v>579</v>
      </c>
      <c r="G109" s="7">
        <f t="shared" si="3"/>
        <v>475</v>
      </c>
      <c r="H109" s="7">
        <v>55</v>
      </c>
      <c r="I109" s="7">
        <v>130</v>
      </c>
      <c r="J109" s="7">
        <v>115</v>
      </c>
      <c r="K109" s="7">
        <v>50</v>
      </c>
      <c r="L109" s="7">
        <v>50</v>
      </c>
      <c r="M109" s="7">
        <v>75</v>
      </c>
    </row>
    <row r="110" spans="1:13" ht="15.75" customHeight="1" x14ac:dyDescent="0.25">
      <c r="A110" s="4">
        <v>109</v>
      </c>
      <c r="B110" s="5" t="s">
        <v>133</v>
      </c>
      <c r="C110" s="6" t="s">
        <v>51</v>
      </c>
      <c r="D110" s="6"/>
      <c r="E110" s="6" t="s">
        <v>585</v>
      </c>
      <c r="F110" s="6" t="s">
        <v>545</v>
      </c>
      <c r="G110" s="7">
        <f t="shared" si="3"/>
        <v>330</v>
      </c>
      <c r="H110" s="7">
        <v>40</v>
      </c>
      <c r="I110" s="7">
        <v>30</v>
      </c>
      <c r="J110" s="7">
        <v>50</v>
      </c>
      <c r="K110" s="7">
        <v>55</v>
      </c>
      <c r="L110" s="7">
        <v>55</v>
      </c>
      <c r="M110" s="7">
        <v>100</v>
      </c>
    </row>
    <row r="111" spans="1:13" ht="15.75" customHeight="1" x14ac:dyDescent="0.25">
      <c r="A111" s="4">
        <v>110</v>
      </c>
      <c r="B111" s="5" t="s">
        <v>134</v>
      </c>
      <c r="C111" s="6" t="s">
        <v>51</v>
      </c>
      <c r="D111" s="6"/>
      <c r="E111" s="6" t="s">
        <v>585</v>
      </c>
      <c r="F111" s="6" t="s">
        <v>545</v>
      </c>
      <c r="G111" s="7">
        <f t="shared" si="3"/>
        <v>490</v>
      </c>
      <c r="H111" s="7">
        <v>60</v>
      </c>
      <c r="I111" s="7">
        <v>50</v>
      </c>
      <c r="J111" s="7">
        <v>70</v>
      </c>
      <c r="K111" s="7">
        <v>80</v>
      </c>
      <c r="L111" s="7">
        <v>80</v>
      </c>
      <c r="M111" s="7">
        <v>150</v>
      </c>
    </row>
    <row r="112" spans="1:13" ht="15.75" customHeight="1" x14ac:dyDescent="0.25">
      <c r="A112" s="4">
        <v>111</v>
      </c>
      <c r="B112" s="5" t="s">
        <v>135</v>
      </c>
      <c r="C112" s="6" t="s">
        <v>14</v>
      </c>
      <c r="D112" s="6" t="s">
        <v>92</v>
      </c>
      <c r="E112" s="6" t="s">
        <v>17</v>
      </c>
      <c r="G112" s="7">
        <f t="shared" si="3"/>
        <v>325</v>
      </c>
      <c r="H112" s="7">
        <v>60</v>
      </c>
      <c r="I112" s="7">
        <v>40</v>
      </c>
      <c r="J112" s="7">
        <v>80</v>
      </c>
      <c r="K112" s="7">
        <v>60</v>
      </c>
      <c r="L112" s="7">
        <v>45</v>
      </c>
      <c r="M112" s="7">
        <v>40</v>
      </c>
    </row>
    <row r="113" spans="1:13" ht="15.75" customHeight="1" x14ac:dyDescent="0.25">
      <c r="A113" s="4">
        <v>112</v>
      </c>
      <c r="B113" s="5" t="s">
        <v>136</v>
      </c>
      <c r="C113" s="6" t="s">
        <v>14</v>
      </c>
      <c r="D113" s="6" t="s">
        <v>92</v>
      </c>
      <c r="E113" s="6" t="s">
        <v>17</v>
      </c>
      <c r="G113" s="7">
        <f t="shared" si="3"/>
        <v>530</v>
      </c>
      <c r="H113" s="7">
        <v>95</v>
      </c>
      <c r="I113" s="7">
        <v>95</v>
      </c>
      <c r="J113" s="7">
        <v>85</v>
      </c>
      <c r="K113" s="7">
        <v>125</v>
      </c>
      <c r="L113" s="7">
        <v>75</v>
      </c>
      <c r="M113" s="7">
        <v>55</v>
      </c>
    </row>
    <row r="114" spans="1:13" ht="15.75" customHeight="1" x14ac:dyDescent="0.25">
      <c r="A114" s="4">
        <v>113</v>
      </c>
      <c r="B114" s="5" t="s">
        <v>137</v>
      </c>
      <c r="C114" s="6" t="s">
        <v>54</v>
      </c>
      <c r="D114" s="6"/>
      <c r="E114" s="6" t="s">
        <v>569</v>
      </c>
      <c r="F114" s="6" t="s">
        <v>586</v>
      </c>
      <c r="G114" s="7">
        <f t="shared" si="3"/>
        <v>320</v>
      </c>
      <c r="H114" s="7">
        <v>50</v>
      </c>
      <c r="I114" s="7">
        <v>50</v>
      </c>
      <c r="J114" s="7">
        <v>95</v>
      </c>
      <c r="K114" s="7">
        <v>40</v>
      </c>
      <c r="L114" s="7">
        <v>50</v>
      </c>
      <c r="M114" s="7">
        <v>35</v>
      </c>
    </row>
    <row r="115" spans="1:13" ht="15.75" customHeight="1" x14ac:dyDescent="0.25">
      <c r="A115" s="4">
        <v>114</v>
      </c>
      <c r="B115" s="5" t="s">
        <v>138</v>
      </c>
      <c r="C115" s="6" t="s">
        <v>54</v>
      </c>
      <c r="D115" s="6"/>
      <c r="E115" s="6" t="s">
        <v>569</v>
      </c>
      <c r="F115" s="6" t="s">
        <v>586</v>
      </c>
      <c r="G115" s="7">
        <f t="shared" si="3"/>
        <v>425</v>
      </c>
      <c r="H115" s="7">
        <v>60</v>
      </c>
      <c r="I115" s="7">
        <v>80</v>
      </c>
      <c r="J115" s="7">
        <v>110</v>
      </c>
      <c r="K115" s="7">
        <v>50</v>
      </c>
      <c r="L115" s="7">
        <v>80</v>
      </c>
      <c r="M115" s="7">
        <v>45</v>
      </c>
    </row>
    <row r="116" spans="1:13" ht="15.75" customHeight="1" x14ac:dyDescent="0.25">
      <c r="A116" s="4">
        <v>115</v>
      </c>
      <c r="B116" s="5" t="s">
        <v>271</v>
      </c>
      <c r="C116" s="6" t="s">
        <v>84</v>
      </c>
      <c r="D116" s="6"/>
      <c r="E116" s="6" t="s">
        <v>543</v>
      </c>
      <c r="F116" s="6" t="s">
        <v>622</v>
      </c>
      <c r="G116" s="7">
        <f t="shared" si="3"/>
        <v>210</v>
      </c>
      <c r="H116" s="7">
        <v>35</v>
      </c>
      <c r="I116" s="7">
        <v>35</v>
      </c>
      <c r="J116" s="7">
        <v>35</v>
      </c>
      <c r="K116" s="7">
        <v>35</v>
      </c>
      <c r="L116" s="7">
        <v>35</v>
      </c>
      <c r="M116" s="7">
        <v>35</v>
      </c>
    </row>
    <row r="117" spans="1:13" ht="15.75" customHeight="1" x14ac:dyDescent="0.25">
      <c r="A117" s="4">
        <v>116</v>
      </c>
      <c r="B117" s="5" t="s">
        <v>139</v>
      </c>
      <c r="C117" s="6" t="s">
        <v>84</v>
      </c>
      <c r="D117" s="6"/>
      <c r="E117" s="6" t="s">
        <v>587</v>
      </c>
      <c r="F117" s="6" t="s">
        <v>588</v>
      </c>
      <c r="G117" s="7">
        <f t="shared" si="3"/>
        <v>455</v>
      </c>
      <c r="H117" s="7">
        <v>50</v>
      </c>
      <c r="I117" s="7">
        <v>120</v>
      </c>
      <c r="J117" s="7">
        <v>53</v>
      </c>
      <c r="K117" s="7">
        <v>35</v>
      </c>
      <c r="L117" s="7">
        <v>110</v>
      </c>
      <c r="M117" s="7">
        <v>87</v>
      </c>
    </row>
    <row r="118" spans="1:13" ht="15.75" customHeight="1" x14ac:dyDescent="0.25">
      <c r="A118" s="4">
        <v>117</v>
      </c>
      <c r="B118" s="5" t="s">
        <v>140</v>
      </c>
      <c r="C118" s="6" t="s">
        <v>84</v>
      </c>
      <c r="D118" s="6"/>
      <c r="E118" s="6" t="s">
        <v>540</v>
      </c>
      <c r="F118" s="6" t="s">
        <v>589</v>
      </c>
      <c r="G118" s="7">
        <f t="shared" si="3"/>
        <v>455</v>
      </c>
      <c r="H118" s="7">
        <v>50</v>
      </c>
      <c r="I118" s="7">
        <v>105</v>
      </c>
      <c r="J118" s="7">
        <v>79</v>
      </c>
      <c r="K118" s="7">
        <v>35</v>
      </c>
      <c r="L118" s="7">
        <v>110</v>
      </c>
      <c r="M118" s="7">
        <v>76</v>
      </c>
    </row>
    <row r="119" spans="1:13" ht="15.75" customHeight="1" x14ac:dyDescent="0.25">
      <c r="A119" s="4">
        <v>118</v>
      </c>
      <c r="B119" s="5" t="s">
        <v>272</v>
      </c>
      <c r="C119" s="6" t="s">
        <v>84</v>
      </c>
      <c r="D119" s="6"/>
      <c r="E119" s="6" t="s">
        <v>544</v>
      </c>
      <c r="F119" s="6" t="s">
        <v>558</v>
      </c>
      <c r="G119" s="7">
        <f t="shared" si="3"/>
        <v>455</v>
      </c>
      <c r="H119" s="7">
        <v>50</v>
      </c>
      <c r="I119" s="7">
        <v>95</v>
      </c>
      <c r="J119" s="7">
        <v>95</v>
      </c>
      <c r="K119" s="7">
        <v>35</v>
      </c>
      <c r="L119" s="7">
        <v>110</v>
      </c>
      <c r="M119" s="7">
        <v>70</v>
      </c>
    </row>
    <row r="120" spans="1:13" ht="15.75" customHeight="1" x14ac:dyDescent="0.25">
      <c r="A120" s="4">
        <v>119</v>
      </c>
      <c r="B120" s="5" t="s">
        <v>141</v>
      </c>
      <c r="C120" s="6" t="s">
        <v>41</v>
      </c>
      <c r="D120" s="6"/>
      <c r="E120" s="6" t="s">
        <v>572</v>
      </c>
      <c r="F120" s="6" t="s">
        <v>571</v>
      </c>
      <c r="G120" s="7">
        <f t="shared" si="3"/>
        <v>385</v>
      </c>
      <c r="H120" s="7">
        <v>90</v>
      </c>
      <c r="I120" s="7">
        <v>55</v>
      </c>
      <c r="J120" s="7">
        <v>75</v>
      </c>
      <c r="K120" s="7">
        <v>60</v>
      </c>
      <c r="L120" s="7">
        <v>75</v>
      </c>
      <c r="M120" s="7">
        <v>30</v>
      </c>
    </row>
    <row r="121" spans="1:13" ht="15.75" customHeight="1" x14ac:dyDescent="0.25">
      <c r="A121" s="4">
        <v>120</v>
      </c>
      <c r="B121" s="5" t="s">
        <v>498</v>
      </c>
      <c r="C121" s="6" t="s">
        <v>41</v>
      </c>
      <c r="D121" s="6"/>
      <c r="E121" s="6" t="s">
        <v>572</v>
      </c>
      <c r="F121" s="6" t="s">
        <v>571</v>
      </c>
      <c r="G121" s="7">
        <f t="shared" si="3"/>
        <v>515</v>
      </c>
      <c r="H121" s="7">
        <v>110</v>
      </c>
      <c r="I121" s="7">
        <v>85</v>
      </c>
      <c r="J121" s="7">
        <v>95</v>
      </c>
      <c r="K121" s="7">
        <v>80</v>
      </c>
      <c r="L121" s="7">
        <v>95</v>
      </c>
      <c r="M121" s="7">
        <v>50</v>
      </c>
    </row>
    <row r="122" spans="1:13" ht="15.75" customHeight="1" x14ac:dyDescent="0.25">
      <c r="A122" s="4">
        <v>121</v>
      </c>
      <c r="B122" s="5" t="s">
        <v>142</v>
      </c>
      <c r="C122" s="6" t="s">
        <v>15</v>
      </c>
      <c r="D122" s="6"/>
      <c r="E122" s="6" t="s">
        <v>581</v>
      </c>
      <c r="G122" s="7">
        <f t="shared" si="3"/>
        <v>340</v>
      </c>
      <c r="H122" s="7">
        <v>40</v>
      </c>
      <c r="I122" s="7">
        <v>65</v>
      </c>
      <c r="J122" s="7">
        <v>95</v>
      </c>
      <c r="K122" s="7">
        <v>60</v>
      </c>
      <c r="L122" s="7">
        <v>45</v>
      </c>
      <c r="M122" s="7">
        <v>35</v>
      </c>
    </row>
    <row r="123" spans="1:13" ht="15.75" customHeight="1" x14ac:dyDescent="0.25">
      <c r="A123" s="4">
        <v>122</v>
      </c>
      <c r="B123" s="5" t="s">
        <v>143</v>
      </c>
      <c r="C123" s="6" t="s">
        <v>15</v>
      </c>
      <c r="D123" s="6"/>
      <c r="E123" s="6" t="s">
        <v>581</v>
      </c>
      <c r="G123" s="7">
        <f t="shared" si="3"/>
        <v>490</v>
      </c>
      <c r="H123" s="7">
        <v>65</v>
      </c>
      <c r="I123" s="7">
        <v>90</v>
      </c>
      <c r="J123" s="7">
        <v>120</v>
      </c>
      <c r="K123" s="7">
        <v>85</v>
      </c>
      <c r="L123" s="7">
        <v>70</v>
      </c>
      <c r="M123" s="7">
        <v>60</v>
      </c>
    </row>
    <row r="124" spans="1:13" ht="15.75" customHeight="1" x14ac:dyDescent="0.25">
      <c r="A124" s="4">
        <v>123</v>
      </c>
      <c r="B124" s="5" t="s">
        <v>144</v>
      </c>
      <c r="C124" s="6" t="s">
        <v>54</v>
      </c>
      <c r="D124" s="6" t="s">
        <v>104</v>
      </c>
      <c r="E124" s="6" t="s">
        <v>586</v>
      </c>
      <c r="F124" s="6" t="s">
        <v>569</v>
      </c>
      <c r="G124" s="7">
        <f t="shared" si="3"/>
        <v>345</v>
      </c>
      <c r="H124" s="7">
        <v>80</v>
      </c>
      <c r="I124" s="7">
        <v>85</v>
      </c>
      <c r="J124" s="7">
        <v>95</v>
      </c>
      <c r="K124" s="7">
        <v>30</v>
      </c>
      <c r="L124" s="7">
        <v>30</v>
      </c>
      <c r="M124" s="7">
        <v>25</v>
      </c>
    </row>
    <row r="125" spans="1:13" ht="15.75" customHeight="1" x14ac:dyDescent="0.25">
      <c r="A125" s="4">
        <v>124</v>
      </c>
      <c r="B125" s="5" t="s">
        <v>145</v>
      </c>
      <c r="C125" s="6" t="s">
        <v>54</v>
      </c>
      <c r="D125" s="6" t="s">
        <v>104</v>
      </c>
      <c r="E125" s="6" t="s">
        <v>586</v>
      </c>
      <c r="F125" s="6" t="s">
        <v>569</v>
      </c>
      <c r="G125" s="7">
        <f t="shared" si="3"/>
        <v>485</v>
      </c>
      <c r="H125" s="7">
        <v>105</v>
      </c>
      <c r="I125" s="7">
        <v>130</v>
      </c>
      <c r="J125" s="7">
        <v>120</v>
      </c>
      <c r="K125" s="7">
        <v>45</v>
      </c>
      <c r="L125" s="7">
        <v>45</v>
      </c>
      <c r="M125" s="7">
        <v>40</v>
      </c>
    </row>
    <row r="126" spans="1:13" ht="15.75" customHeight="1" x14ac:dyDescent="0.25">
      <c r="A126" s="4">
        <v>125</v>
      </c>
      <c r="B126" s="5" t="s">
        <v>499</v>
      </c>
      <c r="C126" s="6" t="s">
        <v>54</v>
      </c>
      <c r="D126" s="6" t="s">
        <v>104</v>
      </c>
      <c r="E126" s="6" t="s">
        <v>586</v>
      </c>
      <c r="F126" s="6" t="s">
        <v>637</v>
      </c>
      <c r="G126" s="7">
        <f t="shared" si="3"/>
        <v>535</v>
      </c>
      <c r="H126" s="7">
        <v>115</v>
      </c>
      <c r="I126" s="7">
        <v>140</v>
      </c>
      <c r="J126" s="7">
        <v>130</v>
      </c>
      <c r="K126" s="7">
        <v>55</v>
      </c>
      <c r="L126" s="7">
        <v>55</v>
      </c>
      <c r="M126" s="7">
        <v>40</v>
      </c>
    </row>
    <row r="127" spans="1:13" ht="15.75" customHeight="1" x14ac:dyDescent="0.25">
      <c r="A127" s="4">
        <v>126</v>
      </c>
      <c r="B127" s="5" t="s">
        <v>475</v>
      </c>
      <c r="C127" s="6" t="s">
        <v>41</v>
      </c>
      <c r="D127" s="6"/>
      <c r="E127" s="6" t="s">
        <v>590</v>
      </c>
      <c r="F127" s="6" t="s">
        <v>615</v>
      </c>
      <c r="G127" s="7">
        <f t="shared" si="3"/>
        <v>220</v>
      </c>
      <c r="H127" s="7">
        <v>100</v>
      </c>
      <c r="I127" s="7">
        <v>5</v>
      </c>
      <c r="J127" s="7">
        <v>5</v>
      </c>
      <c r="K127" s="7">
        <v>15</v>
      </c>
      <c r="L127" s="7">
        <v>65</v>
      </c>
      <c r="M127" s="7">
        <v>30</v>
      </c>
    </row>
    <row r="128" spans="1:13" ht="15.75" customHeight="1" x14ac:dyDescent="0.25">
      <c r="A128" s="4">
        <v>127</v>
      </c>
      <c r="B128" s="5" t="s">
        <v>146</v>
      </c>
      <c r="C128" s="6" t="s">
        <v>41</v>
      </c>
      <c r="D128" s="6"/>
      <c r="E128" s="6" t="s">
        <v>590</v>
      </c>
      <c r="F128" s="6" t="s">
        <v>591</v>
      </c>
      <c r="G128" s="7">
        <f t="shared" si="3"/>
        <v>450</v>
      </c>
      <c r="H128" s="7">
        <v>250</v>
      </c>
      <c r="I128" s="7">
        <v>5</v>
      </c>
      <c r="J128" s="7">
        <v>5</v>
      </c>
      <c r="K128" s="7">
        <v>35</v>
      </c>
      <c r="L128" s="7">
        <v>105</v>
      </c>
      <c r="M128" s="7">
        <v>50</v>
      </c>
    </row>
    <row r="129" spans="1:13" ht="15.75" customHeight="1" x14ac:dyDescent="0.25">
      <c r="A129" s="4">
        <v>128</v>
      </c>
      <c r="B129" s="5" t="s">
        <v>277</v>
      </c>
      <c r="C129" s="6" t="s">
        <v>41</v>
      </c>
      <c r="D129" s="6"/>
      <c r="E129" s="6" t="s">
        <v>590</v>
      </c>
      <c r="F129" s="6" t="s">
        <v>591</v>
      </c>
      <c r="G129" s="7">
        <f t="shared" si="3"/>
        <v>540</v>
      </c>
      <c r="H129" s="7">
        <v>255</v>
      </c>
      <c r="I129" s="7">
        <v>10</v>
      </c>
      <c r="J129" s="7">
        <v>10</v>
      </c>
      <c r="K129" s="7">
        <v>75</v>
      </c>
      <c r="L129" s="7">
        <v>135</v>
      </c>
      <c r="M129" s="7">
        <v>55</v>
      </c>
    </row>
    <row r="130" spans="1:13" ht="15.75" customHeight="1" x14ac:dyDescent="0.25">
      <c r="A130" s="4">
        <v>129</v>
      </c>
      <c r="B130" s="5" t="s">
        <v>147</v>
      </c>
      <c r="C130" s="6" t="s">
        <v>14</v>
      </c>
      <c r="D130" s="6"/>
      <c r="E130" s="6" t="s">
        <v>17</v>
      </c>
      <c r="F130" s="6" t="s">
        <v>592</v>
      </c>
      <c r="G130" s="7">
        <f t="shared" si="3"/>
        <v>435</v>
      </c>
      <c r="H130" s="7">
        <v>65</v>
      </c>
      <c r="I130" s="7">
        <v>55</v>
      </c>
      <c r="J130" s="7">
        <v>115</v>
      </c>
      <c r="K130" s="7">
        <v>100</v>
      </c>
      <c r="L130" s="7">
        <v>40</v>
      </c>
      <c r="M130" s="7">
        <v>60</v>
      </c>
    </row>
    <row r="131" spans="1:13" ht="15.75" customHeight="1" x14ac:dyDescent="0.25">
      <c r="A131" s="4">
        <v>130</v>
      </c>
      <c r="B131" s="5" t="s">
        <v>500</v>
      </c>
      <c r="C131" s="6" t="s">
        <v>14</v>
      </c>
      <c r="D131" s="6"/>
      <c r="E131" s="6" t="s">
        <v>17</v>
      </c>
      <c r="F131" s="6" t="s">
        <v>592</v>
      </c>
      <c r="G131" s="7">
        <f t="shared" si="3"/>
        <v>535</v>
      </c>
      <c r="H131" s="7">
        <v>100</v>
      </c>
      <c r="I131" s="7">
        <v>100</v>
      </c>
      <c r="J131" s="7">
        <v>125</v>
      </c>
      <c r="K131" s="7">
        <v>110</v>
      </c>
      <c r="L131" s="7">
        <v>50</v>
      </c>
      <c r="M131" s="7">
        <v>50</v>
      </c>
    </row>
    <row r="132" spans="1:13" ht="15.75" customHeight="1" x14ac:dyDescent="0.25">
      <c r="A132" s="4">
        <v>131</v>
      </c>
      <c r="B132" s="5" t="s">
        <v>148</v>
      </c>
      <c r="C132" s="6" t="s">
        <v>41</v>
      </c>
      <c r="D132" s="6"/>
      <c r="E132" s="6" t="s">
        <v>574</v>
      </c>
      <c r="F132" s="6" t="s">
        <v>593</v>
      </c>
      <c r="G132" s="7">
        <f t="shared" si="3"/>
        <v>490</v>
      </c>
      <c r="H132" s="7">
        <v>105</v>
      </c>
      <c r="I132" s="7">
        <v>95</v>
      </c>
      <c r="J132" s="7">
        <v>80</v>
      </c>
      <c r="K132" s="7">
        <v>40</v>
      </c>
      <c r="L132" s="7">
        <v>80</v>
      </c>
      <c r="M132" s="7">
        <v>90</v>
      </c>
    </row>
    <row r="133" spans="1:13" ht="15.75" customHeight="1" x14ac:dyDescent="0.25">
      <c r="A133" s="4">
        <v>132</v>
      </c>
      <c r="B133" s="5" t="s">
        <v>149</v>
      </c>
      <c r="C133" s="6" t="s">
        <v>28</v>
      </c>
      <c r="D133" s="6"/>
      <c r="E133" s="6" t="s">
        <v>594</v>
      </c>
      <c r="F133" s="6" t="s">
        <v>595</v>
      </c>
      <c r="G133" s="7">
        <f t="shared" si="3"/>
        <v>295</v>
      </c>
      <c r="H133" s="7">
        <v>30</v>
      </c>
      <c r="I133" s="7">
        <v>40</v>
      </c>
      <c r="J133" s="7">
        <v>70</v>
      </c>
      <c r="K133" s="7">
        <v>70</v>
      </c>
      <c r="L133" s="7">
        <v>25</v>
      </c>
      <c r="M133" s="7">
        <v>60</v>
      </c>
    </row>
    <row r="134" spans="1:13" ht="15.75" customHeight="1" x14ac:dyDescent="0.25">
      <c r="A134" s="4">
        <v>133</v>
      </c>
      <c r="B134" s="5" t="s">
        <v>150</v>
      </c>
      <c r="C134" s="6" t="s">
        <v>28</v>
      </c>
      <c r="D134" s="6"/>
      <c r="E134" s="6" t="s">
        <v>547</v>
      </c>
      <c r="F134" s="6" t="s">
        <v>595</v>
      </c>
      <c r="G134" s="7">
        <f t="shared" si="3"/>
        <v>440</v>
      </c>
      <c r="H134" s="7">
        <v>55</v>
      </c>
      <c r="I134" s="7">
        <v>65</v>
      </c>
      <c r="J134" s="7">
        <v>95</v>
      </c>
      <c r="K134" s="7">
        <v>95</v>
      </c>
      <c r="L134" s="7">
        <v>45</v>
      </c>
      <c r="M134" s="7">
        <v>85</v>
      </c>
    </row>
    <row r="135" spans="1:13" ht="15.75" customHeight="1" x14ac:dyDescent="0.25">
      <c r="A135" s="4">
        <v>134</v>
      </c>
      <c r="B135" s="5" t="s">
        <v>265</v>
      </c>
      <c r="C135" s="6" t="s">
        <v>28</v>
      </c>
      <c r="D135" s="6" t="s">
        <v>181</v>
      </c>
      <c r="E135" s="6" t="s">
        <v>594</v>
      </c>
      <c r="F135" s="6" t="s">
        <v>595</v>
      </c>
      <c r="G135" s="7">
        <f t="shared" si="3"/>
        <v>540</v>
      </c>
      <c r="H135" s="7">
        <v>75</v>
      </c>
      <c r="I135" s="7">
        <v>95</v>
      </c>
      <c r="J135" s="7">
        <v>95</v>
      </c>
      <c r="K135" s="7">
        <v>95</v>
      </c>
      <c r="L135" s="7">
        <v>95</v>
      </c>
      <c r="M135" s="7">
        <v>85</v>
      </c>
    </row>
    <row r="136" spans="1:13" ht="15.75" customHeight="1" x14ac:dyDescent="0.25">
      <c r="A136" s="4">
        <v>135</v>
      </c>
      <c r="B136" s="5" t="s">
        <v>151</v>
      </c>
      <c r="C136" s="6" t="s">
        <v>28</v>
      </c>
      <c r="D136" s="6"/>
      <c r="E136" s="6" t="s">
        <v>594</v>
      </c>
      <c r="F136" s="6" t="s">
        <v>596</v>
      </c>
      <c r="G136" s="7">
        <f t="shared" si="3"/>
        <v>320</v>
      </c>
      <c r="H136" s="7">
        <v>45</v>
      </c>
      <c r="I136" s="7">
        <v>67</v>
      </c>
      <c r="J136" s="7">
        <v>60</v>
      </c>
      <c r="K136" s="7">
        <v>35</v>
      </c>
      <c r="L136" s="7">
        <v>50</v>
      </c>
      <c r="M136" s="7">
        <v>63</v>
      </c>
    </row>
    <row r="137" spans="1:13" ht="15.75" customHeight="1" x14ac:dyDescent="0.25">
      <c r="A137" s="4">
        <v>136</v>
      </c>
      <c r="B137" s="5" t="s">
        <v>152</v>
      </c>
      <c r="C137" s="6" t="s">
        <v>28</v>
      </c>
      <c r="D137" s="6"/>
      <c r="E137" s="6" t="s">
        <v>594</v>
      </c>
      <c r="F137" s="6" t="s">
        <v>596</v>
      </c>
      <c r="G137" s="7">
        <f t="shared" si="3"/>
        <v>450</v>
      </c>
      <c r="H137" s="7">
        <v>80</v>
      </c>
      <c r="I137" s="7">
        <v>92</v>
      </c>
      <c r="J137" s="7">
        <v>65</v>
      </c>
      <c r="K137" s="7">
        <v>65</v>
      </c>
      <c r="L137" s="7">
        <v>80</v>
      </c>
      <c r="M137" s="7">
        <v>68</v>
      </c>
    </row>
    <row r="138" spans="1:13" ht="15.75" customHeight="1" x14ac:dyDescent="0.25">
      <c r="A138" s="4">
        <v>137</v>
      </c>
      <c r="B138" s="5" t="s">
        <v>153</v>
      </c>
      <c r="C138" s="6" t="s">
        <v>28</v>
      </c>
      <c r="D138" s="6"/>
      <c r="E138" s="6" t="s">
        <v>597</v>
      </c>
      <c r="F138" s="6" t="s">
        <v>590</v>
      </c>
      <c r="G138" s="7">
        <f t="shared" si="3"/>
        <v>340</v>
      </c>
      <c r="H138" s="7">
        <v>30</v>
      </c>
      <c r="I138" s="7">
        <v>45</v>
      </c>
      <c r="J138" s="7">
        <v>55</v>
      </c>
      <c r="K138" s="7">
        <v>70</v>
      </c>
      <c r="L138" s="7">
        <v>55</v>
      </c>
      <c r="M138" s="7">
        <v>85</v>
      </c>
    </row>
    <row r="139" spans="1:13" ht="15.75" customHeight="1" x14ac:dyDescent="0.25">
      <c r="A139" s="4">
        <v>138</v>
      </c>
      <c r="B139" s="5" t="s">
        <v>154</v>
      </c>
      <c r="C139" s="6" t="s">
        <v>28</v>
      </c>
      <c r="D139" s="6" t="s">
        <v>92</v>
      </c>
      <c r="E139" s="6" t="s">
        <v>597</v>
      </c>
      <c r="F139" s="6" t="s">
        <v>590</v>
      </c>
      <c r="G139" s="7">
        <f t="shared" si="3"/>
        <v>520</v>
      </c>
      <c r="H139" s="7">
        <v>60</v>
      </c>
      <c r="I139" s="7">
        <v>75</v>
      </c>
      <c r="J139" s="7">
        <v>85</v>
      </c>
      <c r="K139" s="7">
        <v>100</v>
      </c>
      <c r="L139" s="7">
        <v>85</v>
      </c>
      <c r="M139" s="7">
        <v>115</v>
      </c>
    </row>
    <row r="140" spans="1:13" ht="15.75" customHeight="1" x14ac:dyDescent="0.25">
      <c r="A140" s="4">
        <v>139</v>
      </c>
      <c r="B140" s="5" t="s">
        <v>474</v>
      </c>
      <c r="C140" s="6" t="s">
        <v>92</v>
      </c>
      <c r="D140" s="6"/>
      <c r="E140" s="6" t="s">
        <v>585</v>
      </c>
      <c r="F140" s="6" t="s">
        <v>654</v>
      </c>
      <c r="G140" s="7">
        <f t="shared" si="3"/>
        <v>310</v>
      </c>
      <c r="H140" s="7">
        <v>20</v>
      </c>
      <c r="I140" s="7">
        <v>25</v>
      </c>
      <c r="J140" s="7">
        <v>45</v>
      </c>
      <c r="K140" s="7">
        <v>70</v>
      </c>
      <c r="L140" s="7">
        <v>90</v>
      </c>
      <c r="M140" s="7">
        <v>60</v>
      </c>
    </row>
    <row r="141" spans="1:13" ht="15.75" customHeight="1" x14ac:dyDescent="0.25">
      <c r="A141" s="4">
        <v>140</v>
      </c>
      <c r="B141" s="5" t="s">
        <v>155</v>
      </c>
      <c r="C141" s="6" t="s">
        <v>92</v>
      </c>
      <c r="D141" s="6"/>
      <c r="E141" s="6" t="s">
        <v>585</v>
      </c>
      <c r="F141" s="6" t="s">
        <v>30</v>
      </c>
      <c r="G141" s="7">
        <f t="shared" si="3"/>
        <v>460</v>
      </c>
      <c r="H141" s="7">
        <v>40</v>
      </c>
      <c r="I141" s="7">
        <v>45</v>
      </c>
      <c r="J141" s="7">
        <v>65</v>
      </c>
      <c r="K141" s="7">
        <v>100</v>
      </c>
      <c r="L141" s="7">
        <v>120</v>
      </c>
      <c r="M141" s="7">
        <v>90</v>
      </c>
    </row>
    <row r="142" spans="1:13" ht="15.75" customHeight="1" x14ac:dyDescent="0.25">
      <c r="A142" s="4">
        <v>141</v>
      </c>
      <c r="B142" s="5" t="s">
        <v>156</v>
      </c>
      <c r="C142" s="6" t="s">
        <v>34</v>
      </c>
      <c r="D142" s="6" t="s">
        <v>26</v>
      </c>
      <c r="E142" s="6" t="s">
        <v>905</v>
      </c>
      <c r="F142" s="6" t="s">
        <v>558</v>
      </c>
      <c r="G142" s="7">
        <f t="shared" si="3"/>
        <v>500</v>
      </c>
      <c r="H142" s="7">
        <v>70</v>
      </c>
      <c r="I142" s="7">
        <v>110</v>
      </c>
      <c r="J142" s="7">
        <v>80</v>
      </c>
      <c r="K142" s="7">
        <v>55</v>
      </c>
      <c r="L142" s="7">
        <v>80</v>
      </c>
      <c r="M142" s="7">
        <v>105</v>
      </c>
    </row>
    <row r="143" spans="1:13" ht="15.75" customHeight="1" x14ac:dyDescent="0.25">
      <c r="A143" s="4">
        <v>142</v>
      </c>
      <c r="B143" s="5" t="s">
        <v>247</v>
      </c>
      <c r="C143" s="6" t="s">
        <v>34</v>
      </c>
      <c r="D143" s="6" t="s">
        <v>112</v>
      </c>
      <c r="E143" s="6" t="s">
        <v>539</v>
      </c>
      <c r="F143" s="6" t="s">
        <v>558</v>
      </c>
      <c r="G143" s="7">
        <f t="shared" si="3"/>
        <v>500</v>
      </c>
      <c r="H143" s="7">
        <v>70</v>
      </c>
      <c r="I143" s="7">
        <v>130</v>
      </c>
      <c r="J143" s="7">
        <v>100</v>
      </c>
      <c r="K143" s="7">
        <v>55</v>
      </c>
      <c r="L143" s="7">
        <v>80</v>
      </c>
      <c r="M143" s="7">
        <v>65</v>
      </c>
    </row>
    <row r="144" spans="1:13" ht="15.75" customHeight="1" x14ac:dyDescent="0.25">
      <c r="A144" s="4">
        <v>143</v>
      </c>
      <c r="B144" s="5" t="s">
        <v>1164</v>
      </c>
      <c r="C144" s="6" t="s">
        <v>34</v>
      </c>
      <c r="D144" s="6" t="s">
        <v>104</v>
      </c>
      <c r="E144" s="6" t="s">
        <v>539</v>
      </c>
      <c r="F144" s="6" t="s">
        <v>843</v>
      </c>
      <c r="G144" s="7">
        <f t="shared" si="3"/>
        <v>500</v>
      </c>
      <c r="H144" s="7">
        <v>70</v>
      </c>
      <c r="I144" s="7">
        <v>135</v>
      </c>
      <c r="J144" s="7">
        <v>95</v>
      </c>
      <c r="K144" s="7">
        <v>45</v>
      </c>
      <c r="L144" s="7">
        <v>70</v>
      </c>
      <c r="M144" s="7">
        <v>85</v>
      </c>
    </row>
    <row r="145" spans="1:13" ht="15.75" customHeight="1" x14ac:dyDescent="0.25">
      <c r="A145" s="4">
        <v>144</v>
      </c>
      <c r="B145" s="5" t="s">
        <v>273</v>
      </c>
      <c r="C145" s="6" t="s">
        <v>119</v>
      </c>
      <c r="D145" s="6" t="s">
        <v>92</v>
      </c>
      <c r="E145" s="6" t="s">
        <v>571</v>
      </c>
      <c r="F145" s="6" t="s">
        <v>583</v>
      </c>
      <c r="G145" s="7">
        <f t="shared" si="3"/>
        <v>305</v>
      </c>
      <c r="H145" s="7">
        <v>45</v>
      </c>
      <c r="I145" s="7">
        <v>30</v>
      </c>
      <c r="J145" s="7">
        <v>15</v>
      </c>
      <c r="K145" s="7">
        <v>85</v>
      </c>
      <c r="L145" s="7">
        <v>65</v>
      </c>
      <c r="M145" s="7">
        <v>65</v>
      </c>
    </row>
    <row r="146" spans="1:13" ht="15.75" customHeight="1" x14ac:dyDescent="0.25">
      <c r="A146" s="4">
        <v>145</v>
      </c>
      <c r="B146" s="5" t="s">
        <v>157</v>
      </c>
      <c r="C146" s="6" t="s">
        <v>119</v>
      </c>
      <c r="D146" s="6" t="s">
        <v>92</v>
      </c>
      <c r="E146" s="6" t="s">
        <v>571</v>
      </c>
      <c r="F146" s="6" t="s">
        <v>583</v>
      </c>
      <c r="G146" s="7">
        <f t="shared" si="3"/>
        <v>455</v>
      </c>
      <c r="H146" s="7">
        <v>65</v>
      </c>
      <c r="I146" s="7">
        <v>50</v>
      </c>
      <c r="J146" s="7">
        <v>35</v>
      </c>
      <c r="K146" s="7">
        <v>115</v>
      </c>
      <c r="L146" s="7">
        <v>95</v>
      </c>
      <c r="M146" s="7">
        <v>95</v>
      </c>
    </row>
    <row r="147" spans="1:13" ht="15.75" customHeight="1" x14ac:dyDescent="0.25">
      <c r="A147" s="4">
        <v>146</v>
      </c>
      <c r="B147" s="5" t="s">
        <v>274</v>
      </c>
      <c r="C147" s="6" t="s">
        <v>51</v>
      </c>
      <c r="D147" s="6"/>
      <c r="E147" s="6" t="s">
        <v>545</v>
      </c>
      <c r="G147" s="7">
        <f t="shared" si="3"/>
        <v>360</v>
      </c>
      <c r="H147" s="7">
        <v>45</v>
      </c>
      <c r="I147" s="7">
        <v>63</v>
      </c>
      <c r="J147" s="7">
        <v>37</v>
      </c>
      <c r="K147" s="7">
        <v>65</v>
      </c>
      <c r="L147" s="7">
        <v>55</v>
      </c>
      <c r="M147" s="7">
        <v>95</v>
      </c>
    </row>
    <row r="148" spans="1:13" ht="15.75" customHeight="1" x14ac:dyDescent="0.25">
      <c r="A148" s="4">
        <v>147</v>
      </c>
      <c r="B148" s="5" t="s">
        <v>158</v>
      </c>
      <c r="C148" s="6" t="s">
        <v>51</v>
      </c>
      <c r="D148" s="6"/>
      <c r="E148" s="6" t="s">
        <v>545</v>
      </c>
      <c r="G148" s="7">
        <f t="shared" si="3"/>
        <v>490</v>
      </c>
      <c r="H148" s="7">
        <v>65</v>
      </c>
      <c r="I148" s="7">
        <v>83</v>
      </c>
      <c r="J148" s="7">
        <v>57</v>
      </c>
      <c r="K148" s="7">
        <v>95</v>
      </c>
      <c r="L148" s="7">
        <v>85</v>
      </c>
      <c r="M148" s="7">
        <v>105</v>
      </c>
    </row>
    <row r="149" spans="1:13" ht="15.75" customHeight="1" x14ac:dyDescent="0.25">
      <c r="A149" s="4">
        <v>148</v>
      </c>
      <c r="B149" s="5" t="s">
        <v>501</v>
      </c>
      <c r="C149" s="6" t="s">
        <v>51</v>
      </c>
      <c r="D149" s="6"/>
      <c r="E149" s="6" t="s">
        <v>656</v>
      </c>
      <c r="G149" s="7">
        <f t="shared" si="3"/>
        <v>540</v>
      </c>
      <c r="H149" s="7">
        <v>75</v>
      </c>
      <c r="I149" s="7">
        <v>123</v>
      </c>
      <c r="J149" s="7">
        <v>67</v>
      </c>
      <c r="K149" s="7">
        <v>95</v>
      </c>
      <c r="L149" s="7">
        <v>85</v>
      </c>
      <c r="M149" s="7">
        <v>95</v>
      </c>
    </row>
    <row r="150" spans="1:13" ht="15.75" customHeight="1" x14ac:dyDescent="0.25">
      <c r="A150" s="4">
        <v>149</v>
      </c>
      <c r="B150" s="5" t="s">
        <v>275</v>
      </c>
      <c r="C150" s="6" t="s">
        <v>21</v>
      </c>
      <c r="D150" s="6"/>
      <c r="E150" s="6" t="s">
        <v>598</v>
      </c>
      <c r="G150" s="7">
        <f t="shared" si="3"/>
        <v>365</v>
      </c>
      <c r="H150" s="7">
        <v>45</v>
      </c>
      <c r="I150" s="7">
        <v>75</v>
      </c>
      <c r="J150" s="7">
        <v>37</v>
      </c>
      <c r="K150" s="7">
        <v>70</v>
      </c>
      <c r="L150" s="7">
        <v>55</v>
      </c>
      <c r="M150" s="7">
        <v>83</v>
      </c>
    </row>
    <row r="151" spans="1:13" ht="15.75" customHeight="1" x14ac:dyDescent="0.25">
      <c r="A151" s="4">
        <v>150</v>
      </c>
      <c r="B151" s="5" t="s">
        <v>159</v>
      </c>
      <c r="C151" s="6" t="s">
        <v>21</v>
      </c>
      <c r="D151" s="6"/>
      <c r="E151" s="6" t="s">
        <v>598</v>
      </c>
      <c r="G151" s="7">
        <f t="shared" si="3"/>
        <v>495</v>
      </c>
      <c r="H151" s="7">
        <v>65</v>
      </c>
      <c r="I151" s="7">
        <v>95</v>
      </c>
      <c r="J151" s="7">
        <v>57</v>
      </c>
      <c r="K151" s="7">
        <v>100</v>
      </c>
      <c r="L151" s="7">
        <v>85</v>
      </c>
      <c r="M151" s="7">
        <v>93</v>
      </c>
    </row>
    <row r="152" spans="1:13" ht="15.75" customHeight="1" x14ac:dyDescent="0.25">
      <c r="A152" s="4">
        <v>151</v>
      </c>
      <c r="B152" s="5" t="s">
        <v>502</v>
      </c>
      <c r="C152" s="6" t="s">
        <v>21</v>
      </c>
      <c r="D152" s="6"/>
      <c r="E152" s="6" t="s">
        <v>598</v>
      </c>
      <c r="G152" s="7">
        <f t="shared" si="3"/>
        <v>540</v>
      </c>
      <c r="H152" s="7">
        <v>75</v>
      </c>
      <c r="I152" s="7">
        <v>95</v>
      </c>
      <c r="J152" s="7">
        <v>67</v>
      </c>
      <c r="K152" s="7">
        <v>125</v>
      </c>
      <c r="L152" s="7">
        <v>95</v>
      </c>
      <c r="M152" s="7">
        <v>83</v>
      </c>
    </row>
    <row r="153" spans="1:13" ht="15.75" customHeight="1" x14ac:dyDescent="0.25">
      <c r="A153" s="4">
        <v>152</v>
      </c>
      <c r="B153" s="5" t="s">
        <v>160</v>
      </c>
      <c r="C153" s="6" t="s">
        <v>34</v>
      </c>
      <c r="D153" s="6"/>
      <c r="E153" s="6" t="s">
        <v>584</v>
      </c>
      <c r="F153" s="6" t="s">
        <v>599</v>
      </c>
      <c r="G153" s="7">
        <f t="shared" si="3"/>
        <v>500</v>
      </c>
      <c r="H153" s="7">
        <v>65</v>
      </c>
      <c r="I153" s="7">
        <v>125</v>
      </c>
      <c r="J153" s="7">
        <v>100</v>
      </c>
      <c r="K153" s="7">
        <v>55</v>
      </c>
      <c r="L153" s="7">
        <v>70</v>
      </c>
      <c r="M153" s="7">
        <v>85</v>
      </c>
    </row>
    <row r="154" spans="1:13" ht="15.75" customHeight="1" x14ac:dyDescent="0.25">
      <c r="A154" s="4">
        <v>153</v>
      </c>
      <c r="B154" s="5" t="s">
        <v>161</v>
      </c>
      <c r="C154" s="6" t="s">
        <v>41</v>
      </c>
      <c r="D154" s="6"/>
      <c r="E154" s="6" t="s">
        <v>544</v>
      </c>
      <c r="F154" s="6" t="s">
        <v>563</v>
      </c>
      <c r="G154" s="7">
        <f t="shared" si="3"/>
        <v>490</v>
      </c>
      <c r="H154" s="7">
        <v>75</v>
      </c>
      <c r="I154" s="7">
        <v>100</v>
      </c>
      <c r="J154" s="7">
        <v>95</v>
      </c>
      <c r="K154" s="7">
        <v>40</v>
      </c>
      <c r="L154" s="7">
        <v>70</v>
      </c>
      <c r="M154" s="7">
        <v>110</v>
      </c>
    </row>
    <row r="155" spans="1:13" ht="15.75" customHeight="1" x14ac:dyDescent="0.25">
      <c r="A155" s="4">
        <v>154</v>
      </c>
      <c r="B155" s="5" t="s">
        <v>162</v>
      </c>
      <c r="C155" s="6" t="s">
        <v>28</v>
      </c>
      <c r="D155" s="6"/>
      <c r="E155" s="6" t="s">
        <v>594</v>
      </c>
      <c r="G155" s="7">
        <f t="shared" si="3"/>
        <v>200</v>
      </c>
      <c r="H155" s="7">
        <v>20</v>
      </c>
      <c r="I155" s="7">
        <v>10</v>
      </c>
      <c r="J155" s="7">
        <v>55</v>
      </c>
      <c r="K155" s="7">
        <v>15</v>
      </c>
      <c r="L155" s="7">
        <v>20</v>
      </c>
      <c r="M155" s="7">
        <v>80</v>
      </c>
    </row>
    <row r="156" spans="1:13" ht="15.75" customHeight="1" x14ac:dyDescent="0.25">
      <c r="A156" s="4">
        <v>155</v>
      </c>
      <c r="B156" s="5" t="s">
        <v>163</v>
      </c>
      <c r="C156" s="6" t="s">
        <v>28</v>
      </c>
      <c r="D156" s="6" t="s">
        <v>26</v>
      </c>
      <c r="E156" s="6" t="s">
        <v>544</v>
      </c>
      <c r="G156" s="7">
        <f t="shared" si="3"/>
        <v>540</v>
      </c>
      <c r="H156" s="7">
        <v>95</v>
      </c>
      <c r="I156" s="7">
        <v>125</v>
      </c>
      <c r="J156" s="7">
        <v>79</v>
      </c>
      <c r="K156" s="7">
        <v>60</v>
      </c>
      <c r="L156" s="7">
        <v>100</v>
      </c>
      <c r="M156" s="7">
        <v>81</v>
      </c>
    </row>
    <row r="157" spans="1:13" ht="15.75" customHeight="1" x14ac:dyDescent="0.25">
      <c r="A157" s="4">
        <v>156</v>
      </c>
      <c r="B157" s="5" t="s">
        <v>164</v>
      </c>
      <c r="C157" s="6" t="s">
        <v>28</v>
      </c>
      <c r="D157" s="6"/>
      <c r="E157" s="6" t="s">
        <v>564</v>
      </c>
      <c r="F157" s="6" t="s">
        <v>579</v>
      </c>
      <c r="G157" s="7">
        <f t="shared" si="3"/>
        <v>535</v>
      </c>
      <c r="H157" s="7">
        <v>130</v>
      </c>
      <c r="I157" s="7">
        <v>85</v>
      </c>
      <c r="J157" s="7">
        <v>80</v>
      </c>
      <c r="K157" s="7">
        <v>85</v>
      </c>
      <c r="L157" s="7">
        <v>95</v>
      </c>
      <c r="M157" s="7">
        <v>60</v>
      </c>
    </row>
    <row r="158" spans="1:13" ht="15.75" customHeight="1" x14ac:dyDescent="0.25">
      <c r="A158" s="4">
        <v>157</v>
      </c>
      <c r="B158" s="5" t="s">
        <v>165</v>
      </c>
      <c r="C158" s="6" t="s">
        <v>41</v>
      </c>
      <c r="D158" s="6"/>
      <c r="E158" s="6" t="s">
        <v>1138</v>
      </c>
      <c r="G158" s="7">
        <f t="shared" si="3"/>
        <v>288</v>
      </c>
      <c r="H158" s="7">
        <v>48</v>
      </c>
      <c r="I158" s="7">
        <v>48</v>
      </c>
      <c r="J158" s="7">
        <v>48</v>
      </c>
      <c r="K158" s="7">
        <v>48</v>
      </c>
      <c r="L158" s="7">
        <v>48</v>
      </c>
      <c r="M158" s="7">
        <v>48</v>
      </c>
    </row>
    <row r="159" spans="1:13" ht="15.75" customHeight="1" x14ac:dyDescent="0.25">
      <c r="A159" s="4">
        <v>158</v>
      </c>
      <c r="B159" s="5" t="s">
        <v>166</v>
      </c>
      <c r="C159" s="6" t="s">
        <v>41</v>
      </c>
      <c r="D159" s="6"/>
      <c r="E159" s="6" t="s">
        <v>542</v>
      </c>
      <c r="F159" s="6" t="s">
        <v>600</v>
      </c>
      <c r="G159" s="7">
        <f t="shared" si="3"/>
        <v>325</v>
      </c>
      <c r="H159" s="7">
        <v>55</v>
      </c>
      <c r="I159" s="7">
        <v>55</v>
      </c>
      <c r="J159" s="7">
        <v>50</v>
      </c>
      <c r="K159" s="7">
        <v>45</v>
      </c>
      <c r="L159" s="7">
        <v>65</v>
      </c>
      <c r="M159" s="7">
        <v>55</v>
      </c>
    </row>
    <row r="160" spans="1:13" ht="15.75" customHeight="1" x14ac:dyDescent="0.25">
      <c r="A160" s="4">
        <v>159</v>
      </c>
      <c r="B160" s="5" t="s">
        <v>167</v>
      </c>
      <c r="C160" s="6" t="s">
        <v>28</v>
      </c>
      <c r="D160" s="6"/>
      <c r="E160" s="6" t="s">
        <v>564</v>
      </c>
      <c r="G160" s="7">
        <f t="shared" si="3"/>
        <v>525</v>
      </c>
      <c r="H160" s="7">
        <v>130</v>
      </c>
      <c r="I160" s="7">
        <v>65</v>
      </c>
      <c r="J160" s="7">
        <v>60</v>
      </c>
      <c r="K160" s="7">
        <v>110</v>
      </c>
      <c r="L160" s="7">
        <v>95</v>
      </c>
      <c r="M160" s="7">
        <v>65</v>
      </c>
    </row>
    <row r="161" spans="1:13" ht="15.75" customHeight="1" x14ac:dyDescent="0.25">
      <c r="A161" s="4">
        <v>160</v>
      </c>
      <c r="B161" s="5" t="s">
        <v>168</v>
      </c>
      <c r="C161" s="6" t="s">
        <v>51</v>
      </c>
      <c r="D161" s="6"/>
      <c r="E161" s="6" t="s">
        <v>601</v>
      </c>
      <c r="G161" s="7">
        <f t="shared" si="3"/>
        <v>525</v>
      </c>
      <c r="H161" s="7">
        <v>65</v>
      </c>
      <c r="I161" s="7">
        <v>65</v>
      </c>
      <c r="J161" s="7">
        <v>60</v>
      </c>
      <c r="K161" s="7">
        <v>110</v>
      </c>
      <c r="L161" s="7">
        <v>95</v>
      </c>
      <c r="M161" s="7">
        <v>130</v>
      </c>
    </row>
    <row r="162" spans="1:13" ht="15.75" customHeight="1" x14ac:dyDescent="0.25">
      <c r="A162" s="4">
        <v>161</v>
      </c>
      <c r="B162" s="5" t="s">
        <v>169</v>
      </c>
      <c r="C162" s="6" t="s">
        <v>21</v>
      </c>
      <c r="D162" s="6"/>
      <c r="E162" s="6" t="s">
        <v>551</v>
      </c>
      <c r="G162" s="7">
        <f t="shared" si="3"/>
        <v>525</v>
      </c>
      <c r="H162" s="7">
        <v>65</v>
      </c>
      <c r="I162" s="7">
        <v>130</v>
      </c>
      <c r="J162" s="7">
        <v>60</v>
      </c>
      <c r="K162" s="7">
        <v>95</v>
      </c>
      <c r="L162" s="7">
        <v>110</v>
      </c>
      <c r="M162" s="7">
        <v>65</v>
      </c>
    </row>
    <row r="163" spans="1:13" ht="15.75" customHeight="1" x14ac:dyDescent="0.25">
      <c r="A163" s="4">
        <v>162</v>
      </c>
      <c r="B163" s="5" t="s">
        <v>230</v>
      </c>
      <c r="C163" s="6" t="s">
        <v>92</v>
      </c>
      <c r="D163" s="6"/>
      <c r="E163" s="6" t="s">
        <v>565</v>
      </c>
      <c r="G163" s="7">
        <f t="shared" si="3"/>
        <v>525</v>
      </c>
      <c r="H163" s="7">
        <v>65</v>
      </c>
      <c r="I163" s="7">
        <v>65</v>
      </c>
      <c r="J163" s="7">
        <v>60</v>
      </c>
      <c r="K163" s="7">
        <v>130</v>
      </c>
      <c r="L163" s="7">
        <v>95</v>
      </c>
      <c r="M163" s="7">
        <v>110</v>
      </c>
    </row>
    <row r="164" spans="1:13" ht="15.75" customHeight="1" x14ac:dyDescent="0.25">
      <c r="A164" s="4">
        <v>163</v>
      </c>
      <c r="B164" s="5" t="s">
        <v>231</v>
      </c>
      <c r="C164" s="6" t="s">
        <v>232</v>
      </c>
      <c r="D164" s="6"/>
      <c r="E164" s="6" t="s">
        <v>565</v>
      </c>
      <c r="G164" s="7">
        <f t="shared" si="3"/>
        <v>525</v>
      </c>
      <c r="H164" s="7">
        <v>95</v>
      </c>
      <c r="I164" s="7">
        <v>65</v>
      </c>
      <c r="J164" s="7">
        <v>110</v>
      </c>
      <c r="K164" s="7">
        <v>60</v>
      </c>
      <c r="L164" s="7">
        <v>130</v>
      </c>
      <c r="M164" s="7">
        <v>65</v>
      </c>
    </row>
    <row r="165" spans="1:13" ht="15.75" customHeight="1" x14ac:dyDescent="0.25">
      <c r="A165" s="4">
        <v>164</v>
      </c>
      <c r="B165" s="5" t="s">
        <v>505</v>
      </c>
      <c r="C165" s="6" t="s">
        <v>14</v>
      </c>
      <c r="D165" s="6"/>
      <c r="E165" s="6" t="s">
        <v>592</v>
      </c>
      <c r="G165" s="7">
        <f t="shared" si="3"/>
        <v>525</v>
      </c>
      <c r="H165" s="7">
        <v>65</v>
      </c>
      <c r="I165" s="7">
        <v>110</v>
      </c>
      <c r="J165" s="7">
        <v>130</v>
      </c>
      <c r="K165" s="7">
        <v>60</v>
      </c>
      <c r="L165" s="7">
        <v>65</v>
      </c>
      <c r="M165" s="7">
        <v>95</v>
      </c>
    </row>
    <row r="166" spans="1:13" ht="15.75" customHeight="1" x14ac:dyDescent="0.25">
      <c r="A166" s="4">
        <v>165</v>
      </c>
      <c r="B166" s="5" t="s">
        <v>506</v>
      </c>
      <c r="C166" s="6" t="s">
        <v>119</v>
      </c>
      <c r="D166" s="6"/>
      <c r="E166" s="6" t="s">
        <v>619</v>
      </c>
      <c r="G166" s="7">
        <f t="shared" si="3"/>
        <v>525</v>
      </c>
      <c r="H166" s="7">
        <v>65</v>
      </c>
      <c r="I166" s="7">
        <v>60</v>
      </c>
      <c r="J166" s="7">
        <v>110</v>
      </c>
      <c r="K166" s="7">
        <v>130</v>
      </c>
      <c r="L166" s="7">
        <v>95</v>
      </c>
      <c r="M166" s="7">
        <v>65</v>
      </c>
    </row>
    <row r="167" spans="1:13" ht="15.75" customHeight="1" x14ac:dyDescent="0.25">
      <c r="A167" s="4">
        <v>166</v>
      </c>
      <c r="B167" s="5" t="s">
        <v>170</v>
      </c>
      <c r="C167" s="6" t="s">
        <v>41</v>
      </c>
      <c r="D167" s="6"/>
      <c r="E167" s="6" t="s">
        <v>602</v>
      </c>
      <c r="F167" s="6" t="s">
        <v>603</v>
      </c>
      <c r="G167" s="7">
        <f t="shared" si="3"/>
        <v>395</v>
      </c>
      <c r="H167" s="7">
        <v>65</v>
      </c>
      <c r="I167" s="7">
        <v>60</v>
      </c>
      <c r="J167" s="7">
        <v>70</v>
      </c>
      <c r="K167" s="7">
        <v>85</v>
      </c>
      <c r="L167" s="7">
        <v>75</v>
      </c>
      <c r="M167" s="7">
        <v>40</v>
      </c>
    </row>
    <row r="168" spans="1:13" ht="15.75" customHeight="1" x14ac:dyDescent="0.25">
      <c r="A168" s="4">
        <v>167</v>
      </c>
      <c r="B168" s="5" t="s">
        <v>268</v>
      </c>
      <c r="C168" s="6" t="s">
        <v>41</v>
      </c>
      <c r="D168" s="6"/>
      <c r="E168" s="6" t="s">
        <v>602</v>
      </c>
      <c r="F168" s="6" t="s">
        <v>603</v>
      </c>
      <c r="G168" s="7">
        <f t="shared" si="3"/>
        <v>515</v>
      </c>
      <c r="H168" s="7">
        <v>85</v>
      </c>
      <c r="I168" s="7">
        <v>80</v>
      </c>
      <c r="J168" s="7">
        <v>90</v>
      </c>
      <c r="K168" s="7">
        <v>105</v>
      </c>
      <c r="L168" s="7">
        <v>95</v>
      </c>
      <c r="M168" s="7">
        <v>60</v>
      </c>
    </row>
    <row r="169" spans="1:13" ht="15.75" customHeight="1" x14ac:dyDescent="0.25">
      <c r="A169" s="4">
        <v>168</v>
      </c>
      <c r="B169" s="5" t="s">
        <v>509</v>
      </c>
      <c r="C169" s="6" t="s">
        <v>41</v>
      </c>
      <c r="D169" s="6"/>
      <c r="E169" s="6" t="s">
        <v>600</v>
      </c>
      <c r="F169" s="6" t="s">
        <v>603</v>
      </c>
      <c r="G169" s="7">
        <f t="shared" ref="G169:G235" si="4">SUM(H169:M169)</f>
        <v>535</v>
      </c>
      <c r="H169" s="7">
        <v>85</v>
      </c>
      <c r="I169" s="7">
        <v>80</v>
      </c>
      <c r="J169" s="7">
        <v>70</v>
      </c>
      <c r="K169" s="7">
        <v>135</v>
      </c>
      <c r="L169" s="7">
        <v>75</v>
      </c>
      <c r="M169" s="7">
        <v>90</v>
      </c>
    </row>
    <row r="170" spans="1:13" ht="15.75" customHeight="1" x14ac:dyDescent="0.25">
      <c r="A170" s="4">
        <v>169</v>
      </c>
      <c r="B170" s="5" t="s">
        <v>171</v>
      </c>
      <c r="C170" s="6" t="s">
        <v>104</v>
      </c>
      <c r="D170" s="6" t="s">
        <v>28</v>
      </c>
      <c r="E170" s="6" t="s">
        <v>594</v>
      </c>
      <c r="F170" s="6" t="s">
        <v>579</v>
      </c>
      <c r="G170" s="7">
        <f t="shared" si="4"/>
        <v>355</v>
      </c>
      <c r="H170" s="7">
        <v>35</v>
      </c>
      <c r="I170" s="7">
        <v>40</v>
      </c>
      <c r="J170" s="7">
        <v>100</v>
      </c>
      <c r="K170" s="7">
        <v>90</v>
      </c>
      <c r="L170" s="7">
        <v>55</v>
      </c>
      <c r="M170" s="7">
        <v>35</v>
      </c>
    </row>
    <row r="171" spans="1:13" ht="15.75" customHeight="1" x14ac:dyDescent="0.25">
      <c r="A171" s="4">
        <v>170</v>
      </c>
      <c r="B171" s="5" t="s">
        <v>172</v>
      </c>
      <c r="C171" s="6" t="s">
        <v>104</v>
      </c>
      <c r="D171" s="6" t="s">
        <v>28</v>
      </c>
      <c r="E171" s="6" t="s">
        <v>594</v>
      </c>
      <c r="F171" s="6" t="s">
        <v>579</v>
      </c>
      <c r="G171" s="7">
        <f t="shared" si="4"/>
        <v>495</v>
      </c>
      <c r="H171" s="7">
        <v>70</v>
      </c>
      <c r="I171" s="7">
        <v>60</v>
      </c>
      <c r="J171" s="7">
        <v>125</v>
      </c>
      <c r="K171" s="7">
        <v>115</v>
      </c>
      <c r="L171" s="7">
        <v>70</v>
      </c>
      <c r="M171" s="7">
        <v>55</v>
      </c>
    </row>
    <row r="172" spans="1:13" ht="15.75" customHeight="1" x14ac:dyDescent="0.25">
      <c r="A172" s="4">
        <v>171</v>
      </c>
      <c r="B172" s="5" t="s">
        <v>173</v>
      </c>
      <c r="C172" s="6" t="s">
        <v>104</v>
      </c>
      <c r="D172" s="6" t="s">
        <v>28</v>
      </c>
      <c r="E172" s="6" t="s">
        <v>594</v>
      </c>
      <c r="F172" s="6" t="s">
        <v>604</v>
      </c>
      <c r="G172" s="7">
        <f t="shared" si="4"/>
        <v>355</v>
      </c>
      <c r="H172" s="7">
        <v>30</v>
      </c>
      <c r="I172" s="7">
        <v>80</v>
      </c>
      <c r="J172" s="7">
        <v>90</v>
      </c>
      <c r="K172" s="7">
        <v>55</v>
      </c>
      <c r="L172" s="7">
        <v>45</v>
      </c>
      <c r="M172" s="7">
        <v>55</v>
      </c>
    </row>
    <row r="173" spans="1:13" ht="15.75" customHeight="1" x14ac:dyDescent="0.25">
      <c r="A173" s="4">
        <v>172</v>
      </c>
      <c r="B173" s="5" t="s">
        <v>174</v>
      </c>
      <c r="C173" s="6" t="s">
        <v>104</v>
      </c>
      <c r="D173" s="6" t="s">
        <v>28</v>
      </c>
      <c r="E173" s="6" t="s">
        <v>594</v>
      </c>
      <c r="F173" s="6" t="s">
        <v>604</v>
      </c>
      <c r="G173" s="7">
        <f t="shared" si="4"/>
        <v>495</v>
      </c>
      <c r="H173" s="7">
        <v>60</v>
      </c>
      <c r="I173" s="7">
        <v>115</v>
      </c>
      <c r="J173" s="7">
        <v>105</v>
      </c>
      <c r="K173" s="7">
        <v>65</v>
      </c>
      <c r="L173" s="7">
        <v>70</v>
      </c>
      <c r="M173" s="7">
        <v>80</v>
      </c>
    </row>
    <row r="174" spans="1:13" ht="15.75" customHeight="1" x14ac:dyDescent="0.25">
      <c r="A174" s="4">
        <v>173</v>
      </c>
      <c r="B174" s="5" t="s">
        <v>481</v>
      </c>
      <c r="C174" s="6" t="s">
        <v>41</v>
      </c>
      <c r="D174" s="6"/>
      <c r="E174" s="6" t="s">
        <v>610</v>
      </c>
      <c r="F174" s="6" t="s">
        <v>575</v>
      </c>
      <c r="G174" s="7">
        <f t="shared" si="4"/>
        <v>390</v>
      </c>
      <c r="H174" s="7">
        <v>135</v>
      </c>
      <c r="I174" s="7">
        <v>85</v>
      </c>
      <c r="J174" s="7">
        <v>40</v>
      </c>
      <c r="K174" s="7">
        <v>40</v>
      </c>
      <c r="L174" s="7">
        <v>85</v>
      </c>
      <c r="M174" s="7">
        <v>5</v>
      </c>
    </row>
    <row r="175" spans="1:13" ht="15.75" customHeight="1" x14ac:dyDescent="0.25">
      <c r="A175" s="4">
        <v>174</v>
      </c>
      <c r="B175" s="5" t="s">
        <v>176</v>
      </c>
      <c r="C175" s="6" t="s">
        <v>41</v>
      </c>
      <c r="D175" s="6"/>
      <c r="E175" s="6" t="s">
        <v>606</v>
      </c>
      <c r="F175" s="6" t="s">
        <v>575</v>
      </c>
      <c r="G175" s="7">
        <f t="shared" si="4"/>
        <v>540</v>
      </c>
      <c r="H175" s="7">
        <v>160</v>
      </c>
      <c r="I175" s="7">
        <v>110</v>
      </c>
      <c r="J175" s="7">
        <v>65</v>
      </c>
      <c r="K175" s="7">
        <v>65</v>
      </c>
      <c r="L175" s="7">
        <v>110</v>
      </c>
      <c r="M175" s="7">
        <v>30</v>
      </c>
    </row>
    <row r="176" spans="1:13" ht="15.75" customHeight="1" x14ac:dyDescent="0.25">
      <c r="A176" s="4">
        <v>175</v>
      </c>
      <c r="B176" s="5" t="s">
        <v>46</v>
      </c>
      <c r="C176" s="6" t="s">
        <v>41</v>
      </c>
      <c r="D176" s="6" t="s">
        <v>26</v>
      </c>
      <c r="E176" s="6" t="s">
        <v>540</v>
      </c>
      <c r="G176" s="7">
        <f>SUM(H176:M176)</f>
        <v>262</v>
      </c>
      <c r="H176" s="7">
        <v>40</v>
      </c>
      <c r="I176" s="7">
        <v>60</v>
      </c>
      <c r="J176" s="7">
        <v>30</v>
      </c>
      <c r="K176" s="7">
        <v>31</v>
      </c>
      <c r="L176" s="7">
        <v>31</v>
      </c>
      <c r="M176" s="7">
        <v>70</v>
      </c>
    </row>
    <row r="177" spans="1:13" ht="15.75" customHeight="1" x14ac:dyDescent="0.25">
      <c r="A177" s="4">
        <v>176</v>
      </c>
      <c r="B177" s="5" t="s">
        <v>47</v>
      </c>
      <c r="C177" s="6" t="s">
        <v>41</v>
      </c>
      <c r="D177" s="6" t="s">
        <v>26</v>
      </c>
      <c r="E177" s="6" t="s">
        <v>540</v>
      </c>
      <c r="G177" s="7">
        <f>SUM(H177:M177)</f>
        <v>442</v>
      </c>
      <c r="H177" s="7">
        <v>65</v>
      </c>
      <c r="I177" s="7">
        <v>90</v>
      </c>
      <c r="J177" s="7">
        <v>65</v>
      </c>
      <c r="K177" s="7">
        <v>61</v>
      </c>
      <c r="L177" s="7">
        <v>61</v>
      </c>
      <c r="M177" s="7">
        <v>100</v>
      </c>
    </row>
    <row r="178" spans="1:13" ht="15.75" customHeight="1" x14ac:dyDescent="0.25">
      <c r="A178" s="4">
        <v>177</v>
      </c>
      <c r="B178" s="5" t="s">
        <v>177</v>
      </c>
      <c r="C178" s="6" t="s">
        <v>119</v>
      </c>
      <c r="D178" s="6" t="s">
        <v>26</v>
      </c>
      <c r="E178" s="6" t="s">
        <v>605</v>
      </c>
      <c r="G178" s="7">
        <f t="shared" si="4"/>
        <v>580</v>
      </c>
      <c r="H178" s="7">
        <v>90</v>
      </c>
      <c r="I178" s="7">
        <v>85</v>
      </c>
      <c r="J178" s="7">
        <v>100</v>
      </c>
      <c r="K178" s="7">
        <v>95</v>
      </c>
      <c r="L178" s="7">
        <v>125</v>
      </c>
      <c r="M178" s="7">
        <v>85</v>
      </c>
    </row>
    <row r="179" spans="1:13" ht="15.75" customHeight="1" x14ac:dyDescent="0.25">
      <c r="A179" s="4">
        <v>178</v>
      </c>
      <c r="B179" s="5" t="s">
        <v>178</v>
      </c>
      <c r="C179" s="6" t="s">
        <v>51</v>
      </c>
      <c r="D179" s="6" t="s">
        <v>26</v>
      </c>
      <c r="E179" s="6" t="s">
        <v>605</v>
      </c>
      <c r="G179" s="7">
        <f t="shared" si="4"/>
        <v>580</v>
      </c>
      <c r="H179" s="7">
        <v>90</v>
      </c>
      <c r="I179" s="7">
        <v>90</v>
      </c>
      <c r="J179" s="7">
        <v>85</v>
      </c>
      <c r="K179" s="7">
        <v>125</v>
      </c>
      <c r="L179" s="7">
        <v>90</v>
      </c>
      <c r="M179" s="7">
        <v>100</v>
      </c>
    </row>
    <row r="180" spans="1:13" ht="15.75" customHeight="1" x14ac:dyDescent="0.25">
      <c r="A180" s="4">
        <v>179</v>
      </c>
      <c r="B180" s="5" t="s">
        <v>179</v>
      </c>
      <c r="C180" s="6" t="s">
        <v>21</v>
      </c>
      <c r="D180" s="6" t="s">
        <v>26</v>
      </c>
      <c r="E180" s="6" t="s">
        <v>605</v>
      </c>
      <c r="G180" s="7">
        <f t="shared" si="4"/>
        <v>580</v>
      </c>
      <c r="H180" s="7">
        <v>90</v>
      </c>
      <c r="I180" s="7">
        <v>100</v>
      </c>
      <c r="J180" s="7">
        <v>90</v>
      </c>
      <c r="K180" s="7">
        <v>125</v>
      </c>
      <c r="L180" s="7">
        <v>85</v>
      </c>
      <c r="M180" s="7">
        <v>90</v>
      </c>
    </row>
    <row r="181" spans="1:13" ht="15.75" customHeight="1" x14ac:dyDescent="0.25">
      <c r="A181" s="4">
        <v>180</v>
      </c>
      <c r="B181" s="5" t="s">
        <v>175</v>
      </c>
      <c r="C181" s="6" t="s">
        <v>104</v>
      </c>
      <c r="D181" s="6" t="s">
        <v>26</v>
      </c>
      <c r="E181" s="6" t="s">
        <v>569</v>
      </c>
      <c r="F181" s="6" t="s">
        <v>605</v>
      </c>
      <c r="G181" s="7">
        <f>SUM(H181:M181)</f>
        <v>515</v>
      </c>
      <c r="H181" s="7">
        <v>80</v>
      </c>
      <c r="I181" s="7">
        <v>105</v>
      </c>
      <c r="J181" s="7">
        <v>65</v>
      </c>
      <c r="K181" s="7">
        <v>60</v>
      </c>
      <c r="L181" s="7">
        <v>75</v>
      </c>
      <c r="M181" s="7">
        <v>130</v>
      </c>
    </row>
    <row r="182" spans="1:13" ht="15.75" customHeight="1" x14ac:dyDescent="0.25">
      <c r="A182" s="4">
        <v>181</v>
      </c>
      <c r="B182" s="5" t="s">
        <v>262</v>
      </c>
      <c r="C182" s="6" t="s">
        <v>112</v>
      </c>
      <c r="D182" s="6" t="s">
        <v>26</v>
      </c>
      <c r="E182" s="6" t="s">
        <v>540</v>
      </c>
      <c r="F182" s="6" t="s">
        <v>570</v>
      </c>
      <c r="G182" s="7">
        <f>SUM(H182:M182)</f>
        <v>465</v>
      </c>
      <c r="H182" s="7">
        <v>65</v>
      </c>
      <c r="I182" s="7">
        <v>80</v>
      </c>
      <c r="J182" s="7">
        <v>140</v>
      </c>
      <c r="K182" s="7">
        <v>40</v>
      </c>
      <c r="L182" s="7">
        <v>70</v>
      </c>
      <c r="M182" s="7">
        <v>70</v>
      </c>
    </row>
    <row r="183" spans="1:13" ht="15.75" customHeight="1" x14ac:dyDescent="0.25">
      <c r="A183" s="4">
        <v>182</v>
      </c>
      <c r="B183" s="5" t="s">
        <v>180</v>
      </c>
      <c r="C183" s="6" t="s">
        <v>181</v>
      </c>
      <c r="D183" s="6"/>
      <c r="E183" s="6" t="s">
        <v>537</v>
      </c>
      <c r="G183" s="7">
        <f t="shared" si="4"/>
        <v>300</v>
      </c>
      <c r="H183" s="7">
        <v>41</v>
      </c>
      <c r="I183" s="7">
        <v>64</v>
      </c>
      <c r="J183" s="7">
        <v>45</v>
      </c>
      <c r="K183" s="7">
        <v>50</v>
      </c>
      <c r="L183" s="7">
        <v>50</v>
      </c>
      <c r="M183" s="7">
        <v>50</v>
      </c>
    </row>
    <row r="184" spans="1:13" ht="15.75" customHeight="1" x14ac:dyDescent="0.25">
      <c r="A184" s="4">
        <v>183</v>
      </c>
      <c r="B184" s="5" t="s">
        <v>182</v>
      </c>
      <c r="C184" s="6" t="s">
        <v>181</v>
      </c>
      <c r="D184" s="6"/>
      <c r="E184" s="6" t="s">
        <v>607</v>
      </c>
      <c r="G184" s="7">
        <f t="shared" si="4"/>
        <v>420</v>
      </c>
      <c r="H184" s="7">
        <v>61</v>
      </c>
      <c r="I184" s="7">
        <v>84</v>
      </c>
      <c r="J184" s="7">
        <v>65</v>
      </c>
      <c r="K184" s="7">
        <v>70</v>
      </c>
      <c r="L184" s="7">
        <v>70</v>
      </c>
      <c r="M184" s="7">
        <v>70</v>
      </c>
    </row>
    <row r="185" spans="1:13" ht="15.75" customHeight="1" x14ac:dyDescent="0.25">
      <c r="A185" s="4">
        <v>184</v>
      </c>
      <c r="B185" s="5" t="s">
        <v>183</v>
      </c>
      <c r="C185" s="6" t="s">
        <v>181</v>
      </c>
      <c r="D185" s="6"/>
      <c r="E185" s="6" t="s">
        <v>552</v>
      </c>
      <c r="G185" s="7">
        <f t="shared" si="4"/>
        <v>600</v>
      </c>
      <c r="H185" s="7">
        <v>91</v>
      </c>
      <c r="I185" s="7">
        <v>134</v>
      </c>
      <c r="J185" s="7">
        <v>95</v>
      </c>
      <c r="K185" s="7">
        <v>100</v>
      </c>
      <c r="L185" s="7">
        <v>100</v>
      </c>
      <c r="M185" s="7">
        <v>80</v>
      </c>
    </row>
    <row r="186" spans="1:13" ht="15.75" customHeight="1" x14ac:dyDescent="0.25">
      <c r="A186" s="4">
        <v>185</v>
      </c>
      <c r="B186" s="5" t="s">
        <v>184</v>
      </c>
      <c r="C186" s="6" t="s">
        <v>92</v>
      </c>
      <c r="D186" s="6"/>
      <c r="E186" s="6" t="s">
        <v>605</v>
      </c>
      <c r="G186" s="7">
        <f t="shared" si="4"/>
        <v>680</v>
      </c>
      <c r="H186" s="7">
        <v>106</v>
      </c>
      <c r="I186" s="7">
        <v>110</v>
      </c>
      <c r="J186" s="7">
        <v>90</v>
      </c>
      <c r="K186" s="7">
        <v>154</v>
      </c>
      <c r="L186" s="7">
        <v>90</v>
      </c>
      <c r="M186" s="7">
        <v>130</v>
      </c>
    </row>
    <row r="187" spans="1:13" ht="15.75" customHeight="1" x14ac:dyDescent="0.25">
      <c r="A187" s="4">
        <v>186</v>
      </c>
      <c r="B187" s="5" t="s">
        <v>185</v>
      </c>
      <c r="C187" s="6" t="s">
        <v>92</v>
      </c>
      <c r="D187" s="6"/>
      <c r="E187" s="6" t="s">
        <v>565</v>
      </c>
      <c r="G187" s="7">
        <f t="shared" si="4"/>
        <v>600</v>
      </c>
      <c r="H187" s="7">
        <v>100</v>
      </c>
      <c r="I187" s="7">
        <v>100</v>
      </c>
      <c r="J187" s="7">
        <v>100</v>
      </c>
      <c r="K187" s="7">
        <v>100</v>
      </c>
      <c r="L187" s="7">
        <v>100</v>
      </c>
      <c r="M187" s="7">
        <v>100</v>
      </c>
    </row>
    <row r="188" spans="1:13" ht="15.75" customHeight="1" x14ac:dyDescent="0.25">
      <c r="A188" s="4">
        <v>187</v>
      </c>
      <c r="B188" s="5" t="s">
        <v>186</v>
      </c>
      <c r="C188" s="6" t="s">
        <v>14</v>
      </c>
      <c r="D188" s="6"/>
      <c r="E188" s="6" t="s">
        <v>16</v>
      </c>
      <c r="G188" s="7">
        <f t="shared" si="4"/>
        <v>318</v>
      </c>
      <c r="H188" s="7">
        <v>45</v>
      </c>
      <c r="I188" s="7">
        <v>49</v>
      </c>
      <c r="J188" s="7">
        <v>65</v>
      </c>
      <c r="K188" s="7">
        <v>49</v>
      </c>
      <c r="L188" s="7">
        <v>65</v>
      </c>
      <c r="M188" s="7">
        <v>45</v>
      </c>
    </row>
    <row r="189" spans="1:13" ht="15.75" customHeight="1" x14ac:dyDescent="0.25">
      <c r="A189" s="4">
        <v>188</v>
      </c>
      <c r="B189" s="5" t="s">
        <v>187</v>
      </c>
      <c r="C189" s="6" t="s">
        <v>14</v>
      </c>
      <c r="D189" s="6"/>
      <c r="E189" s="6" t="s">
        <v>16</v>
      </c>
      <c r="G189" s="7">
        <f t="shared" si="4"/>
        <v>405</v>
      </c>
      <c r="H189" s="7">
        <v>60</v>
      </c>
      <c r="I189" s="7">
        <v>62</v>
      </c>
      <c r="J189" s="7">
        <v>80</v>
      </c>
      <c r="K189" s="7">
        <v>63</v>
      </c>
      <c r="L189" s="7">
        <v>80</v>
      </c>
      <c r="M189" s="7">
        <v>60</v>
      </c>
    </row>
    <row r="190" spans="1:13" ht="15.75" customHeight="1" x14ac:dyDescent="0.25">
      <c r="A190" s="4">
        <v>189</v>
      </c>
      <c r="B190" s="5" t="s">
        <v>188</v>
      </c>
      <c r="C190" s="6" t="s">
        <v>14</v>
      </c>
      <c r="D190" s="6"/>
      <c r="E190" s="6" t="s">
        <v>16</v>
      </c>
      <c r="G190" s="7">
        <f t="shared" si="4"/>
        <v>525</v>
      </c>
      <c r="H190" s="7">
        <v>80</v>
      </c>
      <c r="I190" s="7">
        <v>82</v>
      </c>
      <c r="J190" s="7">
        <v>100</v>
      </c>
      <c r="K190" s="7">
        <v>83</v>
      </c>
      <c r="L190" s="7">
        <v>100</v>
      </c>
      <c r="M190" s="7">
        <v>80</v>
      </c>
    </row>
    <row r="191" spans="1:13" ht="15.75" customHeight="1" x14ac:dyDescent="0.25">
      <c r="A191" s="4">
        <v>190</v>
      </c>
      <c r="B191" s="5" t="s">
        <v>189</v>
      </c>
      <c r="C191" s="6" t="s">
        <v>21</v>
      </c>
      <c r="D191" s="6"/>
      <c r="E191" s="6" t="s">
        <v>22</v>
      </c>
      <c r="G191" s="7">
        <f t="shared" si="4"/>
        <v>309</v>
      </c>
      <c r="H191" s="7">
        <v>39</v>
      </c>
      <c r="I191" s="7">
        <v>52</v>
      </c>
      <c r="J191" s="7">
        <v>43</v>
      </c>
      <c r="K191" s="7">
        <v>60</v>
      </c>
      <c r="L191" s="7">
        <v>50</v>
      </c>
      <c r="M191" s="7">
        <v>65</v>
      </c>
    </row>
    <row r="192" spans="1:13" ht="15.75" customHeight="1" x14ac:dyDescent="0.25">
      <c r="A192" s="4">
        <v>191</v>
      </c>
      <c r="B192" s="5" t="s">
        <v>190</v>
      </c>
      <c r="C192" s="6" t="s">
        <v>21</v>
      </c>
      <c r="D192" s="6"/>
      <c r="E192" s="6" t="s">
        <v>22</v>
      </c>
      <c r="G192" s="7">
        <f t="shared" si="4"/>
        <v>405</v>
      </c>
      <c r="H192" s="7">
        <v>58</v>
      </c>
      <c r="I192" s="7">
        <v>64</v>
      </c>
      <c r="J192" s="7">
        <v>58</v>
      </c>
      <c r="K192" s="7">
        <v>80</v>
      </c>
      <c r="L192" s="7">
        <v>65</v>
      </c>
      <c r="M192" s="7">
        <v>80</v>
      </c>
    </row>
    <row r="193" spans="1:13" ht="15.75" customHeight="1" x14ac:dyDescent="0.25">
      <c r="A193" s="4">
        <v>192</v>
      </c>
      <c r="B193" s="5" t="s">
        <v>191</v>
      </c>
      <c r="C193" s="6" t="s">
        <v>21</v>
      </c>
      <c r="D193" s="6"/>
      <c r="E193" s="6" t="s">
        <v>22</v>
      </c>
      <c r="G193" s="7">
        <f t="shared" si="4"/>
        <v>534</v>
      </c>
      <c r="H193" s="7">
        <v>78</v>
      </c>
      <c r="I193" s="7">
        <v>84</v>
      </c>
      <c r="J193" s="7">
        <v>78</v>
      </c>
      <c r="K193" s="7">
        <v>109</v>
      </c>
      <c r="L193" s="7">
        <v>85</v>
      </c>
      <c r="M193" s="7">
        <v>100</v>
      </c>
    </row>
    <row r="194" spans="1:13" ht="15.75" customHeight="1" x14ac:dyDescent="0.25">
      <c r="A194" s="4">
        <v>193</v>
      </c>
      <c r="B194" s="5" t="s">
        <v>192</v>
      </c>
      <c r="C194" s="6" t="s">
        <v>28</v>
      </c>
      <c r="D194" s="6"/>
      <c r="E194" s="6" t="s">
        <v>29</v>
      </c>
      <c r="G194" s="7">
        <f t="shared" si="4"/>
        <v>314</v>
      </c>
      <c r="H194" s="7">
        <v>50</v>
      </c>
      <c r="I194" s="7">
        <v>65</v>
      </c>
      <c r="J194" s="7">
        <v>64</v>
      </c>
      <c r="K194" s="7">
        <v>44</v>
      </c>
      <c r="L194" s="7">
        <v>48</v>
      </c>
      <c r="M194" s="7">
        <v>43</v>
      </c>
    </row>
    <row r="195" spans="1:13" ht="15.75" customHeight="1" x14ac:dyDescent="0.25">
      <c r="A195" s="4">
        <v>194</v>
      </c>
      <c r="B195" s="5" t="s">
        <v>193</v>
      </c>
      <c r="C195" s="6" t="s">
        <v>28</v>
      </c>
      <c r="D195" s="6"/>
      <c r="E195" s="6" t="s">
        <v>29</v>
      </c>
      <c r="G195" s="7">
        <f t="shared" si="4"/>
        <v>405</v>
      </c>
      <c r="H195" s="7">
        <v>65</v>
      </c>
      <c r="I195" s="7">
        <v>80</v>
      </c>
      <c r="J195" s="7">
        <v>80</v>
      </c>
      <c r="K195" s="7">
        <v>59</v>
      </c>
      <c r="L195" s="7">
        <v>63</v>
      </c>
      <c r="M195" s="7">
        <v>58</v>
      </c>
    </row>
    <row r="196" spans="1:13" ht="15.75" customHeight="1" x14ac:dyDescent="0.25">
      <c r="A196" s="4">
        <v>195</v>
      </c>
      <c r="B196" s="5" t="s">
        <v>194</v>
      </c>
      <c r="C196" s="6" t="s">
        <v>28</v>
      </c>
      <c r="D196" s="6"/>
      <c r="E196" s="6" t="s">
        <v>29</v>
      </c>
      <c r="G196" s="7">
        <f t="shared" si="4"/>
        <v>530</v>
      </c>
      <c r="H196" s="7">
        <v>85</v>
      </c>
      <c r="I196" s="7">
        <v>105</v>
      </c>
      <c r="J196" s="7">
        <v>100</v>
      </c>
      <c r="K196" s="7">
        <v>79</v>
      </c>
      <c r="L196" s="7">
        <v>83</v>
      </c>
      <c r="M196" s="7">
        <v>78</v>
      </c>
    </row>
    <row r="197" spans="1:13" ht="15.75" customHeight="1" x14ac:dyDescent="0.25">
      <c r="A197" s="4">
        <v>196</v>
      </c>
      <c r="B197" s="5" t="s">
        <v>195</v>
      </c>
      <c r="C197" s="6" t="s">
        <v>41</v>
      </c>
      <c r="D197" s="6"/>
      <c r="E197" s="6" t="s">
        <v>542</v>
      </c>
      <c r="F197" s="6" t="s">
        <v>540</v>
      </c>
      <c r="G197" s="7">
        <f t="shared" si="4"/>
        <v>215</v>
      </c>
      <c r="H197" s="7">
        <v>35</v>
      </c>
      <c r="I197" s="7">
        <v>46</v>
      </c>
      <c r="J197" s="7">
        <v>34</v>
      </c>
      <c r="K197" s="7">
        <v>35</v>
      </c>
      <c r="L197" s="7">
        <v>45</v>
      </c>
      <c r="M197" s="7">
        <v>20</v>
      </c>
    </row>
    <row r="198" spans="1:13" ht="15.75" customHeight="1" x14ac:dyDescent="0.25">
      <c r="A198" s="4">
        <v>197</v>
      </c>
      <c r="B198" s="5" t="s">
        <v>196</v>
      </c>
      <c r="C198" s="6" t="s">
        <v>41</v>
      </c>
      <c r="D198" s="6"/>
      <c r="E198" s="6" t="s">
        <v>542</v>
      </c>
      <c r="F198" s="6" t="s">
        <v>540</v>
      </c>
      <c r="G198" s="7">
        <f t="shared" si="4"/>
        <v>415</v>
      </c>
      <c r="H198" s="7">
        <v>85</v>
      </c>
      <c r="I198" s="7">
        <v>76</v>
      </c>
      <c r="J198" s="7">
        <v>64</v>
      </c>
      <c r="K198" s="7">
        <v>45</v>
      </c>
      <c r="L198" s="7">
        <v>55</v>
      </c>
      <c r="M198" s="7">
        <v>90</v>
      </c>
    </row>
    <row r="199" spans="1:13" ht="15.75" customHeight="1" x14ac:dyDescent="0.25">
      <c r="A199" s="4">
        <v>198</v>
      </c>
      <c r="B199" s="5" t="s">
        <v>197</v>
      </c>
      <c r="C199" s="6" t="s">
        <v>41</v>
      </c>
      <c r="D199" s="6" t="s">
        <v>26</v>
      </c>
      <c r="E199" s="6" t="s">
        <v>582</v>
      </c>
      <c r="F199" s="6" t="s">
        <v>540</v>
      </c>
      <c r="G199" s="7">
        <f t="shared" si="4"/>
        <v>262</v>
      </c>
      <c r="H199" s="7">
        <v>60</v>
      </c>
      <c r="I199" s="7">
        <v>30</v>
      </c>
      <c r="J199" s="7">
        <v>30</v>
      </c>
      <c r="K199" s="7">
        <v>36</v>
      </c>
      <c r="L199" s="7">
        <v>56</v>
      </c>
      <c r="M199" s="7">
        <v>50</v>
      </c>
    </row>
    <row r="200" spans="1:13" ht="15.75" customHeight="1" x14ac:dyDescent="0.25">
      <c r="A200" s="4">
        <v>199</v>
      </c>
      <c r="B200" s="5" t="s">
        <v>198</v>
      </c>
      <c r="C200" s="6" t="s">
        <v>41</v>
      </c>
      <c r="D200" s="6" t="s">
        <v>26</v>
      </c>
      <c r="E200" s="6" t="s">
        <v>582</v>
      </c>
      <c r="F200" s="6" t="s">
        <v>540</v>
      </c>
      <c r="G200" s="7">
        <f t="shared" si="4"/>
        <v>452</v>
      </c>
      <c r="H200" s="7">
        <v>100</v>
      </c>
      <c r="I200" s="7">
        <v>50</v>
      </c>
      <c r="J200" s="7">
        <v>50</v>
      </c>
      <c r="K200" s="7">
        <v>86</v>
      </c>
      <c r="L200" s="7">
        <v>96</v>
      </c>
      <c r="M200" s="7">
        <v>70</v>
      </c>
    </row>
    <row r="201" spans="1:13" ht="15.75" customHeight="1" x14ac:dyDescent="0.25">
      <c r="A201" s="4">
        <v>200</v>
      </c>
      <c r="B201" s="5" t="s">
        <v>199</v>
      </c>
      <c r="C201" s="6" t="s">
        <v>34</v>
      </c>
      <c r="D201" s="6" t="s">
        <v>26</v>
      </c>
      <c r="E201" s="6" t="s">
        <v>539</v>
      </c>
      <c r="F201" s="6" t="s">
        <v>574</v>
      </c>
      <c r="G201" s="7">
        <f t="shared" si="4"/>
        <v>265</v>
      </c>
      <c r="H201" s="7">
        <v>40</v>
      </c>
      <c r="I201" s="7">
        <v>20</v>
      </c>
      <c r="J201" s="7">
        <v>30</v>
      </c>
      <c r="K201" s="7">
        <v>40</v>
      </c>
      <c r="L201" s="7">
        <v>80</v>
      </c>
      <c r="M201" s="7">
        <v>55</v>
      </c>
    </row>
    <row r="202" spans="1:13" ht="15.75" customHeight="1" x14ac:dyDescent="0.25">
      <c r="A202" s="4">
        <v>201</v>
      </c>
      <c r="B202" s="5" t="s">
        <v>200</v>
      </c>
      <c r="C202" s="6" t="s">
        <v>34</v>
      </c>
      <c r="D202" s="6" t="s">
        <v>26</v>
      </c>
      <c r="E202" s="6" t="s">
        <v>539</v>
      </c>
      <c r="F202" s="6" t="s">
        <v>574</v>
      </c>
      <c r="G202" s="7">
        <f t="shared" si="4"/>
        <v>390</v>
      </c>
      <c r="H202" s="7">
        <v>55</v>
      </c>
      <c r="I202" s="7">
        <v>35</v>
      </c>
      <c r="J202" s="7">
        <v>50</v>
      </c>
      <c r="K202" s="7">
        <v>55</v>
      </c>
      <c r="L202" s="7">
        <v>110</v>
      </c>
      <c r="M202" s="7">
        <v>85</v>
      </c>
    </row>
    <row r="203" spans="1:13" ht="15.75" customHeight="1" x14ac:dyDescent="0.25">
      <c r="A203" s="4">
        <v>202</v>
      </c>
      <c r="B203" s="5" t="s">
        <v>201</v>
      </c>
      <c r="C203" s="6" t="s">
        <v>34</v>
      </c>
      <c r="D203" s="6" t="s">
        <v>15</v>
      </c>
      <c r="E203" s="6" t="s">
        <v>539</v>
      </c>
      <c r="F203" s="6" t="s">
        <v>582</v>
      </c>
      <c r="G203" s="7">
        <f t="shared" si="4"/>
        <v>250</v>
      </c>
      <c r="H203" s="7">
        <v>40</v>
      </c>
      <c r="I203" s="7">
        <v>60</v>
      </c>
      <c r="J203" s="7">
        <v>40</v>
      </c>
      <c r="K203" s="7">
        <v>40</v>
      </c>
      <c r="L203" s="7">
        <v>40</v>
      </c>
      <c r="M203" s="7">
        <v>30</v>
      </c>
    </row>
    <row r="204" spans="1:13" ht="15.75" customHeight="1" x14ac:dyDescent="0.25">
      <c r="A204" s="4">
        <v>203</v>
      </c>
      <c r="B204" s="5" t="s">
        <v>202</v>
      </c>
      <c r="C204" s="6" t="s">
        <v>34</v>
      </c>
      <c r="D204" s="6" t="s">
        <v>15</v>
      </c>
      <c r="E204" s="6" t="s">
        <v>539</v>
      </c>
      <c r="F204" s="6" t="s">
        <v>582</v>
      </c>
      <c r="G204" s="7">
        <f t="shared" si="4"/>
        <v>400</v>
      </c>
      <c r="H204" s="7">
        <v>70</v>
      </c>
      <c r="I204" s="7">
        <v>90</v>
      </c>
      <c r="J204" s="7">
        <v>70</v>
      </c>
      <c r="K204" s="7">
        <v>60</v>
      </c>
      <c r="L204" s="7">
        <v>70</v>
      </c>
      <c r="M204" s="7">
        <v>40</v>
      </c>
    </row>
    <row r="205" spans="1:13" ht="15.75" customHeight="1" x14ac:dyDescent="0.25">
      <c r="A205" s="4">
        <v>204</v>
      </c>
      <c r="B205" s="5" t="s">
        <v>204</v>
      </c>
      <c r="C205" s="6" t="s">
        <v>28</v>
      </c>
      <c r="D205" s="6" t="s">
        <v>51</v>
      </c>
      <c r="E205" s="6" t="s">
        <v>601</v>
      </c>
      <c r="F205" s="6" t="s">
        <v>597</v>
      </c>
      <c r="G205" s="7">
        <f t="shared" si="4"/>
        <v>330</v>
      </c>
      <c r="H205" s="7">
        <v>75</v>
      </c>
      <c r="I205" s="7">
        <v>38</v>
      </c>
      <c r="J205" s="7">
        <v>38</v>
      </c>
      <c r="K205" s="7">
        <v>56</v>
      </c>
      <c r="L205" s="7">
        <v>56</v>
      </c>
      <c r="M205" s="7">
        <v>67</v>
      </c>
    </row>
    <row r="206" spans="1:13" ht="15.75" customHeight="1" x14ac:dyDescent="0.25">
      <c r="A206" s="4">
        <v>205</v>
      </c>
      <c r="B206" s="5" t="s">
        <v>205</v>
      </c>
      <c r="C206" s="6" t="s">
        <v>28</v>
      </c>
      <c r="D206" s="6" t="s">
        <v>51</v>
      </c>
      <c r="E206" s="6" t="s">
        <v>601</v>
      </c>
      <c r="F206" s="6" t="s">
        <v>597</v>
      </c>
      <c r="G206" s="7">
        <f t="shared" si="4"/>
        <v>460</v>
      </c>
      <c r="H206" s="7">
        <v>125</v>
      </c>
      <c r="I206" s="7">
        <v>58</v>
      </c>
      <c r="J206" s="7">
        <v>58</v>
      </c>
      <c r="K206" s="7">
        <v>76</v>
      </c>
      <c r="L206" s="7">
        <v>76</v>
      </c>
      <c r="M206" s="7">
        <v>67</v>
      </c>
    </row>
    <row r="207" spans="1:13" ht="15.75" customHeight="1" x14ac:dyDescent="0.25">
      <c r="A207" s="4">
        <v>206</v>
      </c>
      <c r="B207" s="5" t="s">
        <v>209</v>
      </c>
      <c r="C207" s="6" t="s">
        <v>41</v>
      </c>
      <c r="D207" s="6"/>
      <c r="E207" s="6" t="s">
        <v>608</v>
      </c>
      <c r="F207" s="6" t="s">
        <v>591</v>
      </c>
      <c r="G207" s="7">
        <f t="shared" si="4"/>
        <v>245</v>
      </c>
      <c r="H207" s="7">
        <v>35</v>
      </c>
      <c r="I207" s="7">
        <v>20</v>
      </c>
      <c r="J207" s="7">
        <v>65</v>
      </c>
      <c r="K207" s="7">
        <v>40</v>
      </c>
      <c r="L207" s="7">
        <v>65</v>
      </c>
      <c r="M207" s="7">
        <v>20</v>
      </c>
    </row>
    <row r="208" spans="1:13" ht="15.75" customHeight="1" x14ac:dyDescent="0.25">
      <c r="A208" s="4">
        <v>207</v>
      </c>
      <c r="B208" s="5" t="s">
        <v>210</v>
      </c>
      <c r="C208" s="6" t="s">
        <v>41</v>
      </c>
      <c r="D208" s="6" t="s">
        <v>26</v>
      </c>
      <c r="E208" s="6" t="s">
        <v>608</v>
      </c>
      <c r="F208" s="6" t="s">
        <v>591</v>
      </c>
      <c r="G208" s="7">
        <f t="shared" si="4"/>
        <v>405</v>
      </c>
      <c r="H208" s="7">
        <v>55</v>
      </c>
      <c r="I208" s="7">
        <v>40</v>
      </c>
      <c r="J208" s="7">
        <v>85</v>
      </c>
      <c r="K208" s="7">
        <v>80</v>
      </c>
      <c r="L208" s="7">
        <v>105</v>
      </c>
      <c r="M208" s="7">
        <v>40</v>
      </c>
    </row>
    <row r="209" spans="1:13" ht="15.75" customHeight="1" x14ac:dyDescent="0.25">
      <c r="A209" s="4">
        <v>208</v>
      </c>
      <c r="B209" s="5" t="s">
        <v>503</v>
      </c>
      <c r="C209" s="6" t="s">
        <v>41</v>
      </c>
      <c r="D209" s="6" t="s">
        <v>26</v>
      </c>
      <c r="E209" s="6" t="s">
        <v>608</v>
      </c>
      <c r="F209" s="6" t="s">
        <v>615</v>
      </c>
      <c r="G209" s="7">
        <f t="shared" si="4"/>
        <v>545</v>
      </c>
      <c r="H209" s="7">
        <v>85</v>
      </c>
      <c r="I209" s="7">
        <v>50</v>
      </c>
      <c r="J209" s="7">
        <v>95</v>
      </c>
      <c r="K209" s="7">
        <v>120</v>
      </c>
      <c r="L209" s="7">
        <v>115</v>
      </c>
      <c r="M209" s="7">
        <v>80</v>
      </c>
    </row>
    <row r="210" spans="1:13" ht="15.75" customHeight="1" x14ac:dyDescent="0.25">
      <c r="A210" s="4">
        <v>209</v>
      </c>
      <c r="B210" s="5" t="s">
        <v>211</v>
      </c>
      <c r="C210" s="6" t="s">
        <v>92</v>
      </c>
      <c r="D210" s="6" t="s">
        <v>26</v>
      </c>
      <c r="E210" s="6" t="s">
        <v>565</v>
      </c>
      <c r="F210" s="6" t="s">
        <v>574</v>
      </c>
      <c r="G210" s="7">
        <f t="shared" si="4"/>
        <v>320</v>
      </c>
      <c r="H210" s="7">
        <v>40</v>
      </c>
      <c r="I210" s="7">
        <v>50</v>
      </c>
      <c r="J210" s="7">
        <v>45</v>
      </c>
      <c r="K210" s="7">
        <v>70</v>
      </c>
      <c r="L210" s="7">
        <v>45</v>
      </c>
      <c r="M210" s="7">
        <v>70</v>
      </c>
    </row>
    <row r="211" spans="1:13" ht="15.75" customHeight="1" x14ac:dyDescent="0.25">
      <c r="A211" s="4">
        <v>210</v>
      </c>
      <c r="B211" s="5" t="s">
        <v>212</v>
      </c>
      <c r="C211" s="6" t="s">
        <v>92</v>
      </c>
      <c r="D211" s="6" t="s">
        <v>26</v>
      </c>
      <c r="E211" s="6" t="s">
        <v>565</v>
      </c>
      <c r="F211" s="6" t="s">
        <v>574</v>
      </c>
      <c r="G211" s="7">
        <f t="shared" si="4"/>
        <v>470</v>
      </c>
      <c r="H211" s="7">
        <v>65</v>
      </c>
      <c r="I211" s="7">
        <v>75</v>
      </c>
      <c r="J211" s="7">
        <v>70</v>
      </c>
      <c r="K211" s="7">
        <v>95</v>
      </c>
      <c r="L211" s="7">
        <v>70</v>
      </c>
      <c r="M211" s="7">
        <v>95</v>
      </c>
    </row>
    <row r="212" spans="1:13" ht="15.75" customHeight="1" x14ac:dyDescent="0.25">
      <c r="A212" s="4">
        <v>211</v>
      </c>
      <c r="B212" s="5" t="s">
        <v>213</v>
      </c>
      <c r="C212" s="6" t="s">
        <v>51</v>
      </c>
      <c r="D212" s="6"/>
      <c r="E212" s="6" t="s">
        <v>633</v>
      </c>
      <c r="G212" s="7">
        <f t="shared" si="4"/>
        <v>280</v>
      </c>
      <c r="H212" s="7">
        <v>55</v>
      </c>
      <c r="I212" s="7">
        <v>40</v>
      </c>
      <c r="J212" s="7">
        <v>40</v>
      </c>
      <c r="K212" s="7">
        <v>65</v>
      </c>
      <c r="L212" s="7">
        <v>45</v>
      </c>
      <c r="M212" s="7">
        <v>35</v>
      </c>
    </row>
    <row r="213" spans="1:13" ht="15.75" customHeight="1" x14ac:dyDescent="0.25">
      <c r="A213" s="4">
        <v>212</v>
      </c>
      <c r="B213" s="5" t="s">
        <v>214</v>
      </c>
      <c r="C213" s="6" t="s">
        <v>51</v>
      </c>
      <c r="D213" s="6"/>
      <c r="E213" s="6" t="s">
        <v>545</v>
      </c>
      <c r="G213" s="7">
        <f t="shared" si="4"/>
        <v>365</v>
      </c>
      <c r="H213" s="7">
        <v>70</v>
      </c>
      <c r="I213" s="7">
        <v>55</v>
      </c>
      <c r="J213" s="7">
        <v>55</v>
      </c>
      <c r="K213" s="7">
        <v>80</v>
      </c>
      <c r="L213" s="7">
        <v>60</v>
      </c>
      <c r="M213" s="7">
        <v>45</v>
      </c>
    </row>
    <row r="214" spans="1:13" ht="15.75" customHeight="1" x14ac:dyDescent="0.25">
      <c r="A214" s="4">
        <v>213</v>
      </c>
      <c r="B214" s="5" t="s">
        <v>215</v>
      </c>
      <c r="C214" s="6" t="s">
        <v>51</v>
      </c>
      <c r="D214" s="6"/>
      <c r="E214" s="6" t="s">
        <v>633</v>
      </c>
      <c r="G214" s="7">
        <f t="shared" si="4"/>
        <v>500</v>
      </c>
      <c r="H214" s="7">
        <v>90</v>
      </c>
      <c r="I214" s="7">
        <v>75</v>
      </c>
      <c r="J214" s="7">
        <v>75</v>
      </c>
      <c r="K214" s="7">
        <v>115</v>
      </c>
      <c r="L214" s="7">
        <v>90</v>
      </c>
      <c r="M214" s="7">
        <v>55</v>
      </c>
    </row>
    <row r="215" spans="1:13" ht="15.75" customHeight="1" x14ac:dyDescent="0.25">
      <c r="A215" s="4">
        <v>214</v>
      </c>
      <c r="B215" s="5" t="s">
        <v>333</v>
      </c>
      <c r="C215" s="6" t="s">
        <v>41</v>
      </c>
      <c r="D215" s="6"/>
      <c r="E215" s="6" t="s">
        <v>575</v>
      </c>
      <c r="F215" s="6" t="s">
        <v>609</v>
      </c>
      <c r="G215" s="7">
        <f t="shared" si="4"/>
        <v>190</v>
      </c>
      <c r="H215" s="7">
        <v>50</v>
      </c>
      <c r="I215" s="7">
        <v>20</v>
      </c>
      <c r="J215" s="7">
        <v>40</v>
      </c>
      <c r="K215" s="7">
        <v>20</v>
      </c>
      <c r="L215" s="7">
        <v>40</v>
      </c>
      <c r="M215" s="7">
        <v>20</v>
      </c>
    </row>
    <row r="216" spans="1:13" ht="15.75" customHeight="1" x14ac:dyDescent="0.25">
      <c r="A216" s="4">
        <v>215</v>
      </c>
      <c r="B216" s="5" t="s">
        <v>217</v>
      </c>
      <c r="C216" s="6" t="s">
        <v>28</v>
      </c>
      <c r="D216" s="6"/>
      <c r="E216" s="6" t="s">
        <v>575</v>
      </c>
      <c r="F216" s="6" t="s">
        <v>609</v>
      </c>
      <c r="G216" s="7">
        <f t="shared" si="4"/>
        <v>250</v>
      </c>
      <c r="H216" s="7">
        <v>70</v>
      </c>
      <c r="I216" s="7">
        <v>20</v>
      </c>
      <c r="J216" s="7">
        <v>50</v>
      </c>
      <c r="K216" s="7">
        <v>20</v>
      </c>
      <c r="L216" s="7">
        <v>50</v>
      </c>
      <c r="M216" s="7">
        <v>40</v>
      </c>
    </row>
    <row r="217" spans="1:13" ht="15.75" customHeight="1" x14ac:dyDescent="0.25">
      <c r="A217" s="4">
        <v>216</v>
      </c>
      <c r="B217" s="5" t="s">
        <v>218</v>
      </c>
      <c r="C217" s="6" t="s">
        <v>28</v>
      </c>
      <c r="D217" s="6"/>
      <c r="E217" s="6" t="s">
        <v>575</v>
      </c>
      <c r="F217" s="6" t="s">
        <v>609</v>
      </c>
      <c r="G217" s="7">
        <f t="shared" si="4"/>
        <v>410</v>
      </c>
      <c r="H217" s="7">
        <v>100</v>
      </c>
      <c r="I217" s="7">
        <v>50</v>
      </c>
      <c r="J217" s="7">
        <v>80</v>
      </c>
      <c r="K217" s="7">
        <v>50</v>
      </c>
      <c r="L217" s="7">
        <v>80</v>
      </c>
      <c r="M217" s="7">
        <v>50</v>
      </c>
    </row>
    <row r="218" spans="1:13" ht="15.75" customHeight="1" x14ac:dyDescent="0.25">
      <c r="A218" s="4">
        <v>217</v>
      </c>
      <c r="B218" s="5" t="s">
        <v>473</v>
      </c>
      <c r="C218" s="6" t="s">
        <v>104</v>
      </c>
      <c r="D218" s="6"/>
      <c r="E218" s="6" t="s">
        <v>570</v>
      </c>
      <c r="F218" s="6" t="s">
        <v>569</v>
      </c>
      <c r="G218" s="7">
        <f t="shared" si="4"/>
        <v>290</v>
      </c>
      <c r="H218" s="7">
        <v>50</v>
      </c>
      <c r="I218" s="7">
        <v>80</v>
      </c>
      <c r="J218" s="7">
        <v>95</v>
      </c>
      <c r="K218" s="7">
        <v>10</v>
      </c>
      <c r="L218" s="7">
        <v>45</v>
      </c>
      <c r="M218" s="7">
        <v>10</v>
      </c>
    </row>
    <row r="219" spans="1:13" ht="15.75" customHeight="1" x14ac:dyDescent="0.25">
      <c r="A219" s="4">
        <v>218</v>
      </c>
      <c r="B219" s="5" t="s">
        <v>219</v>
      </c>
      <c r="C219" s="6" t="s">
        <v>104</v>
      </c>
      <c r="D219" s="6"/>
      <c r="E219" s="6" t="s">
        <v>570</v>
      </c>
      <c r="F219" s="6" t="s">
        <v>569</v>
      </c>
      <c r="G219" s="7">
        <f t="shared" si="4"/>
        <v>410</v>
      </c>
      <c r="H219" s="7">
        <v>70</v>
      </c>
      <c r="I219" s="7">
        <v>100</v>
      </c>
      <c r="J219" s="7">
        <v>115</v>
      </c>
      <c r="K219" s="7">
        <v>30</v>
      </c>
      <c r="L219" s="7">
        <v>65</v>
      </c>
      <c r="M219" s="7">
        <v>30</v>
      </c>
    </row>
    <row r="220" spans="1:13" ht="15.75" customHeight="1" x14ac:dyDescent="0.25">
      <c r="A220" s="4">
        <v>219</v>
      </c>
      <c r="B220" s="5" t="s">
        <v>221</v>
      </c>
      <c r="C220" s="6" t="s">
        <v>14</v>
      </c>
      <c r="D220" s="6" t="s">
        <v>26</v>
      </c>
      <c r="E220" s="6" t="s">
        <v>17</v>
      </c>
      <c r="F220" s="6" t="s">
        <v>592</v>
      </c>
      <c r="G220" s="7">
        <f t="shared" si="4"/>
        <v>250</v>
      </c>
      <c r="H220" s="7">
        <v>35</v>
      </c>
      <c r="I220" s="7">
        <v>35</v>
      </c>
      <c r="J220" s="7">
        <v>40</v>
      </c>
      <c r="K220" s="7">
        <v>35</v>
      </c>
      <c r="L220" s="7">
        <v>55</v>
      </c>
      <c r="M220" s="7">
        <v>50</v>
      </c>
    </row>
    <row r="221" spans="1:13" ht="15.75" customHeight="1" x14ac:dyDescent="0.25">
      <c r="A221" s="4">
        <v>220</v>
      </c>
      <c r="B221" s="5" t="s">
        <v>222</v>
      </c>
      <c r="C221" s="6" t="s">
        <v>14</v>
      </c>
      <c r="D221" s="6" t="s">
        <v>26</v>
      </c>
      <c r="E221" s="6" t="s">
        <v>17</v>
      </c>
      <c r="F221" s="6" t="s">
        <v>592</v>
      </c>
      <c r="G221" s="7">
        <f t="shared" si="4"/>
        <v>340</v>
      </c>
      <c r="H221" s="7">
        <v>55</v>
      </c>
      <c r="I221" s="7">
        <v>45</v>
      </c>
      <c r="J221" s="7">
        <v>50</v>
      </c>
      <c r="K221" s="7">
        <v>45</v>
      </c>
      <c r="L221" s="7">
        <v>65</v>
      </c>
      <c r="M221" s="7">
        <v>80</v>
      </c>
    </row>
    <row r="222" spans="1:13" ht="15.75" customHeight="1" x14ac:dyDescent="0.25">
      <c r="A222" s="4">
        <v>221</v>
      </c>
      <c r="B222" s="5" t="s">
        <v>223</v>
      </c>
      <c r="C222" s="6" t="s">
        <v>14</v>
      </c>
      <c r="D222" s="6" t="s">
        <v>26</v>
      </c>
      <c r="E222" s="6" t="s">
        <v>17</v>
      </c>
      <c r="F222" s="6" t="s">
        <v>592</v>
      </c>
      <c r="G222" s="7">
        <f t="shared" si="4"/>
        <v>450</v>
      </c>
      <c r="H222" s="7">
        <v>75</v>
      </c>
      <c r="I222" s="7">
        <v>55</v>
      </c>
      <c r="J222" s="7">
        <v>70</v>
      </c>
      <c r="K222" s="7">
        <v>55</v>
      </c>
      <c r="L222" s="7">
        <v>85</v>
      </c>
      <c r="M222" s="7">
        <v>110</v>
      </c>
    </row>
    <row r="223" spans="1:13" ht="15.75" customHeight="1" x14ac:dyDescent="0.25">
      <c r="A223" s="4">
        <v>222</v>
      </c>
      <c r="B223" s="5" t="s">
        <v>224</v>
      </c>
      <c r="C223" s="6" t="s">
        <v>41</v>
      </c>
      <c r="D223" s="6"/>
      <c r="E223" s="6" t="s">
        <v>542</v>
      </c>
      <c r="F223" s="6" t="s">
        <v>610</v>
      </c>
      <c r="G223" s="7">
        <f t="shared" si="4"/>
        <v>360</v>
      </c>
      <c r="H223" s="7">
        <v>55</v>
      </c>
      <c r="I223" s="7">
        <v>70</v>
      </c>
      <c r="J223" s="7">
        <v>55</v>
      </c>
      <c r="K223" s="7">
        <v>40</v>
      </c>
      <c r="L223" s="7">
        <v>55</v>
      </c>
      <c r="M223" s="7">
        <v>85</v>
      </c>
    </row>
    <row r="224" spans="1:13" ht="15.75" customHeight="1" x14ac:dyDescent="0.25">
      <c r="A224" s="4">
        <v>223</v>
      </c>
      <c r="B224" s="5" t="s">
        <v>459</v>
      </c>
      <c r="C224" s="6" t="s">
        <v>41</v>
      </c>
      <c r="D224" s="6"/>
      <c r="E224" s="6" t="s">
        <v>558</v>
      </c>
      <c r="F224" s="6" t="s">
        <v>610</v>
      </c>
      <c r="G224" s="7">
        <f t="shared" si="4"/>
        <v>482</v>
      </c>
      <c r="H224" s="7">
        <v>75</v>
      </c>
      <c r="I224" s="7">
        <v>100</v>
      </c>
      <c r="J224" s="7">
        <v>66</v>
      </c>
      <c r="K224" s="7">
        <v>60</v>
      </c>
      <c r="L224" s="7">
        <v>66</v>
      </c>
      <c r="M224" s="7">
        <v>115</v>
      </c>
    </row>
    <row r="225" spans="1:13" ht="15.75" customHeight="1" x14ac:dyDescent="0.25">
      <c r="A225" s="4">
        <v>224</v>
      </c>
      <c r="B225" s="5" t="s">
        <v>225</v>
      </c>
      <c r="C225" s="6" t="s">
        <v>14</v>
      </c>
      <c r="D225" s="6"/>
      <c r="E225" s="6" t="s">
        <v>17</v>
      </c>
      <c r="F225" s="6" t="s">
        <v>611</v>
      </c>
      <c r="G225" s="7">
        <f t="shared" si="4"/>
        <v>180</v>
      </c>
      <c r="H225" s="7">
        <v>30</v>
      </c>
      <c r="I225" s="7">
        <v>30</v>
      </c>
      <c r="J225" s="7">
        <v>30</v>
      </c>
      <c r="K225" s="7">
        <v>30</v>
      </c>
      <c r="L225" s="7">
        <v>30</v>
      </c>
      <c r="M225" s="7">
        <v>30</v>
      </c>
    </row>
    <row r="226" spans="1:13" ht="15.75" customHeight="1" x14ac:dyDescent="0.25">
      <c r="A226" s="4">
        <v>225</v>
      </c>
      <c r="B226" s="5" t="s">
        <v>226</v>
      </c>
      <c r="C226" s="6" t="s">
        <v>14</v>
      </c>
      <c r="D226" s="6"/>
      <c r="E226" s="6" t="s">
        <v>17</v>
      </c>
      <c r="F226" s="6" t="s">
        <v>611</v>
      </c>
      <c r="G226" s="7">
        <f t="shared" si="4"/>
        <v>425</v>
      </c>
      <c r="H226" s="7">
        <v>75</v>
      </c>
      <c r="I226" s="7">
        <v>75</v>
      </c>
      <c r="J226" s="7">
        <v>55</v>
      </c>
      <c r="K226" s="7">
        <v>105</v>
      </c>
      <c r="L226" s="7">
        <v>85</v>
      </c>
      <c r="M226" s="7">
        <v>30</v>
      </c>
    </row>
    <row r="227" spans="1:13" ht="15.75" customHeight="1" x14ac:dyDescent="0.25">
      <c r="A227" s="4">
        <v>226</v>
      </c>
      <c r="B227" s="5" t="s">
        <v>227</v>
      </c>
      <c r="C227" s="6" t="s">
        <v>34</v>
      </c>
      <c r="D227" s="6" t="s">
        <v>26</v>
      </c>
      <c r="E227" s="6" t="s">
        <v>612</v>
      </c>
      <c r="F227" s="6" t="s">
        <v>538</v>
      </c>
      <c r="G227" s="7">
        <f t="shared" si="4"/>
        <v>390</v>
      </c>
      <c r="H227" s="7">
        <v>65</v>
      </c>
      <c r="I227" s="7">
        <v>65</v>
      </c>
      <c r="J227" s="7">
        <v>45</v>
      </c>
      <c r="K227" s="7">
        <v>75</v>
      </c>
      <c r="L227" s="7">
        <v>45</v>
      </c>
      <c r="M227" s="7">
        <v>95</v>
      </c>
    </row>
    <row r="228" spans="1:13" ht="15.75" customHeight="1" x14ac:dyDescent="0.25">
      <c r="A228" s="4">
        <v>227</v>
      </c>
      <c r="B228" s="5" t="s">
        <v>504</v>
      </c>
      <c r="C228" s="6" t="s">
        <v>34</v>
      </c>
      <c r="D228" s="6" t="s">
        <v>181</v>
      </c>
      <c r="E228" s="6" t="s">
        <v>612</v>
      </c>
      <c r="F228" s="6" t="s">
        <v>555</v>
      </c>
      <c r="G228" s="7">
        <f t="shared" si="4"/>
        <v>515</v>
      </c>
      <c r="H228" s="7">
        <v>86</v>
      </c>
      <c r="I228" s="7">
        <v>76</v>
      </c>
      <c r="J228" s="7">
        <v>86</v>
      </c>
      <c r="K228" s="7">
        <v>116</v>
      </c>
      <c r="L228" s="7">
        <v>56</v>
      </c>
      <c r="M228" s="7">
        <v>95</v>
      </c>
    </row>
    <row r="229" spans="1:13" ht="15.75" customHeight="1" x14ac:dyDescent="0.25">
      <c r="A229" s="4">
        <v>228</v>
      </c>
      <c r="B229" s="5" t="s">
        <v>228</v>
      </c>
      <c r="C229" s="6" t="s">
        <v>28</v>
      </c>
      <c r="D229" s="6" t="s">
        <v>54</v>
      </c>
      <c r="E229" s="6" t="s">
        <v>560</v>
      </c>
      <c r="F229" s="6" t="s">
        <v>564</v>
      </c>
      <c r="G229" s="7">
        <f t="shared" si="4"/>
        <v>210</v>
      </c>
      <c r="H229" s="7">
        <v>55</v>
      </c>
      <c r="I229" s="7">
        <v>45</v>
      </c>
      <c r="J229" s="7">
        <v>45</v>
      </c>
      <c r="K229" s="7">
        <v>25</v>
      </c>
      <c r="L229" s="7">
        <v>25</v>
      </c>
      <c r="M229" s="7">
        <v>15</v>
      </c>
    </row>
    <row r="230" spans="1:13" ht="15.75" customHeight="1" x14ac:dyDescent="0.25">
      <c r="A230" s="4">
        <v>229</v>
      </c>
      <c r="B230" s="5" t="s">
        <v>229</v>
      </c>
      <c r="C230" s="6" t="s">
        <v>28</v>
      </c>
      <c r="D230" s="6" t="s">
        <v>54</v>
      </c>
      <c r="E230" s="6" t="s">
        <v>560</v>
      </c>
      <c r="F230" s="6" t="s">
        <v>564</v>
      </c>
      <c r="G230" s="7">
        <f t="shared" si="4"/>
        <v>430</v>
      </c>
      <c r="H230" s="7">
        <v>95</v>
      </c>
      <c r="I230" s="7">
        <v>85</v>
      </c>
      <c r="J230" s="7">
        <v>85</v>
      </c>
      <c r="K230" s="7">
        <v>65</v>
      </c>
      <c r="L230" s="7">
        <v>65</v>
      </c>
      <c r="M230" s="7">
        <v>35</v>
      </c>
    </row>
    <row r="231" spans="1:13" ht="15.75" customHeight="1" x14ac:dyDescent="0.25">
      <c r="A231" s="4">
        <v>230</v>
      </c>
      <c r="B231" s="5" t="s">
        <v>233</v>
      </c>
      <c r="C231" s="6" t="s">
        <v>232</v>
      </c>
      <c r="D231" s="6" t="s">
        <v>26</v>
      </c>
      <c r="E231" s="6" t="s">
        <v>966</v>
      </c>
      <c r="F231" s="6" t="s">
        <v>613</v>
      </c>
      <c r="G231" s="7">
        <f t="shared" si="4"/>
        <v>405</v>
      </c>
      <c r="H231" s="7">
        <v>60</v>
      </c>
      <c r="I231" s="7">
        <v>85</v>
      </c>
      <c r="J231" s="7">
        <v>42</v>
      </c>
      <c r="K231" s="7">
        <v>85</v>
      </c>
      <c r="L231" s="7">
        <v>42</v>
      </c>
      <c r="M231" s="7">
        <v>91</v>
      </c>
    </row>
    <row r="232" spans="1:13" ht="15.75" customHeight="1" x14ac:dyDescent="0.25">
      <c r="A232" s="4">
        <v>231</v>
      </c>
      <c r="B232" s="5" t="s">
        <v>465</v>
      </c>
      <c r="C232" s="6" t="s">
        <v>232</v>
      </c>
      <c r="D232" s="6" t="s">
        <v>26</v>
      </c>
      <c r="E232" s="6" t="s">
        <v>582</v>
      </c>
      <c r="F232" s="6" t="s">
        <v>613</v>
      </c>
      <c r="G232" s="7">
        <f t="shared" si="4"/>
        <v>505</v>
      </c>
      <c r="H232" s="7">
        <v>100</v>
      </c>
      <c r="I232" s="7">
        <v>125</v>
      </c>
      <c r="J232" s="7">
        <v>52</v>
      </c>
      <c r="K232" s="7">
        <v>105</v>
      </c>
      <c r="L232" s="7">
        <v>52</v>
      </c>
      <c r="M232" s="7">
        <v>71</v>
      </c>
    </row>
    <row r="233" spans="1:13" ht="15.75" customHeight="1" x14ac:dyDescent="0.25">
      <c r="A233" s="4">
        <v>232</v>
      </c>
      <c r="B233" s="5" t="s">
        <v>235</v>
      </c>
      <c r="C233" s="6" t="s">
        <v>125</v>
      </c>
      <c r="D233" s="6"/>
      <c r="E233" s="6" t="s">
        <v>581</v>
      </c>
      <c r="G233" s="7">
        <f t="shared" si="4"/>
        <v>435</v>
      </c>
      <c r="H233" s="7">
        <v>60</v>
      </c>
      <c r="I233" s="7">
        <v>60</v>
      </c>
      <c r="J233" s="7">
        <v>60</v>
      </c>
      <c r="K233" s="7">
        <v>85</v>
      </c>
      <c r="L233" s="7">
        <v>85</v>
      </c>
      <c r="M233" s="7">
        <v>85</v>
      </c>
    </row>
    <row r="234" spans="1:13" ht="15.75" customHeight="1" x14ac:dyDescent="0.25">
      <c r="A234" s="4">
        <v>233</v>
      </c>
      <c r="B234" s="5" t="s">
        <v>464</v>
      </c>
      <c r="C234" s="6" t="s">
        <v>125</v>
      </c>
      <c r="D234" s="6"/>
      <c r="E234" s="6" t="s">
        <v>581</v>
      </c>
      <c r="G234" s="7">
        <f t="shared" si="4"/>
        <v>525</v>
      </c>
      <c r="H234" s="7">
        <v>60</v>
      </c>
      <c r="I234" s="7">
        <v>60</v>
      </c>
      <c r="J234" s="7">
        <v>60</v>
      </c>
      <c r="K234" s="7">
        <v>115</v>
      </c>
      <c r="L234" s="7">
        <v>115</v>
      </c>
      <c r="M234" s="7">
        <v>115</v>
      </c>
    </row>
    <row r="235" spans="1:13" ht="15.75" customHeight="1" x14ac:dyDescent="0.25">
      <c r="A235" s="4">
        <v>234</v>
      </c>
      <c r="B235" s="5" t="s">
        <v>236</v>
      </c>
      <c r="C235" s="6" t="s">
        <v>92</v>
      </c>
      <c r="D235" s="6"/>
      <c r="E235" s="6" t="s">
        <v>581</v>
      </c>
      <c r="G235" s="7">
        <f t="shared" si="4"/>
        <v>336</v>
      </c>
      <c r="H235" s="7">
        <v>48</v>
      </c>
      <c r="I235" s="7">
        <v>72</v>
      </c>
      <c r="J235" s="7">
        <v>48</v>
      </c>
      <c r="K235" s="7">
        <v>72</v>
      </c>
      <c r="L235" s="7">
        <v>48</v>
      </c>
      <c r="M235" s="7">
        <v>48</v>
      </c>
    </row>
    <row r="236" spans="1:13" ht="15.75" customHeight="1" x14ac:dyDescent="0.25">
      <c r="A236" s="4">
        <v>235</v>
      </c>
      <c r="B236" s="5" t="s">
        <v>395</v>
      </c>
      <c r="C236" s="6" t="s">
        <v>92</v>
      </c>
      <c r="D236" s="6"/>
      <c r="E236" s="6" t="s">
        <v>614</v>
      </c>
      <c r="G236" s="7">
        <f>SUM(H236:M236)</f>
        <v>260</v>
      </c>
      <c r="H236" s="7">
        <v>95</v>
      </c>
      <c r="I236" s="7">
        <v>23</v>
      </c>
      <c r="J236" s="7">
        <v>48</v>
      </c>
      <c r="K236" s="7">
        <v>23</v>
      </c>
      <c r="L236" s="7">
        <v>48</v>
      </c>
      <c r="M236" s="7">
        <v>23</v>
      </c>
    </row>
    <row r="237" spans="1:13" ht="15.75" customHeight="1" x14ac:dyDescent="0.25">
      <c r="A237" s="4">
        <v>236</v>
      </c>
      <c r="B237" s="5" t="s">
        <v>237</v>
      </c>
      <c r="C237" s="6" t="s">
        <v>92</v>
      </c>
      <c r="D237" s="6"/>
      <c r="E237" s="6" t="s">
        <v>614</v>
      </c>
      <c r="G237" s="7">
        <f t="shared" ref="G237:G242" si="5">SUM(H237:M237)</f>
        <v>405</v>
      </c>
      <c r="H237" s="7">
        <v>190</v>
      </c>
      <c r="I237" s="7">
        <v>33</v>
      </c>
      <c r="J237" s="7">
        <v>58</v>
      </c>
      <c r="K237" s="7">
        <v>33</v>
      </c>
      <c r="L237" s="7">
        <v>58</v>
      </c>
      <c r="M237" s="7">
        <v>33</v>
      </c>
    </row>
    <row r="238" spans="1:13" ht="15.75" customHeight="1" x14ac:dyDescent="0.25">
      <c r="A238" s="4">
        <v>237</v>
      </c>
      <c r="B238" s="5" t="s">
        <v>238</v>
      </c>
      <c r="C238" s="6" t="s">
        <v>41</v>
      </c>
      <c r="D238" s="6" t="s">
        <v>92</v>
      </c>
      <c r="E238" s="6" t="s">
        <v>552</v>
      </c>
      <c r="F238" s="6" t="s">
        <v>574</v>
      </c>
      <c r="G238" s="7">
        <f t="shared" si="5"/>
        <v>455</v>
      </c>
      <c r="H238" s="7">
        <v>70</v>
      </c>
      <c r="I238" s="7">
        <v>80</v>
      </c>
      <c r="J238" s="7">
        <v>65</v>
      </c>
      <c r="K238" s="7">
        <v>90</v>
      </c>
      <c r="L238" s="7">
        <v>65</v>
      </c>
      <c r="M238" s="7">
        <v>85</v>
      </c>
    </row>
    <row r="239" spans="1:13" ht="15.75" customHeight="1" x14ac:dyDescent="0.25">
      <c r="A239" s="4">
        <v>238</v>
      </c>
      <c r="B239" s="5" t="s">
        <v>1165</v>
      </c>
      <c r="C239" s="6" t="s">
        <v>41</v>
      </c>
      <c r="D239" s="6" t="s">
        <v>92</v>
      </c>
      <c r="E239" s="6" t="s">
        <v>952</v>
      </c>
      <c r="F239" s="6" t="s">
        <v>1166</v>
      </c>
      <c r="G239" s="7">
        <f t="shared" si="5"/>
        <v>520</v>
      </c>
      <c r="H239" s="7">
        <v>120</v>
      </c>
      <c r="I239" s="7">
        <v>90</v>
      </c>
      <c r="J239" s="7">
        <v>70</v>
      </c>
      <c r="K239" s="7">
        <v>110</v>
      </c>
      <c r="L239" s="7">
        <v>70</v>
      </c>
      <c r="M239" s="7">
        <v>60</v>
      </c>
    </row>
    <row r="240" spans="1:13" ht="15.75" customHeight="1" x14ac:dyDescent="0.25">
      <c r="A240" s="4">
        <v>239</v>
      </c>
      <c r="B240" s="5" t="s">
        <v>239</v>
      </c>
      <c r="C240" s="6" t="s">
        <v>34</v>
      </c>
      <c r="D240" s="6"/>
      <c r="E240" s="6" t="s">
        <v>570</v>
      </c>
      <c r="G240" s="7">
        <f t="shared" si="5"/>
        <v>290</v>
      </c>
      <c r="H240" s="7">
        <v>50</v>
      </c>
      <c r="I240" s="7">
        <v>65</v>
      </c>
      <c r="J240" s="7">
        <v>90</v>
      </c>
      <c r="K240" s="7">
        <v>35</v>
      </c>
      <c r="L240" s="7">
        <v>35</v>
      </c>
      <c r="M240" s="7">
        <v>15</v>
      </c>
    </row>
    <row r="241" spans="1:25" ht="15.75" customHeight="1" x14ac:dyDescent="0.25">
      <c r="A241" s="4">
        <v>240</v>
      </c>
      <c r="B241" s="5" t="s">
        <v>240</v>
      </c>
      <c r="C241" s="6" t="s">
        <v>34</v>
      </c>
      <c r="D241" s="6" t="s">
        <v>112</v>
      </c>
      <c r="E241" s="6" t="s">
        <v>570</v>
      </c>
      <c r="G241" s="7">
        <f t="shared" si="5"/>
        <v>465</v>
      </c>
      <c r="H241" s="7">
        <v>75</v>
      </c>
      <c r="I241" s="7">
        <v>90</v>
      </c>
      <c r="J241" s="7">
        <v>140</v>
      </c>
      <c r="K241" s="7">
        <v>60</v>
      </c>
      <c r="L241" s="7">
        <v>60</v>
      </c>
      <c r="M241" s="7">
        <v>40</v>
      </c>
    </row>
    <row r="242" spans="1:25" ht="15.75" customHeight="1" x14ac:dyDescent="0.25">
      <c r="A242" s="4">
        <v>241</v>
      </c>
      <c r="B242" s="5" t="s">
        <v>241</v>
      </c>
      <c r="C242" s="6" t="s">
        <v>41</v>
      </c>
      <c r="D242" s="6"/>
      <c r="E242" s="6" t="s">
        <v>615</v>
      </c>
      <c r="F242" s="6" t="s">
        <v>542</v>
      </c>
      <c r="G242" s="7">
        <f t="shared" si="5"/>
        <v>415</v>
      </c>
      <c r="H242" s="7">
        <v>100</v>
      </c>
      <c r="I242" s="7">
        <v>70</v>
      </c>
      <c r="J242" s="7">
        <v>70</v>
      </c>
      <c r="K242" s="7">
        <v>65</v>
      </c>
      <c r="L242" s="7">
        <v>65</v>
      </c>
      <c r="M242" s="7">
        <v>45</v>
      </c>
    </row>
    <row r="243" spans="1:25" ht="15.75" customHeight="1" x14ac:dyDescent="0.25">
      <c r="A243" s="4">
        <v>242</v>
      </c>
      <c r="B243" s="5" t="s">
        <v>874</v>
      </c>
      <c r="C243" s="6" t="s">
        <v>41</v>
      </c>
      <c r="D243" s="6"/>
      <c r="E243" s="6" t="s">
        <v>615</v>
      </c>
      <c r="F243" s="6" t="s">
        <v>542</v>
      </c>
      <c r="G243" s="7">
        <f t="shared" ref="G243:G245" si="6">SUM(H243:M243)</f>
        <v>520</v>
      </c>
      <c r="H243" s="7">
        <v>125</v>
      </c>
      <c r="I243" s="7">
        <v>100</v>
      </c>
      <c r="J243" s="7">
        <v>80</v>
      </c>
      <c r="K243" s="7">
        <v>85</v>
      </c>
      <c r="L243" s="7">
        <v>75</v>
      </c>
      <c r="M243" s="7">
        <v>55</v>
      </c>
    </row>
    <row r="244" spans="1:25" ht="15.75" customHeight="1" x14ac:dyDescent="0.25">
      <c r="A244" s="4">
        <v>243</v>
      </c>
      <c r="B244" s="5" t="s">
        <v>242</v>
      </c>
      <c r="C244" s="6" t="s">
        <v>54</v>
      </c>
      <c r="D244" s="6" t="s">
        <v>26</v>
      </c>
      <c r="E244" s="6" t="s">
        <v>584</v>
      </c>
      <c r="F244" s="6" t="s">
        <v>546</v>
      </c>
      <c r="G244" s="7">
        <f t="shared" si="6"/>
        <v>430</v>
      </c>
      <c r="H244" s="7">
        <v>65</v>
      </c>
      <c r="I244" s="7">
        <v>75</v>
      </c>
      <c r="J244" s="7">
        <v>105</v>
      </c>
      <c r="K244" s="7">
        <v>35</v>
      </c>
      <c r="L244" s="7">
        <v>65</v>
      </c>
      <c r="M244" s="7">
        <v>85</v>
      </c>
      <c r="N244" s="5"/>
      <c r="O244" s="6"/>
      <c r="P244" s="6"/>
      <c r="Q244" s="6"/>
      <c r="R244" s="6"/>
      <c r="S244" s="19"/>
      <c r="T244" s="19"/>
      <c r="U244" s="19"/>
      <c r="V244" s="19"/>
      <c r="W244" s="19"/>
      <c r="X244" s="19"/>
      <c r="Y244" s="19"/>
    </row>
    <row r="245" spans="1:25" ht="15.75" customHeight="1" x14ac:dyDescent="0.25">
      <c r="A245" s="4">
        <v>244</v>
      </c>
      <c r="B245" s="5" t="s">
        <v>507</v>
      </c>
      <c r="C245" s="6" t="s">
        <v>54</v>
      </c>
      <c r="D245" s="6" t="s">
        <v>26</v>
      </c>
      <c r="E245" s="6" t="s">
        <v>584</v>
      </c>
      <c r="F245" s="6" t="s">
        <v>546</v>
      </c>
      <c r="G245" s="7">
        <f t="shared" si="6"/>
        <v>510</v>
      </c>
      <c r="H245" s="7">
        <v>75</v>
      </c>
      <c r="I245" s="7">
        <v>95</v>
      </c>
      <c r="J245" s="7">
        <v>125</v>
      </c>
      <c r="K245" s="7">
        <v>45</v>
      </c>
      <c r="L245" s="7">
        <v>75</v>
      </c>
      <c r="M245" s="7">
        <v>95</v>
      </c>
    </row>
    <row r="246" spans="1:25" ht="15.75" customHeight="1" x14ac:dyDescent="0.25">
      <c r="A246" s="4">
        <v>245</v>
      </c>
      <c r="B246" s="5" t="s">
        <v>244</v>
      </c>
      <c r="C246" s="6" t="s">
        <v>41</v>
      </c>
      <c r="D246" s="6"/>
      <c r="E246" s="6" t="s">
        <v>544</v>
      </c>
      <c r="F246" s="6" t="s">
        <v>542</v>
      </c>
      <c r="G246" s="7">
        <f t="shared" ref="G246:G275" si="7">SUM(H246:M246)</f>
        <v>300</v>
      </c>
      <c r="H246" s="7">
        <v>60</v>
      </c>
      <c r="I246" s="7">
        <v>80</v>
      </c>
      <c r="J246" s="7">
        <v>50</v>
      </c>
      <c r="K246" s="7">
        <v>40</v>
      </c>
      <c r="L246" s="7">
        <v>40</v>
      </c>
      <c r="M246" s="7">
        <v>30</v>
      </c>
    </row>
    <row r="247" spans="1:25" ht="15.75" customHeight="1" x14ac:dyDescent="0.25">
      <c r="A247" s="4">
        <v>246</v>
      </c>
      <c r="B247" s="5" t="s">
        <v>245</v>
      </c>
      <c r="C247" s="6" t="s">
        <v>41</v>
      </c>
      <c r="D247" s="6"/>
      <c r="E247" s="6" t="s">
        <v>544</v>
      </c>
      <c r="F247" s="6" t="s">
        <v>616</v>
      </c>
      <c r="G247" s="7">
        <f t="shared" si="7"/>
        <v>450</v>
      </c>
      <c r="H247" s="7">
        <v>90</v>
      </c>
      <c r="I247" s="7">
        <v>120</v>
      </c>
      <c r="J247" s="7">
        <v>75</v>
      </c>
      <c r="K247" s="7">
        <v>60</v>
      </c>
      <c r="L247" s="7">
        <v>60</v>
      </c>
      <c r="M247" s="7">
        <v>45</v>
      </c>
    </row>
    <row r="248" spans="1:25" ht="15.75" customHeight="1" x14ac:dyDescent="0.25">
      <c r="A248" s="4">
        <v>247</v>
      </c>
      <c r="B248" s="5" t="s">
        <v>246</v>
      </c>
      <c r="C248" s="6" t="s">
        <v>28</v>
      </c>
      <c r="D248" s="6" t="s">
        <v>15</v>
      </c>
      <c r="E248" s="6" t="s">
        <v>547</v>
      </c>
      <c r="F248" s="6" t="s">
        <v>594</v>
      </c>
      <c r="G248" s="7">
        <f t="shared" si="7"/>
        <v>440</v>
      </c>
      <c r="H248" s="7">
        <v>65</v>
      </c>
      <c r="I248" s="7">
        <v>95</v>
      </c>
      <c r="J248" s="7">
        <v>85</v>
      </c>
      <c r="K248" s="7">
        <v>55</v>
      </c>
      <c r="L248" s="7">
        <v>55</v>
      </c>
      <c r="M248" s="7">
        <v>85</v>
      </c>
    </row>
    <row r="249" spans="1:25" ht="15.75" customHeight="1" x14ac:dyDescent="0.25">
      <c r="A249" s="4">
        <v>248</v>
      </c>
      <c r="B249" s="5" t="s">
        <v>1181</v>
      </c>
      <c r="C249" s="6" t="s">
        <v>232</v>
      </c>
      <c r="D249" s="6" t="s">
        <v>15</v>
      </c>
      <c r="E249" s="6" t="s">
        <v>547</v>
      </c>
      <c r="F249" s="6" t="s">
        <v>594</v>
      </c>
      <c r="G249" s="7">
        <f t="shared" si="7"/>
        <v>510</v>
      </c>
      <c r="H249" s="7">
        <v>85</v>
      </c>
      <c r="I249" s="7">
        <v>115</v>
      </c>
      <c r="J249" s="7">
        <v>95</v>
      </c>
      <c r="K249" s="7">
        <v>65</v>
      </c>
      <c r="L249" s="7">
        <v>65</v>
      </c>
      <c r="M249" s="7">
        <v>85</v>
      </c>
    </row>
    <row r="250" spans="1:25" ht="15.75" customHeight="1" x14ac:dyDescent="0.25">
      <c r="A250" s="4">
        <v>249</v>
      </c>
      <c r="B250" s="5" t="s">
        <v>248</v>
      </c>
      <c r="C250" s="6" t="s">
        <v>34</v>
      </c>
      <c r="D250" s="6" t="s">
        <v>104</v>
      </c>
      <c r="E250" s="6" t="s">
        <v>570</v>
      </c>
      <c r="F250" s="6" t="s">
        <v>617</v>
      </c>
      <c r="G250" s="7">
        <f t="shared" si="7"/>
        <v>505</v>
      </c>
      <c r="H250" s="7">
        <v>20</v>
      </c>
      <c r="I250" s="7">
        <v>10</v>
      </c>
      <c r="J250" s="7">
        <v>230</v>
      </c>
      <c r="K250" s="7">
        <v>10</v>
      </c>
      <c r="L250" s="7">
        <v>230</v>
      </c>
      <c r="M250" s="7">
        <v>5</v>
      </c>
    </row>
    <row r="251" spans="1:25" ht="15.75" customHeight="1" x14ac:dyDescent="0.25">
      <c r="A251" s="4">
        <v>250</v>
      </c>
      <c r="B251" s="5" t="s">
        <v>249</v>
      </c>
      <c r="C251" s="6" t="s">
        <v>34</v>
      </c>
      <c r="D251" s="6" t="s">
        <v>84</v>
      </c>
      <c r="E251" s="6" t="s">
        <v>539</v>
      </c>
      <c r="F251" s="6" t="s">
        <v>543</v>
      </c>
      <c r="G251" s="7">
        <f t="shared" si="7"/>
        <v>500</v>
      </c>
      <c r="H251" s="7">
        <v>80</v>
      </c>
      <c r="I251" s="7">
        <v>125</v>
      </c>
      <c r="J251" s="7">
        <v>75</v>
      </c>
      <c r="K251" s="7">
        <v>40</v>
      </c>
      <c r="L251" s="7">
        <v>95</v>
      </c>
      <c r="M251" s="7">
        <v>85</v>
      </c>
    </row>
    <row r="252" spans="1:25" ht="15.75" customHeight="1" x14ac:dyDescent="0.25">
      <c r="A252" s="4">
        <v>251</v>
      </c>
      <c r="B252" s="5" t="s">
        <v>250</v>
      </c>
      <c r="C252" s="6" t="s">
        <v>232</v>
      </c>
      <c r="D252" s="6" t="s">
        <v>119</v>
      </c>
      <c r="E252" s="6" t="s">
        <v>552</v>
      </c>
      <c r="F252" s="6" t="s">
        <v>540</v>
      </c>
      <c r="G252" s="7">
        <f t="shared" si="7"/>
        <v>430</v>
      </c>
      <c r="H252" s="7">
        <v>55</v>
      </c>
      <c r="I252" s="7">
        <v>95</v>
      </c>
      <c r="J252" s="7">
        <v>55</v>
      </c>
      <c r="K252" s="7">
        <v>35</v>
      </c>
      <c r="L252" s="7">
        <v>75</v>
      </c>
      <c r="M252" s="7">
        <v>115</v>
      </c>
    </row>
    <row r="253" spans="1:25" ht="15.75" customHeight="1" x14ac:dyDescent="0.25">
      <c r="A253" s="4">
        <v>252</v>
      </c>
      <c r="B253" s="5" t="s">
        <v>496</v>
      </c>
      <c r="C253" s="6" t="s">
        <v>232</v>
      </c>
      <c r="D253" s="6" t="s">
        <v>119</v>
      </c>
      <c r="E253" s="6" t="s">
        <v>605</v>
      </c>
      <c r="G253" s="7">
        <f t="shared" si="7"/>
        <v>510</v>
      </c>
      <c r="H253" s="7">
        <v>70</v>
      </c>
      <c r="I253" s="7">
        <v>120</v>
      </c>
      <c r="J253" s="7">
        <v>65</v>
      </c>
      <c r="K253" s="7">
        <v>45</v>
      </c>
      <c r="L253" s="7">
        <v>85</v>
      </c>
      <c r="M253" s="7">
        <v>125</v>
      </c>
    </row>
    <row r="254" spans="1:25" ht="15.75" customHeight="1" x14ac:dyDescent="0.25">
      <c r="A254" s="4">
        <v>253</v>
      </c>
      <c r="B254" s="5" t="s">
        <v>251</v>
      </c>
      <c r="C254" s="6" t="s">
        <v>41</v>
      </c>
      <c r="D254" s="6"/>
      <c r="E254" s="6" t="s">
        <v>610</v>
      </c>
      <c r="F254" s="6" t="s">
        <v>616</v>
      </c>
      <c r="G254" s="7">
        <f t="shared" si="7"/>
        <v>330</v>
      </c>
      <c r="H254" s="7">
        <v>60</v>
      </c>
      <c r="I254" s="7">
        <v>80</v>
      </c>
      <c r="J254" s="7">
        <v>50</v>
      </c>
      <c r="K254" s="7">
        <v>50</v>
      </c>
      <c r="L254" s="7">
        <v>50</v>
      </c>
      <c r="M254" s="7">
        <v>40</v>
      </c>
    </row>
    <row r="255" spans="1:25" ht="15.75" customHeight="1" x14ac:dyDescent="0.25">
      <c r="A255" s="4">
        <v>254</v>
      </c>
      <c r="B255" s="5" t="s">
        <v>252</v>
      </c>
      <c r="C255" s="6" t="s">
        <v>41</v>
      </c>
      <c r="D255" s="6"/>
      <c r="E255" s="6" t="s">
        <v>543</v>
      </c>
      <c r="F255" s="6" t="s">
        <v>616</v>
      </c>
      <c r="G255" s="7">
        <f t="shared" si="7"/>
        <v>500</v>
      </c>
      <c r="H255" s="7">
        <v>90</v>
      </c>
      <c r="I255" s="7">
        <v>130</v>
      </c>
      <c r="J255" s="7">
        <v>75</v>
      </c>
      <c r="K255" s="7">
        <v>75</v>
      </c>
      <c r="L255" s="7">
        <v>75</v>
      </c>
      <c r="M255" s="7">
        <v>55</v>
      </c>
    </row>
    <row r="256" spans="1:25" ht="15.75" customHeight="1" x14ac:dyDescent="0.25">
      <c r="A256" s="4">
        <v>255</v>
      </c>
      <c r="B256" s="5" t="s">
        <v>1167</v>
      </c>
      <c r="C256" s="6" t="s">
        <v>41</v>
      </c>
      <c r="D256" s="6" t="s">
        <v>54</v>
      </c>
      <c r="E256" s="6" t="s">
        <v>543</v>
      </c>
      <c r="F256" s="6" t="s">
        <v>1168</v>
      </c>
      <c r="G256" s="7">
        <f t="shared" si="7"/>
        <v>550</v>
      </c>
      <c r="H256" s="7">
        <v>130</v>
      </c>
      <c r="I256" s="7">
        <v>140</v>
      </c>
      <c r="J256" s="7">
        <v>105</v>
      </c>
      <c r="K256" s="7">
        <v>45</v>
      </c>
      <c r="L256" s="7">
        <v>80</v>
      </c>
      <c r="M256" s="7">
        <v>50</v>
      </c>
    </row>
    <row r="257" spans="1:13" ht="15.75" customHeight="1" x14ac:dyDescent="0.25">
      <c r="A257" s="4">
        <v>256</v>
      </c>
      <c r="B257" s="5" t="s">
        <v>253</v>
      </c>
      <c r="C257" s="6" t="s">
        <v>21</v>
      </c>
      <c r="D257" s="6"/>
      <c r="E257" s="6" t="s">
        <v>618</v>
      </c>
      <c r="F257" s="6" t="s">
        <v>598</v>
      </c>
      <c r="G257" s="7">
        <f t="shared" si="7"/>
        <v>250</v>
      </c>
      <c r="H257" s="7">
        <v>40</v>
      </c>
      <c r="I257" s="7">
        <v>40</v>
      </c>
      <c r="J257" s="7">
        <v>40</v>
      </c>
      <c r="K257" s="7">
        <v>70</v>
      </c>
      <c r="L257" s="7">
        <v>40</v>
      </c>
      <c r="M257" s="7">
        <v>20</v>
      </c>
    </row>
    <row r="258" spans="1:13" ht="15.75" customHeight="1" x14ac:dyDescent="0.25">
      <c r="A258" s="4">
        <v>257</v>
      </c>
      <c r="B258" s="5" t="s">
        <v>254</v>
      </c>
      <c r="C258" s="6" t="s">
        <v>21</v>
      </c>
      <c r="D258" s="6" t="s">
        <v>104</v>
      </c>
      <c r="E258" s="6" t="s">
        <v>618</v>
      </c>
      <c r="F258" s="6" t="s">
        <v>598</v>
      </c>
      <c r="G258" s="7">
        <f t="shared" si="7"/>
        <v>430</v>
      </c>
      <c r="H258" s="7">
        <v>60</v>
      </c>
      <c r="I258" s="7">
        <v>50</v>
      </c>
      <c r="J258" s="7">
        <v>120</v>
      </c>
      <c r="K258" s="7">
        <v>90</v>
      </c>
      <c r="L258" s="7">
        <v>80</v>
      </c>
      <c r="M258" s="7">
        <v>30</v>
      </c>
    </row>
    <row r="259" spans="1:13" ht="15.75" customHeight="1" x14ac:dyDescent="0.25">
      <c r="A259" s="4">
        <v>258</v>
      </c>
      <c r="B259" s="5" t="s">
        <v>255</v>
      </c>
      <c r="C259" s="6" t="s">
        <v>119</v>
      </c>
      <c r="D259" s="6" t="s">
        <v>54</v>
      </c>
      <c r="E259" s="6" t="s">
        <v>571</v>
      </c>
      <c r="F259" s="6" t="s">
        <v>619</v>
      </c>
      <c r="G259" s="7">
        <f t="shared" si="7"/>
        <v>250</v>
      </c>
      <c r="H259" s="7">
        <v>50</v>
      </c>
      <c r="I259" s="7">
        <v>50</v>
      </c>
      <c r="J259" s="7">
        <v>40</v>
      </c>
      <c r="K259" s="7">
        <v>30</v>
      </c>
      <c r="L259" s="7">
        <v>30</v>
      </c>
      <c r="M259" s="7">
        <v>50</v>
      </c>
    </row>
    <row r="260" spans="1:13" ht="15.75" customHeight="1" x14ac:dyDescent="0.25">
      <c r="A260" s="4">
        <v>259</v>
      </c>
      <c r="B260" s="5" t="s">
        <v>256</v>
      </c>
      <c r="C260" s="6" t="s">
        <v>119</v>
      </c>
      <c r="D260" s="6" t="s">
        <v>54</v>
      </c>
      <c r="E260" s="6" t="s">
        <v>571</v>
      </c>
      <c r="F260" s="6" t="s">
        <v>619</v>
      </c>
      <c r="G260" s="7">
        <f t="shared" si="7"/>
        <v>450</v>
      </c>
      <c r="H260" s="7">
        <v>100</v>
      </c>
      <c r="I260" s="7">
        <v>100</v>
      </c>
      <c r="J260" s="7">
        <v>80</v>
      </c>
      <c r="K260" s="7">
        <v>60</v>
      </c>
      <c r="L260" s="7">
        <v>60</v>
      </c>
      <c r="M260" s="7">
        <v>50</v>
      </c>
    </row>
    <row r="261" spans="1:13" ht="15.75" customHeight="1" x14ac:dyDescent="0.25">
      <c r="A261" s="4">
        <v>260</v>
      </c>
      <c r="B261" s="5" t="s">
        <v>508</v>
      </c>
      <c r="C261" s="6" t="s">
        <v>119</v>
      </c>
      <c r="D261" s="6" t="s">
        <v>54</v>
      </c>
      <c r="E261" s="6" t="s">
        <v>571</v>
      </c>
      <c r="F261" s="6" t="s">
        <v>619</v>
      </c>
      <c r="G261" s="7">
        <f t="shared" si="7"/>
        <v>530</v>
      </c>
      <c r="H261" s="7">
        <v>110</v>
      </c>
      <c r="I261" s="7">
        <v>130</v>
      </c>
      <c r="J261" s="7">
        <v>80</v>
      </c>
      <c r="K261" s="7">
        <v>70</v>
      </c>
      <c r="L261" s="7">
        <v>60</v>
      </c>
      <c r="M261" s="7">
        <v>80</v>
      </c>
    </row>
    <row r="262" spans="1:13" ht="15.75" customHeight="1" x14ac:dyDescent="0.25">
      <c r="A262" s="4">
        <v>261</v>
      </c>
      <c r="B262" s="5" t="s">
        <v>257</v>
      </c>
      <c r="C262" s="6" t="s">
        <v>28</v>
      </c>
      <c r="D262" s="6" t="s">
        <v>104</v>
      </c>
      <c r="E262" s="6" t="s">
        <v>608</v>
      </c>
      <c r="F262" s="6" t="s">
        <v>590</v>
      </c>
      <c r="G262" s="7">
        <f t="shared" si="7"/>
        <v>410</v>
      </c>
      <c r="H262" s="7">
        <v>65</v>
      </c>
      <c r="I262" s="7">
        <v>55</v>
      </c>
      <c r="J262" s="7">
        <v>95</v>
      </c>
      <c r="K262" s="7">
        <v>65</v>
      </c>
      <c r="L262" s="7">
        <v>95</v>
      </c>
      <c r="M262" s="7">
        <v>35</v>
      </c>
    </row>
    <row r="263" spans="1:13" ht="15.75" customHeight="1" x14ac:dyDescent="0.25">
      <c r="A263" s="4">
        <v>262</v>
      </c>
      <c r="B263" s="5" t="s">
        <v>1182</v>
      </c>
      <c r="C263" s="6" t="s">
        <v>125</v>
      </c>
      <c r="D263" s="6"/>
      <c r="E263" s="6" t="s">
        <v>1183</v>
      </c>
      <c r="G263" s="7">
        <f t="shared" si="7"/>
        <v>510</v>
      </c>
      <c r="H263" s="7">
        <v>60</v>
      </c>
      <c r="I263" s="7">
        <v>95</v>
      </c>
      <c r="J263" s="7">
        <v>50</v>
      </c>
      <c r="K263" s="7">
        <v>145</v>
      </c>
      <c r="L263" s="7">
        <v>130</v>
      </c>
      <c r="M263" s="7">
        <v>30</v>
      </c>
    </row>
    <row r="264" spans="1:13" ht="15.75" customHeight="1" x14ac:dyDescent="0.25">
      <c r="A264" s="4">
        <v>263</v>
      </c>
      <c r="B264" s="5" t="s">
        <v>258</v>
      </c>
      <c r="C264" s="6" t="s">
        <v>28</v>
      </c>
      <c r="D264" s="6"/>
      <c r="E264" s="6" t="s">
        <v>608</v>
      </c>
      <c r="F264" s="6" t="s">
        <v>595</v>
      </c>
      <c r="G264" s="7">
        <f t="shared" si="7"/>
        <v>300</v>
      </c>
      <c r="H264" s="7">
        <v>35</v>
      </c>
      <c r="I264" s="7">
        <v>65</v>
      </c>
      <c r="J264" s="7">
        <v>35</v>
      </c>
      <c r="K264" s="7">
        <v>65</v>
      </c>
      <c r="L264" s="7">
        <v>35</v>
      </c>
      <c r="M264" s="7">
        <v>65</v>
      </c>
    </row>
    <row r="265" spans="1:13" ht="15.75" customHeight="1" x14ac:dyDescent="0.25">
      <c r="A265" s="4">
        <v>264</v>
      </c>
      <c r="B265" s="5" t="s">
        <v>259</v>
      </c>
      <c r="C265" s="6" t="s">
        <v>28</v>
      </c>
      <c r="D265" s="6"/>
      <c r="E265" s="6" t="s">
        <v>620</v>
      </c>
      <c r="F265" s="6" t="s">
        <v>595</v>
      </c>
      <c r="G265" s="7">
        <f t="shared" si="7"/>
        <v>480</v>
      </c>
      <c r="H265" s="7">
        <v>75</v>
      </c>
      <c r="I265" s="7">
        <v>105</v>
      </c>
      <c r="J265" s="7">
        <v>75</v>
      </c>
      <c r="K265" s="7">
        <v>105</v>
      </c>
      <c r="L265" s="7">
        <v>75</v>
      </c>
      <c r="M265" s="7">
        <v>45</v>
      </c>
    </row>
    <row r="266" spans="1:13" ht="15.75" customHeight="1" x14ac:dyDescent="0.25">
      <c r="A266" s="4">
        <v>265</v>
      </c>
      <c r="B266" s="5" t="s">
        <v>260</v>
      </c>
      <c r="C266" s="6" t="s">
        <v>119</v>
      </c>
      <c r="D266" s="6" t="s">
        <v>26</v>
      </c>
      <c r="E266" s="6" t="s">
        <v>562</v>
      </c>
      <c r="F266" s="6" t="s">
        <v>608</v>
      </c>
      <c r="G266" s="7">
        <f t="shared" si="7"/>
        <v>330</v>
      </c>
      <c r="H266" s="7">
        <v>45</v>
      </c>
      <c r="I266" s="7">
        <v>55</v>
      </c>
      <c r="J266" s="7">
        <v>45</v>
      </c>
      <c r="K266" s="7">
        <v>65</v>
      </c>
      <c r="L266" s="7">
        <v>45</v>
      </c>
      <c r="M266" s="7">
        <v>75</v>
      </c>
    </row>
    <row r="267" spans="1:13" ht="15.75" customHeight="1" x14ac:dyDescent="0.25">
      <c r="A267" s="4">
        <v>266</v>
      </c>
      <c r="B267" s="5" t="s">
        <v>493</v>
      </c>
      <c r="C267" s="6" t="s">
        <v>28</v>
      </c>
      <c r="D267" s="6" t="s">
        <v>26</v>
      </c>
      <c r="E267" s="6" t="s">
        <v>594</v>
      </c>
      <c r="F267" s="6" t="s">
        <v>564</v>
      </c>
      <c r="G267" s="7">
        <f t="shared" si="7"/>
        <v>345</v>
      </c>
      <c r="H267" s="7">
        <v>45</v>
      </c>
      <c r="I267" s="7">
        <v>20</v>
      </c>
      <c r="J267" s="7">
        <v>50</v>
      </c>
      <c r="K267" s="7">
        <v>60</v>
      </c>
      <c r="L267" s="7">
        <v>120</v>
      </c>
      <c r="M267" s="7">
        <v>50</v>
      </c>
    </row>
    <row r="268" spans="1:13" ht="15.75" customHeight="1" x14ac:dyDescent="0.25">
      <c r="A268" s="4">
        <v>267</v>
      </c>
      <c r="B268" s="5" t="s">
        <v>261</v>
      </c>
      <c r="C268" s="6" t="s">
        <v>28</v>
      </c>
      <c r="D268" s="6" t="s">
        <v>26</v>
      </c>
      <c r="E268" s="6" t="s">
        <v>594</v>
      </c>
      <c r="F268" s="6" t="s">
        <v>564</v>
      </c>
      <c r="G268" s="7">
        <f t="shared" si="7"/>
        <v>485</v>
      </c>
      <c r="H268" s="7">
        <v>85</v>
      </c>
      <c r="I268" s="7">
        <v>40</v>
      </c>
      <c r="J268" s="7">
        <v>70</v>
      </c>
      <c r="K268" s="7">
        <v>80</v>
      </c>
      <c r="L268" s="7">
        <v>140</v>
      </c>
      <c r="M268" s="7">
        <v>70</v>
      </c>
    </row>
    <row r="269" spans="1:13" ht="15.75" customHeight="1" x14ac:dyDescent="0.25">
      <c r="A269" s="4">
        <v>268</v>
      </c>
      <c r="B269" s="5" t="s">
        <v>263</v>
      </c>
      <c r="C269" s="6" t="s">
        <v>232</v>
      </c>
      <c r="D269" s="6" t="s">
        <v>21</v>
      </c>
      <c r="E269" s="6" t="s">
        <v>574</v>
      </c>
      <c r="F269" s="6" t="s">
        <v>551</v>
      </c>
      <c r="G269" s="7">
        <f t="shared" si="7"/>
        <v>330</v>
      </c>
      <c r="H269" s="7">
        <v>45</v>
      </c>
      <c r="I269" s="7">
        <v>60</v>
      </c>
      <c r="J269" s="7">
        <v>30</v>
      </c>
      <c r="K269" s="7">
        <v>80</v>
      </c>
      <c r="L269" s="7">
        <v>50</v>
      </c>
      <c r="M269" s="7">
        <v>65</v>
      </c>
    </row>
    <row r="270" spans="1:13" ht="15.75" customHeight="1" x14ac:dyDescent="0.25">
      <c r="A270" s="4">
        <v>269</v>
      </c>
      <c r="B270" s="5" t="s">
        <v>264</v>
      </c>
      <c r="C270" s="6" t="s">
        <v>232</v>
      </c>
      <c r="D270" s="6" t="s">
        <v>21</v>
      </c>
      <c r="E270" s="6" t="s">
        <v>574</v>
      </c>
      <c r="F270" s="6" t="s">
        <v>551</v>
      </c>
      <c r="G270" s="7">
        <f t="shared" si="7"/>
        <v>500</v>
      </c>
      <c r="H270" s="7">
        <v>75</v>
      </c>
      <c r="I270" s="7">
        <v>90</v>
      </c>
      <c r="J270" s="7">
        <v>50</v>
      </c>
      <c r="K270" s="7">
        <v>110</v>
      </c>
      <c r="L270" s="7">
        <v>80</v>
      </c>
      <c r="M270" s="7">
        <v>95</v>
      </c>
    </row>
    <row r="271" spans="1:13" ht="15.75" customHeight="1" x14ac:dyDescent="0.25">
      <c r="A271" s="4">
        <v>270</v>
      </c>
      <c r="B271" s="5" t="s">
        <v>266</v>
      </c>
      <c r="C271" s="6" t="s">
        <v>54</v>
      </c>
      <c r="D271" s="6"/>
      <c r="E271" s="6" t="s">
        <v>610</v>
      </c>
      <c r="G271" s="7">
        <f t="shared" si="7"/>
        <v>330</v>
      </c>
      <c r="H271" s="7">
        <v>90</v>
      </c>
      <c r="I271" s="7">
        <v>60</v>
      </c>
      <c r="J271" s="7">
        <v>60</v>
      </c>
      <c r="K271" s="7">
        <v>40</v>
      </c>
      <c r="L271" s="7">
        <v>40</v>
      </c>
      <c r="M271" s="7">
        <v>40</v>
      </c>
    </row>
    <row r="272" spans="1:13" ht="15.75" customHeight="1" x14ac:dyDescent="0.25">
      <c r="A272" s="4">
        <v>271</v>
      </c>
      <c r="B272" s="5" t="s">
        <v>267</v>
      </c>
      <c r="C272" s="6" t="s">
        <v>54</v>
      </c>
      <c r="D272" s="6"/>
      <c r="E272" s="6" t="s">
        <v>570</v>
      </c>
      <c r="G272" s="7">
        <f t="shared" si="7"/>
        <v>500</v>
      </c>
      <c r="H272" s="7">
        <v>90</v>
      </c>
      <c r="I272" s="7">
        <v>120</v>
      </c>
      <c r="J272" s="7">
        <v>120</v>
      </c>
      <c r="K272" s="7">
        <v>60</v>
      </c>
      <c r="L272" s="7">
        <v>60</v>
      </c>
      <c r="M272" s="7">
        <v>50</v>
      </c>
    </row>
    <row r="273" spans="1:13" ht="15.75" customHeight="1" x14ac:dyDescent="0.25">
      <c r="A273" s="4">
        <v>272</v>
      </c>
      <c r="B273" s="5" t="s">
        <v>269</v>
      </c>
      <c r="C273" s="6" t="s">
        <v>41</v>
      </c>
      <c r="D273" s="6"/>
      <c r="E273" s="6" t="s">
        <v>544</v>
      </c>
      <c r="F273" s="6" t="s">
        <v>621</v>
      </c>
      <c r="G273" s="7">
        <f t="shared" si="7"/>
        <v>465</v>
      </c>
      <c r="H273" s="7">
        <v>73</v>
      </c>
      <c r="I273" s="7">
        <v>95</v>
      </c>
      <c r="J273" s="7">
        <v>62</v>
      </c>
      <c r="K273" s="7">
        <v>85</v>
      </c>
      <c r="L273" s="7">
        <v>65</v>
      </c>
      <c r="M273" s="7">
        <v>85</v>
      </c>
    </row>
    <row r="274" spans="1:13" ht="15.75" customHeight="1" x14ac:dyDescent="0.25">
      <c r="A274" s="4">
        <v>273</v>
      </c>
      <c r="B274" s="5" t="s">
        <v>1169</v>
      </c>
      <c r="C274" s="6" t="s">
        <v>41</v>
      </c>
      <c r="D274" s="6" t="s">
        <v>92</v>
      </c>
      <c r="E274" s="6" t="s">
        <v>544</v>
      </c>
      <c r="F274" s="6" t="s">
        <v>621</v>
      </c>
      <c r="G274" s="7">
        <f t="shared" si="7"/>
        <v>525</v>
      </c>
      <c r="H274" s="7">
        <v>103</v>
      </c>
      <c r="I274" s="7">
        <v>105</v>
      </c>
      <c r="J274" s="7">
        <v>72</v>
      </c>
      <c r="K274" s="7">
        <v>105</v>
      </c>
      <c r="L274" s="7">
        <v>75</v>
      </c>
      <c r="M274" s="7">
        <v>65</v>
      </c>
    </row>
    <row r="275" spans="1:13" ht="15.75" customHeight="1" x14ac:dyDescent="0.25">
      <c r="A275" s="4">
        <v>274</v>
      </c>
      <c r="B275" s="5" t="s">
        <v>270</v>
      </c>
      <c r="C275" s="6" t="s">
        <v>41</v>
      </c>
      <c r="D275" s="6"/>
      <c r="E275" s="6" t="s">
        <v>572</v>
      </c>
      <c r="F275" s="6" t="s">
        <v>558</v>
      </c>
      <c r="G275" s="7">
        <f t="shared" si="7"/>
        <v>250</v>
      </c>
      <c r="H275" s="7">
        <v>55</v>
      </c>
      <c r="I275" s="7">
        <v>20</v>
      </c>
      <c r="J275" s="7">
        <v>35</v>
      </c>
      <c r="K275" s="7">
        <v>20</v>
      </c>
      <c r="L275" s="7">
        <v>45</v>
      </c>
      <c r="M275" s="7">
        <v>75</v>
      </c>
    </row>
    <row r="276" spans="1:13" ht="15.75" customHeight="1" x14ac:dyDescent="0.25">
      <c r="A276" s="4">
        <v>275</v>
      </c>
      <c r="B276" s="5" t="s">
        <v>276</v>
      </c>
      <c r="C276" s="6" t="s">
        <v>41</v>
      </c>
      <c r="D276" s="6"/>
      <c r="E276" s="6" t="s">
        <v>575</v>
      </c>
      <c r="F276" s="6" t="s">
        <v>593</v>
      </c>
      <c r="G276" s="7">
        <f t="shared" ref="G276:G303" si="8">SUM(H276:M276)</f>
        <v>490</v>
      </c>
      <c r="H276" s="7">
        <v>95</v>
      </c>
      <c r="I276" s="7">
        <v>80</v>
      </c>
      <c r="J276" s="7">
        <v>105</v>
      </c>
      <c r="K276" s="7">
        <v>40</v>
      </c>
      <c r="L276" s="7">
        <v>70</v>
      </c>
      <c r="M276" s="7">
        <v>100</v>
      </c>
    </row>
    <row r="277" spans="1:13" ht="15.75" customHeight="1" x14ac:dyDescent="0.25">
      <c r="A277" s="4">
        <v>276</v>
      </c>
      <c r="B277" s="5" t="s">
        <v>278</v>
      </c>
      <c r="C277" s="6" t="s">
        <v>51</v>
      </c>
      <c r="D277" s="6"/>
      <c r="E277" s="6" t="s">
        <v>605</v>
      </c>
      <c r="G277" s="7">
        <f t="shared" si="8"/>
        <v>580</v>
      </c>
      <c r="H277" s="7">
        <v>90</v>
      </c>
      <c r="I277" s="7">
        <v>85</v>
      </c>
      <c r="J277" s="7">
        <v>75</v>
      </c>
      <c r="K277" s="7">
        <v>115</v>
      </c>
      <c r="L277" s="7">
        <v>100</v>
      </c>
      <c r="M277" s="7">
        <v>115</v>
      </c>
    </row>
    <row r="278" spans="1:13" ht="15.75" customHeight="1" x14ac:dyDescent="0.25">
      <c r="A278" s="4">
        <v>277</v>
      </c>
      <c r="B278" s="5" t="s">
        <v>279</v>
      </c>
      <c r="C278" s="6" t="s">
        <v>21</v>
      </c>
      <c r="D278" s="6"/>
      <c r="E278" s="6" t="s">
        <v>605</v>
      </c>
      <c r="G278" s="7">
        <f t="shared" si="8"/>
        <v>580</v>
      </c>
      <c r="H278" s="7">
        <v>115</v>
      </c>
      <c r="I278" s="7">
        <v>115</v>
      </c>
      <c r="J278" s="7">
        <v>85</v>
      </c>
      <c r="K278" s="7">
        <v>90</v>
      </c>
      <c r="L278" s="7">
        <v>75</v>
      </c>
      <c r="M278" s="7">
        <v>100</v>
      </c>
    </row>
    <row r="279" spans="1:13" ht="15.75" customHeight="1" x14ac:dyDescent="0.25">
      <c r="A279" s="4">
        <v>278</v>
      </c>
      <c r="B279" s="5" t="s">
        <v>280</v>
      </c>
      <c r="C279" s="6" t="s">
        <v>28</v>
      </c>
      <c r="D279" s="6"/>
      <c r="E279" s="6" t="s">
        <v>605</v>
      </c>
      <c r="G279" s="7">
        <f t="shared" si="8"/>
        <v>580</v>
      </c>
      <c r="H279" s="7">
        <v>100</v>
      </c>
      <c r="I279" s="7">
        <v>75</v>
      </c>
      <c r="J279" s="7">
        <v>115</v>
      </c>
      <c r="K279" s="7">
        <v>90</v>
      </c>
      <c r="L279" s="7">
        <v>115</v>
      </c>
      <c r="M279" s="7">
        <v>85</v>
      </c>
    </row>
    <row r="280" spans="1:13" ht="15.75" customHeight="1" x14ac:dyDescent="0.25">
      <c r="A280" s="4">
        <v>279</v>
      </c>
      <c r="B280" s="5" t="s">
        <v>281</v>
      </c>
      <c r="C280" s="6" t="s">
        <v>104</v>
      </c>
      <c r="D280" s="6" t="s">
        <v>54</v>
      </c>
      <c r="E280" s="6" t="s">
        <v>543</v>
      </c>
      <c r="G280" s="7">
        <f t="shared" si="8"/>
        <v>300</v>
      </c>
      <c r="H280" s="7">
        <v>50</v>
      </c>
      <c r="I280" s="7">
        <v>64</v>
      </c>
      <c r="J280" s="7">
        <v>50</v>
      </c>
      <c r="K280" s="7">
        <v>45</v>
      </c>
      <c r="L280" s="7">
        <v>50</v>
      </c>
      <c r="M280" s="7">
        <v>41</v>
      </c>
    </row>
    <row r="281" spans="1:13" ht="15.75" customHeight="1" x14ac:dyDescent="0.25">
      <c r="A281" s="4">
        <v>280</v>
      </c>
      <c r="B281" s="5" t="s">
        <v>282</v>
      </c>
      <c r="C281" s="6" t="s">
        <v>104</v>
      </c>
      <c r="D281" s="6" t="s">
        <v>54</v>
      </c>
      <c r="E281" s="6" t="s">
        <v>537</v>
      </c>
      <c r="G281" s="7">
        <f t="shared" si="8"/>
        <v>410</v>
      </c>
      <c r="H281" s="7">
        <v>70</v>
      </c>
      <c r="I281" s="7">
        <v>84</v>
      </c>
      <c r="J281" s="7">
        <v>70</v>
      </c>
      <c r="K281" s="7">
        <v>65</v>
      </c>
      <c r="L281" s="7">
        <v>70</v>
      </c>
      <c r="M281" s="7">
        <v>51</v>
      </c>
    </row>
    <row r="282" spans="1:13" ht="15.75" customHeight="1" x14ac:dyDescent="0.25">
      <c r="A282" s="4">
        <v>281</v>
      </c>
      <c r="B282" s="5" t="s">
        <v>283</v>
      </c>
      <c r="C282" s="6" t="s">
        <v>104</v>
      </c>
      <c r="D282" s="6" t="s">
        <v>232</v>
      </c>
      <c r="E282" s="6" t="s">
        <v>623</v>
      </c>
      <c r="G282" s="7">
        <f t="shared" si="8"/>
        <v>600</v>
      </c>
      <c r="H282" s="7">
        <v>100</v>
      </c>
      <c r="I282" s="7">
        <v>134</v>
      </c>
      <c r="J282" s="7">
        <v>110</v>
      </c>
      <c r="K282" s="7">
        <v>95</v>
      </c>
      <c r="L282" s="7">
        <v>100</v>
      </c>
      <c r="M282" s="7">
        <v>61</v>
      </c>
    </row>
    <row r="283" spans="1:13" ht="15.75" customHeight="1" x14ac:dyDescent="0.25">
      <c r="A283" s="4">
        <v>282</v>
      </c>
      <c r="B283" s="5" t="s">
        <v>284</v>
      </c>
      <c r="C283" s="6" t="s">
        <v>92</v>
      </c>
      <c r="D283" s="6" t="s">
        <v>26</v>
      </c>
      <c r="E283" s="6" t="s">
        <v>605</v>
      </c>
      <c r="G283" s="7">
        <f t="shared" si="8"/>
        <v>680</v>
      </c>
      <c r="H283" s="7">
        <v>106</v>
      </c>
      <c r="I283" s="7">
        <v>90</v>
      </c>
      <c r="J283" s="7">
        <v>130</v>
      </c>
      <c r="K283" s="7">
        <v>90</v>
      </c>
      <c r="L283" s="7">
        <v>154</v>
      </c>
      <c r="M283" s="7">
        <v>110</v>
      </c>
    </row>
    <row r="284" spans="1:13" ht="15.75" customHeight="1" x14ac:dyDescent="0.25">
      <c r="A284" s="4">
        <v>283</v>
      </c>
      <c r="B284" s="5" t="s">
        <v>285</v>
      </c>
      <c r="C284" s="6" t="s">
        <v>21</v>
      </c>
      <c r="D284" s="6" t="s">
        <v>26</v>
      </c>
      <c r="E284" s="6" t="s">
        <v>605</v>
      </c>
      <c r="G284" s="7">
        <f t="shared" si="8"/>
        <v>680</v>
      </c>
      <c r="H284" s="7">
        <v>106</v>
      </c>
      <c r="I284" s="7">
        <v>130</v>
      </c>
      <c r="J284" s="7">
        <v>90</v>
      </c>
      <c r="K284" s="7">
        <v>110</v>
      </c>
      <c r="L284" s="7">
        <v>154</v>
      </c>
      <c r="M284" s="7">
        <v>90</v>
      </c>
    </row>
    <row r="285" spans="1:13" ht="15.75" customHeight="1" x14ac:dyDescent="0.25">
      <c r="A285" s="4">
        <v>284</v>
      </c>
      <c r="B285" s="5" t="s">
        <v>286</v>
      </c>
      <c r="C285" s="6" t="s">
        <v>92</v>
      </c>
      <c r="D285" s="6" t="s">
        <v>14</v>
      </c>
      <c r="E285" s="6" t="s">
        <v>590</v>
      </c>
      <c r="G285" s="7">
        <f t="shared" si="8"/>
        <v>600</v>
      </c>
      <c r="H285" s="7">
        <v>100</v>
      </c>
      <c r="I285" s="7">
        <v>100</v>
      </c>
      <c r="J285" s="7">
        <v>100</v>
      </c>
      <c r="K285" s="7">
        <v>100</v>
      </c>
      <c r="L285" s="7">
        <v>100</v>
      </c>
      <c r="M285" s="7">
        <v>100</v>
      </c>
    </row>
    <row r="286" spans="1:13" ht="15.75" customHeight="1" x14ac:dyDescent="0.25">
      <c r="A286" s="4">
        <v>285</v>
      </c>
      <c r="B286" s="5" t="s">
        <v>287</v>
      </c>
      <c r="C286" s="6" t="s">
        <v>14</v>
      </c>
      <c r="D286" s="6"/>
      <c r="E286" s="6" t="s">
        <v>16</v>
      </c>
      <c r="G286" s="7">
        <f t="shared" si="8"/>
        <v>310</v>
      </c>
      <c r="H286" s="7">
        <v>40</v>
      </c>
      <c r="I286" s="7">
        <v>45</v>
      </c>
      <c r="J286" s="7">
        <v>35</v>
      </c>
      <c r="K286" s="7">
        <v>65</v>
      </c>
      <c r="L286" s="7">
        <v>55</v>
      </c>
      <c r="M286" s="7">
        <v>70</v>
      </c>
    </row>
    <row r="287" spans="1:13" ht="15.75" customHeight="1" x14ac:dyDescent="0.25">
      <c r="A287" s="4">
        <v>286</v>
      </c>
      <c r="B287" s="5" t="s">
        <v>288</v>
      </c>
      <c r="C287" s="6" t="s">
        <v>14</v>
      </c>
      <c r="D287" s="6"/>
      <c r="E287" s="6" t="s">
        <v>16</v>
      </c>
      <c r="G287" s="7">
        <f t="shared" si="8"/>
        <v>405</v>
      </c>
      <c r="H287" s="7">
        <v>50</v>
      </c>
      <c r="I287" s="7">
        <v>65</v>
      </c>
      <c r="J287" s="7">
        <v>45</v>
      </c>
      <c r="K287" s="7">
        <v>85</v>
      </c>
      <c r="L287" s="7">
        <v>65</v>
      </c>
      <c r="M287" s="7">
        <v>95</v>
      </c>
    </row>
    <row r="288" spans="1:13" ht="15.75" customHeight="1" x14ac:dyDescent="0.25">
      <c r="A288" s="4">
        <v>287</v>
      </c>
      <c r="B288" s="5" t="s">
        <v>289</v>
      </c>
      <c r="C288" s="6" t="s">
        <v>14</v>
      </c>
      <c r="D288" s="6"/>
      <c r="E288" s="6" t="s">
        <v>16</v>
      </c>
      <c r="G288" s="7">
        <f t="shared" si="8"/>
        <v>530</v>
      </c>
      <c r="H288" s="7">
        <v>70</v>
      </c>
      <c r="I288" s="7">
        <v>85</v>
      </c>
      <c r="J288" s="7">
        <v>65</v>
      </c>
      <c r="K288" s="7">
        <v>105</v>
      </c>
      <c r="L288" s="7">
        <v>85</v>
      </c>
      <c r="M288" s="7">
        <v>120</v>
      </c>
    </row>
    <row r="289" spans="1:13" ht="15.75" customHeight="1" x14ac:dyDescent="0.25">
      <c r="A289" s="4">
        <v>288</v>
      </c>
      <c r="B289" s="5" t="s">
        <v>290</v>
      </c>
      <c r="C289" s="6" t="s">
        <v>21</v>
      </c>
      <c r="D289" s="6"/>
      <c r="E289" s="6" t="s">
        <v>22</v>
      </c>
      <c r="G289" s="7">
        <f t="shared" si="8"/>
        <v>310</v>
      </c>
      <c r="H289" s="7">
        <v>45</v>
      </c>
      <c r="I289" s="7">
        <v>60</v>
      </c>
      <c r="J289" s="7">
        <v>40</v>
      </c>
      <c r="K289" s="7">
        <v>70</v>
      </c>
      <c r="L289" s="7">
        <v>50</v>
      </c>
      <c r="M289" s="7">
        <v>45</v>
      </c>
    </row>
    <row r="290" spans="1:13" ht="15.75" customHeight="1" x14ac:dyDescent="0.25">
      <c r="A290" s="4">
        <v>289</v>
      </c>
      <c r="B290" s="5" t="s">
        <v>291</v>
      </c>
      <c r="C290" s="6" t="s">
        <v>21</v>
      </c>
      <c r="D290" s="6" t="s">
        <v>84</v>
      </c>
      <c r="E290" s="6" t="s">
        <v>22</v>
      </c>
      <c r="G290" s="7">
        <f t="shared" si="8"/>
        <v>405</v>
      </c>
      <c r="H290" s="7">
        <v>60</v>
      </c>
      <c r="I290" s="7">
        <v>85</v>
      </c>
      <c r="J290" s="7">
        <v>60</v>
      </c>
      <c r="K290" s="7">
        <v>85</v>
      </c>
      <c r="L290" s="7">
        <v>60</v>
      </c>
      <c r="M290" s="7">
        <v>55</v>
      </c>
    </row>
    <row r="291" spans="1:13" ht="15.75" customHeight="1" x14ac:dyDescent="0.25">
      <c r="A291" s="4">
        <v>290</v>
      </c>
      <c r="B291" s="5" t="s">
        <v>292</v>
      </c>
      <c r="C291" s="6" t="s">
        <v>21</v>
      </c>
      <c r="D291" s="6" t="s">
        <v>84</v>
      </c>
      <c r="E291" s="6" t="s">
        <v>22</v>
      </c>
      <c r="G291" s="7">
        <f t="shared" si="8"/>
        <v>530</v>
      </c>
      <c r="H291" s="7">
        <v>80</v>
      </c>
      <c r="I291" s="7">
        <v>120</v>
      </c>
      <c r="J291" s="7">
        <v>70</v>
      </c>
      <c r="K291" s="7">
        <v>110</v>
      </c>
      <c r="L291" s="7">
        <v>70</v>
      </c>
      <c r="M291" s="7">
        <v>80</v>
      </c>
    </row>
    <row r="292" spans="1:13" ht="15.75" customHeight="1" x14ac:dyDescent="0.25">
      <c r="A292" s="4">
        <v>291</v>
      </c>
      <c r="B292" s="5" t="s">
        <v>293</v>
      </c>
      <c r="C292" s="6" t="s">
        <v>28</v>
      </c>
      <c r="D292" s="6"/>
      <c r="E292" s="6" t="s">
        <v>29</v>
      </c>
      <c r="G292" s="7">
        <f t="shared" si="8"/>
        <v>310</v>
      </c>
      <c r="H292" s="7">
        <v>50</v>
      </c>
      <c r="I292" s="7">
        <v>70</v>
      </c>
      <c r="J292" s="7">
        <v>50</v>
      </c>
      <c r="K292" s="7">
        <v>50</v>
      </c>
      <c r="L292" s="7">
        <v>50</v>
      </c>
      <c r="M292" s="7">
        <v>40</v>
      </c>
    </row>
    <row r="293" spans="1:13" ht="15.75" customHeight="1" x14ac:dyDescent="0.25">
      <c r="A293" s="4">
        <v>292</v>
      </c>
      <c r="B293" s="5" t="s">
        <v>294</v>
      </c>
      <c r="C293" s="6" t="s">
        <v>28</v>
      </c>
      <c r="D293" s="6" t="s">
        <v>54</v>
      </c>
      <c r="E293" s="6" t="s">
        <v>29</v>
      </c>
      <c r="G293" s="7">
        <f t="shared" si="8"/>
        <v>405</v>
      </c>
      <c r="H293" s="7">
        <v>70</v>
      </c>
      <c r="I293" s="7">
        <v>85</v>
      </c>
      <c r="J293" s="7">
        <v>70</v>
      </c>
      <c r="K293" s="7">
        <v>60</v>
      </c>
      <c r="L293" s="7">
        <v>70</v>
      </c>
      <c r="M293" s="7">
        <v>50</v>
      </c>
    </row>
    <row r="294" spans="1:13" ht="15.75" customHeight="1" x14ac:dyDescent="0.25">
      <c r="A294" s="4">
        <v>293</v>
      </c>
      <c r="B294" s="5" t="s">
        <v>295</v>
      </c>
      <c r="C294" s="6" t="s">
        <v>28</v>
      </c>
      <c r="D294" s="6" t="s">
        <v>54</v>
      </c>
      <c r="E294" s="6" t="s">
        <v>29</v>
      </c>
      <c r="G294" s="7">
        <f t="shared" si="8"/>
        <v>535</v>
      </c>
      <c r="H294" s="7">
        <v>100</v>
      </c>
      <c r="I294" s="7">
        <v>110</v>
      </c>
      <c r="J294" s="7">
        <v>90</v>
      </c>
      <c r="K294" s="7">
        <v>85</v>
      </c>
      <c r="L294" s="7">
        <v>90</v>
      </c>
      <c r="M294" s="7">
        <v>60</v>
      </c>
    </row>
    <row r="295" spans="1:13" ht="15.75" customHeight="1" x14ac:dyDescent="0.25">
      <c r="A295" s="4">
        <v>294</v>
      </c>
      <c r="B295" s="5" t="s">
        <v>296</v>
      </c>
      <c r="C295" s="6" t="s">
        <v>232</v>
      </c>
      <c r="D295" s="6"/>
      <c r="E295" s="6" t="s">
        <v>542</v>
      </c>
      <c r="F295" s="6" t="s">
        <v>616</v>
      </c>
      <c r="G295" s="7">
        <f t="shared" si="8"/>
        <v>220</v>
      </c>
      <c r="H295" s="7">
        <v>35</v>
      </c>
      <c r="I295" s="7">
        <v>55</v>
      </c>
      <c r="J295" s="7">
        <v>35</v>
      </c>
      <c r="K295" s="7">
        <v>30</v>
      </c>
      <c r="L295" s="7">
        <v>30</v>
      </c>
      <c r="M295" s="7">
        <v>35</v>
      </c>
    </row>
    <row r="296" spans="1:13" ht="15.75" customHeight="1" x14ac:dyDescent="0.25">
      <c r="A296" s="4">
        <v>295</v>
      </c>
      <c r="B296" s="5" t="s">
        <v>297</v>
      </c>
      <c r="C296" s="6" t="s">
        <v>232</v>
      </c>
      <c r="D296" s="6"/>
      <c r="E296" s="6" t="s">
        <v>544</v>
      </c>
      <c r="F296" s="6" t="s">
        <v>616</v>
      </c>
      <c r="G296" s="7">
        <f t="shared" si="8"/>
        <v>420</v>
      </c>
      <c r="H296" s="7">
        <v>70</v>
      </c>
      <c r="I296" s="7">
        <v>90</v>
      </c>
      <c r="J296" s="7">
        <v>70</v>
      </c>
      <c r="K296" s="7">
        <v>60</v>
      </c>
      <c r="L296" s="7">
        <v>60</v>
      </c>
      <c r="M296" s="7">
        <v>70</v>
      </c>
    </row>
    <row r="297" spans="1:13" ht="15.75" customHeight="1" x14ac:dyDescent="0.25">
      <c r="A297" s="4">
        <v>296</v>
      </c>
      <c r="B297" s="5" t="s">
        <v>298</v>
      </c>
      <c r="C297" s="6" t="s">
        <v>41</v>
      </c>
      <c r="D297" s="6"/>
      <c r="E297" s="6" t="s">
        <v>610</v>
      </c>
      <c r="F297" s="6" t="s">
        <v>617</v>
      </c>
      <c r="G297" s="7">
        <f t="shared" si="8"/>
        <v>240</v>
      </c>
      <c r="H297" s="7">
        <v>38</v>
      </c>
      <c r="I297" s="7">
        <v>30</v>
      </c>
      <c r="J297" s="7">
        <v>41</v>
      </c>
      <c r="K297" s="7">
        <v>30</v>
      </c>
      <c r="L297" s="7">
        <v>41</v>
      </c>
      <c r="M297" s="7">
        <v>60</v>
      </c>
    </row>
    <row r="298" spans="1:13" ht="15.75" customHeight="1" x14ac:dyDescent="0.25">
      <c r="A298" s="4">
        <v>297</v>
      </c>
      <c r="B298" s="5" t="s">
        <v>299</v>
      </c>
      <c r="C298" s="6" t="s">
        <v>41</v>
      </c>
      <c r="D298" s="6"/>
      <c r="E298" s="6" t="s">
        <v>610</v>
      </c>
      <c r="F298" s="6" t="s">
        <v>617</v>
      </c>
      <c r="G298" s="7">
        <f t="shared" si="8"/>
        <v>420</v>
      </c>
      <c r="H298" s="7">
        <v>78</v>
      </c>
      <c r="I298" s="7">
        <v>70</v>
      </c>
      <c r="J298" s="7">
        <v>61</v>
      </c>
      <c r="K298" s="7">
        <v>50</v>
      </c>
      <c r="L298" s="7">
        <v>61</v>
      </c>
      <c r="M298" s="7">
        <v>100</v>
      </c>
    </row>
    <row r="299" spans="1:13" ht="15.75" customHeight="1" x14ac:dyDescent="0.25">
      <c r="A299" s="4">
        <v>298</v>
      </c>
      <c r="B299" s="5" t="s">
        <v>1184</v>
      </c>
      <c r="C299" s="6" t="s">
        <v>41</v>
      </c>
      <c r="D299" s="6" t="s">
        <v>232</v>
      </c>
      <c r="E299" s="6" t="s">
        <v>588</v>
      </c>
      <c r="F299" s="6" t="s">
        <v>543</v>
      </c>
      <c r="G299" s="7">
        <f t="shared" si="8"/>
        <v>520</v>
      </c>
      <c r="H299" s="7">
        <v>93</v>
      </c>
      <c r="I299" s="7">
        <v>90</v>
      </c>
      <c r="J299" s="7">
        <v>101</v>
      </c>
      <c r="K299" s="7">
        <v>60</v>
      </c>
      <c r="L299" s="7">
        <v>81</v>
      </c>
      <c r="M299" s="7">
        <v>95</v>
      </c>
    </row>
    <row r="300" spans="1:13" ht="15.75" customHeight="1" x14ac:dyDescent="0.25">
      <c r="A300" s="4">
        <v>299</v>
      </c>
      <c r="B300" s="5" t="s">
        <v>300</v>
      </c>
      <c r="C300" s="6" t="s">
        <v>34</v>
      </c>
      <c r="D300" s="6"/>
      <c r="E300" s="6" t="s">
        <v>536</v>
      </c>
      <c r="G300" s="7">
        <f t="shared" si="8"/>
        <v>195</v>
      </c>
      <c r="H300" s="7">
        <v>45</v>
      </c>
      <c r="I300" s="7">
        <v>45</v>
      </c>
      <c r="J300" s="7">
        <v>35</v>
      </c>
      <c r="K300" s="7">
        <v>20</v>
      </c>
      <c r="L300" s="7">
        <v>30</v>
      </c>
      <c r="M300" s="7">
        <v>20</v>
      </c>
    </row>
    <row r="301" spans="1:13" ht="15.75" customHeight="1" x14ac:dyDescent="0.25">
      <c r="A301" s="4">
        <v>300</v>
      </c>
      <c r="B301" s="5" t="s">
        <v>301</v>
      </c>
      <c r="C301" s="6" t="s">
        <v>34</v>
      </c>
      <c r="D301" s="6"/>
      <c r="E301" s="6" t="s">
        <v>537</v>
      </c>
      <c r="G301" s="7">
        <f t="shared" si="8"/>
        <v>205</v>
      </c>
      <c r="H301" s="7">
        <v>50</v>
      </c>
      <c r="I301" s="7">
        <v>35</v>
      </c>
      <c r="J301" s="7">
        <v>55</v>
      </c>
      <c r="K301" s="7">
        <v>25</v>
      </c>
      <c r="L301" s="7">
        <v>25</v>
      </c>
      <c r="M301" s="7">
        <v>15</v>
      </c>
    </row>
    <row r="302" spans="1:13" ht="15.75" customHeight="1" x14ac:dyDescent="0.25">
      <c r="A302" s="4">
        <v>301</v>
      </c>
      <c r="B302" s="5" t="s">
        <v>302</v>
      </c>
      <c r="C302" s="6" t="s">
        <v>34</v>
      </c>
      <c r="D302" s="6" t="s">
        <v>26</v>
      </c>
      <c r="E302" s="6" t="s">
        <v>539</v>
      </c>
      <c r="G302" s="7">
        <f t="shared" si="8"/>
        <v>385</v>
      </c>
      <c r="H302" s="7">
        <v>60</v>
      </c>
      <c r="I302" s="7">
        <v>70</v>
      </c>
      <c r="J302" s="7">
        <v>50</v>
      </c>
      <c r="K302" s="7">
        <v>90</v>
      </c>
      <c r="L302" s="7">
        <v>50</v>
      </c>
      <c r="M302" s="7">
        <v>65</v>
      </c>
    </row>
    <row r="303" spans="1:13" ht="15.75" customHeight="1" x14ac:dyDescent="0.25">
      <c r="A303" s="4">
        <v>302</v>
      </c>
      <c r="B303" s="5" t="s">
        <v>303</v>
      </c>
      <c r="C303" s="6" t="s">
        <v>34</v>
      </c>
      <c r="D303" s="6"/>
      <c r="E303" s="6" t="s">
        <v>537</v>
      </c>
      <c r="G303" s="7">
        <f t="shared" si="8"/>
        <v>205</v>
      </c>
      <c r="H303" s="7">
        <v>50</v>
      </c>
      <c r="I303" s="7">
        <v>35</v>
      </c>
      <c r="J303" s="7">
        <v>55</v>
      </c>
      <c r="K303" s="7">
        <v>25</v>
      </c>
      <c r="L303" s="7">
        <v>25</v>
      </c>
      <c r="M303" s="7">
        <v>15</v>
      </c>
    </row>
    <row r="304" spans="1:13" ht="15.75" customHeight="1" x14ac:dyDescent="0.25">
      <c r="A304" s="4">
        <v>303</v>
      </c>
      <c r="B304" s="5" t="s">
        <v>304</v>
      </c>
      <c r="C304" s="6" t="s">
        <v>34</v>
      </c>
      <c r="D304" s="6" t="s">
        <v>15</v>
      </c>
      <c r="E304" s="6" t="s">
        <v>536</v>
      </c>
      <c r="G304" s="7">
        <f t="shared" ref="G304:G367" si="9">SUM(H304:M304)</f>
        <v>385</v>
      </c>
      <c r="H304" s="7">
        <v>60</v>
      </c>
      <c r="I304" s="7">
        <v>50</v>
      </c>
      <c r="J304" s="7">
        <v>70</v>
      </c>
      <c r="K304" s="7">
        <v>50</v>
      </c>
      <c r="L304" s="7">
        <v>90</v>
      </c>
      <c r="M304" s="7">
        <v>65</v>
      </c>
    </row>
    <row r="305" spans="1:13" ht="15.75" customHeight="1" x14ac:dyDescent="0.25">
      <c r="A305" s="4">
        <v>304</v>
      </c>
      <c r="B305" s="5" t="s">
        <v>305</v>
      </c>
      <c r="C305" s="6" t="s">
        <v>28</v>
      </c>
      <c r="D305" s="6" t="s">
        <v>14</v>
      </c>
      <c r="E305" s="6" t="s">
        <v>594</v>
      </c>
      <c r="F305" s="6" t="s">
        <v>624</v>
      </c>
      <c r="G305" s="7">
        <f t="shared" si="9"/>
        <v>220</v>
      </c>
      <c r="H305" s="7">
        <v>40</v>
      </c>
      <c r="I305" s="7">
        <v>30</v>
      </c>
      <c r="J305" s="7">
        <v>30</v>
      </c>
      <c r="K305" s="7">
        <v>40</v>
      </c>
      <c r="L305" s="7">
        <v>50</v>
      </c>
      <c r="M305" s="7">
        <v>30</v>
      </c>
    </row>
    <row r="306" spans="1:13" ht="15.75" customHeight="1" x14ac:dyDescent="0.25">
      <c r="A306" s="4">
        <v>305</v>
      </c>
      <c r="B306" s="5" t="s">
        <v>306</v>
      </c>
      <c r="C306" s="6" t="s">
        <v>28</v>
      </c>
      <c r="D306" s="6" t="s">
        <v>14</v>
      </c>
      <c r="E306" s="6" t="s">
        <v>594</v>
      </c>
      <c r="F306" s="6" t="s">
        <v>624</v>
      </c>
      <c r="G306" s="7">
        <f t="shared" si="9"/>
        <v>340</v>
      </c>
      <c r="H306" s="7">
        <v>60</v>
      </c>
      <c r="I306" s="7">
        <v>50</v>
      </c>
      <c r="J306" s="7">
        <v>50</v>
      </c>
      <c r="K306" s="7">
        <v>60</v>
      </c>
      <c r="L306" s="7">
        <v>70</v>
      </c>
      <c r="M306" s="7">
        <v>50</v>
      </c>
    </row>
    <row r="307" spans="1:13" ht="15.75" customHeight="1" x14ac:dyDescent="0.25">
      <c r="A307" s="4">
        <v>306</v>
      </c>
      <c r="B307" s="5" t="s">
        <v>307</v>
      </c>
      <c r="C307" s="6" t="s">
        <v>28</v>
      </c>
      <c r="D307" s="6" t="s">
        <v>14</v>
      </c>
      <c r="E307" s="6" t="s">
        <v>594</v>
      </c>
      <c r="F307" s="6" t="s">
        <v>624</v>
      </c>
      <c r="G307" s="7">
        <f t="shared" si="9"/>
        <v>480</v>
      </c>
      <c r="H307" s="7">
        <v>80</v>
      </c>
      <c r="I307" s="7">
        <v>70</v>
      </c>
      <c r="J307" s="7">
        <v>70</v>
      </c>
      <c r="K307" s="7">
        <v>90</v>
      </c>
      <c r="L307" s="7">
        <v>100</v>
      </c>
      <c r="M307" s="7">
        <v>70</v>
      </c>
    </row>
    <row r="308" spans="1:13" ht="15.75" customHeight="1" x14ac:dyDescent="0.25">
      <c r="A308" s="4">
        <v>307</v>
      </c>
      <c r="B308" s="5" t="s">
        <v>308</v>
      </c>
      <c r="C308" s="6" t="s">
        <v>14</v>
      </c>
      <c r="D308" s="6"/>
      <c r="E308" s="6" t="s">
        <v>17</v>
      </c>
      <c r="F308" s="6" t="s">
        <v>574</v>
      </c>
      <c r="G308" s="7">
        <f t="shared" si="9"/>
        <v>220</v>
      </c>
      <c r="H308" s="7">
        <v>40</v>
      </c>
      <c r="I308" s="7">
        <v>40</v>
      </c>
      <c r="J308" s="7">
        <v>50</v>
      </c>
      <c r="K308" s="7">
        <v>30</v>
      </c>
      <c r="L308" s="7">
        <v>30</v>
      </c>
      <c r="M308" s="7">
        <v>30</v>
      </c>
    </row>
    <row r="309" spans="1:13" ht="15.75" customHeight="1" x14ac:dyDescent="0.25">
      <c r="A309" s="4">
        <v>308</v>
      </c>
      <c r="B309" s="5" t="s">
        <v>309</v>
      </c>
      <c r="C309" s="6" t="s">
        <v>14</v>
      </c>
      <c r="D309" s="6" t="s">
        <v>232</v>
      </c>
      <c r="E309" s="6" t="s">
        <v>17</v>
      </c>
      <c r="F309" s="6" t="s">
        <v>574</v>
      </c>
      <c r="G309" s="7">
        <f t="shared" si="9"/>
        <v>340</v>
      </c>
      <c r="H309" s="7">
        <v>70</v>
      </c>
      <c r="I309" s="7">
        <v>70</v>
      </c>
      <c r="J309" s="7">
        <v>40</v>
      </c>
      <c r="K309" s="7">
        <v>60</v>
      </c>
      <c r="L309" s="7">
        <v>40</v>
      </c>
      <c r="M309" s="7">
        <v>60</v>
      </c>
    </row>
    <row r="310" spans="1:13" ht="15.75" customHeight="1" x14ac:dyDescent="0.25">
      <c r="A310" s="4">
        <v>309</v>
      </c>
      <c r="B310" s="5" t="s">
        <v>310</v>
      </c>
      <c r="C310" s="6" t="s">
        <v>14</v>
      </c>
      <c r="D310" s="6" t="s">
        <v>232</v>
      </c>
      <c r="E310" s="6" t="s">
        <v>17</v>
      </c>
      <c r="F310" s="6" t="s">
        <v>574</v>
      </c>
      <c r="G310" s="7">
        <f t="shared" si="9"/>
        <v>480</v>
      </c>
      <c r="H310" s="7">
        <v>90</v>
      </c>
      <c r="I310" s="7">
        <v>100</v>
      </c>
      <c r="J310" s="7">
        <v>60</v>
      </c>
      <c r="K310" s="7">
        <v>90</v>
      </c>
      <c r="L310" s="7">
        <v>60</v>
      </c>
      <c r="M310" s="7">
        <v>80</v>
      </c>
    </row>
    <row r="311" spans="1:13" ht="15.75" customHeight="1" x14ac:dyDescent="0.25">
      <c r="A311" s="4">
        <v>310</v>
      </c>
      <c r="B311" s="5" t="s">
        <v>311</v>
      </c>
      <c r="C311" s="6" t="s">
        <v>41</v>
      </c>
      <c r="D311" s="6" t="s">
        <v>26</v>
      </c>
      <c r="E311" s="6" t="s">
        <v>543</v>
      </c>
      <c r="G311" s="7">
        <f t="shared" si="9"/>
        <v>270</v>
      </c>
      <c r="H311" s="7">
        <v>40</v>
      </c>
      <c r="I311" s="7">
        <v>55</v>
      </c>
      <c r="J311" s="7">
        <v>30</v>
      </c>
      <c r="K311" s="7">
        <v>30</v>
      </c>
      <c r="L311" s="7">
        <v>30</v>
      </c>
      <c r="M311" s="7">
        <v>85</v>
      </c>
    </row>
    <row r="312" spans="1:13" ht="15.75" customHeight="1" x14ac:dyDescent="0.25">
      <c r="A312" s="4">
        <v>311</v>
      </c>
      <c r="B312" s="5" t="s">
        <v>312</v>
      </c>
      <c r="C312" s="6" t="s">
        <v>41</v>
      </c>
      <c r="D312" s="6" t="s">
        <v>26</v>
      </c>
      <c r="E312" s="6" t="s">
        <v>543</v>
      </c>
      <c r="G312" s="7">
        <f t="shared" si="9"/>
        <v>455</v>
      </c>
      <c r="H312" s="7">
        <v>60</v>
      </c>
      <c r="I312" s="7">
        <v>85</v>
      </c>
      <c r="J312" s="7">
        <v>60</v>
      </c>
      <c r="K312" s="7">
        <v>75</v>
      </c>
      <c r="L312" s="7">
        <v>50</v>
      </c>
      <c r="M312" s="7">
        <v>125</v>
      </c>
    </row>
    <row r="313" spans="1:13" ht="15.75" customHeight="1" x14ac:dyDescent="0.25">
      <c r="A313" s="4">
        <v>312</v>
      </c>
      <c r="B313" s="5" t="s">
        <v>313</v>
      </c>
      <c r="C313" s="6" t="s">
        <v>28</v>
      </c>
      <c r="D313" s="6" t="s">
        <v>26</v>
      </c>
      <c r="E313" s="6" t="s">
        <v>540</v>
      </c>
      <c r="G313" s="7">
        <f t="shared" si="9"/>
        <v>270</v>
      </c>
      <c r="H313" s="7">
        <v>40</v>
      </c>
      <c r="I313" s="7">
        <v>30</v>
      </c>
      <c r="J313" s="7">
        <v>30</v>
      </c>
      <c r="K313" s="7">
        <v>55</v>
      </c>
      <c r="L313" s="7">
        <v>30</v>
      </c>
      <c r="M313" s="7">
        <v>85</v>
      </c>
    </row>
    <row r="314" spans="1:13" ht="15.75" customHeight="1" x14ac:dyDescent="0.25">
      <c r="A314" s="4">
        <v>313</v>
      </c>
      <c r="B314" s="5" t="s">
        <v>314</v>
      </c>
      <c r="C314" s="6" t="s">
        <v>28</v>
      </c>
      <c r="D314" s="6" t="s">
        <v>26</v>
      </c>
      <c r="E314" s="6" t="s">
        <v>540</v>
      </c>
      <c r="G314" s="7">
        <f t="shared" si="9"/>
        <v>440</v>
      </c>
      <c r="H314" s="7">
        <v>60</v>
      </c>
      <c r="I314" s="7">
        <v>50</v>
      </c>
      <c r="J314" s="7">
        <v>100</v>
      </c>
      <c r="K314" s="7">
        <v>95</v>
      </c>
      <c r="L314" s="7">
        <v>70</v>
      </c>
      <c r="M314" s="7">
        <v>65</v>
      </c>
    </row>
    <row r="315" spans="1:13" ht="15.75" customHeight="1" x14ac:dyDescent="0.25">
      <c r="A315" s="4">
        <v>314</v>
      </c>
      <c r="B315" s="5" t="s">
        <v>315</v>
      </c>
      <c r="C315" s="6" t="s">
        <v>92</v>
      </c>
      <c r="D315" s="6"/>
      <c r="E315" s="6" t="s">
        <v>565</v>
      </c>
      <c r="F315" s="6" t="s">
        <v>602</v>
      </c>
      <c r="G315" s="7">
        <f t="shared" si="9"/>
        <v>198</v>
      </c>
      <c r="H315" s="7">
        <v>28</v>
      </c>
      <c r="I315" s="7">
        <v>25</v>
      </c>
      <c r="J315" s="7">
        <v>25</v>
      </c>
      <c r="K315" s="7">
        <v>45</v>
      </c>
      <c r="L315" s="7">
        <v>35</v>
      </c>
      <c r="M315" s="7">
        <v>40</v>
      </c>
    </row>
    <row r="316" spans="1:13" ht="15.75" customHeight="1" x14ac:dyDescent="0.25">
      <c r="A316" s="4">
        <v>315</v>
      </c>
      <c r="B316" s="5" t="s">
        <v>316</v>
      </c>
      <c r="C316" s="6" t="s">
        <v>92</v>
      </c>
      <c r="D316" s="6"/>
      <c r="E316" s="6" t="s">
        <v>565</v>
      </c>
      <c r="F316" s="6" t="s">
        <v>602</v>
      </c>
      <c r="G316" s="7">
        <f t="shared" si="9"/>
        <v>278</v>
      </c>
      <c r="H316" s="7">
        <v>38</v>
      </c>
      <c r="I316" s="7">
        <v>35</v>
      </c>
      <c r="J316" s="7">
        <v>35</v>
      </c>
      <c r="K316" s="7">
        <v>65</v>
      </c>
      <c r="L316" s="7">
        <v>55</v>
      </c>
      <c r="M316" s="7">
        <v>50</v>
      </c>
    </row>
    <row r="317" spans="1:13" ht="15.75" customHeight="1" x14ac:dyDescent="0.25">
      <c r="A317" s="4">
        <v>316</v>
      </c>
      <c r="B317" s="5" t="s">
        <v>317</v>
      </c>
      <c r="C317" s="6" t="s">
        <v>92</v>
      </c>
      <c r="D317" s="6"/>
      <c r="E317" s="6" t="s">
        <v>565</v>
      </c>
      <c r="F317" s="6" t="s">
        <v>602</v>
      </c>
      <c r="G317" s="7">
        <f t="shared" si="9"/>
        <v>518</v>
      </c>
      <c r="H317" s="7">
        <v>68</v>
      </c>
      <c r="I317" s="7">
        <v>65</v>
      </c>
      <c r="J317" s="7">
        <v>65</v>
      </c>
      <c r="K317" s="7">
        <v>125</v>
      </c>
      <c r="L317" s="7">
        <v>115</v>
      </c>
      <c r="M317" s="7">
        <v>80</v>
      </c>
    </row>
    <row r="318" spans="1:13" ht="15.75" customHeight="1" x14ac:dyDescent="0.25">
      <c r="A318" s="4">
        <v>317</v>
      </c>
      <c r="B318" s="5" t="s">
        <v>510</v>
      </c>
      <c r="C318" s="6" t="s">
        <v>92</v>
      </c>
      <c r="D318" s="6" t="s">
        <v>84</v>
      </c>
      <c r="E318" s="6" t="s">
        <v>622</v>
      </c>
      <c r="G318" s="7">
        <f t="shared" si="9"/>
        <v>518</v>
      </c>
      <c r="H318" s="7">
        <v>68</v>
      </c>
      <c r="I318" s="7">
        <v>125</v>
      </c>
      <c r="J318" s="7">
        <v>65</v>
      </c>
      <c r="K318" s="7">
        <v>65</v>
      </c>
      <c r="L318" s="7">
        <v>115</v>
      </c>
      <c r="M318" s="7">
        <v>80</v>
      </c>
    </row>
    <row r="319" spans="1:13" ht="15.75" customHeight="1" x14ac:dyDescent="0.25">
      <c r="A319" s="4">
        <v>318</v>
      </c>
      <c r="B319" s="5" t="s">
        <v>318</v>
      </c>
      <c r="C319" s="6" t="s">
        <v>34</v>
      </c>
      <c r="D319" s="6" t="s">
        <v>28</v>
      </c>
      <c r="E319" s="6" t="s">
        <v>594</v>
      </c>
      <c r="G319" s="7">
        <f t="shared" si="9"/>
        <v>269</v>
      </c>
      <c r="H319" s="7">
        <v>40</v>
      </c>
      <c r="I319" s="7">
        <v>30</v>
      </c>
      <c r="J319" s="7">
        <v>32</v>
      </c>
      <c r="K319" s="7">
        <v>50</v>
      </c>
      <c r="L319" s="7">
        <v>52</v>
      </c>
      <c r="M319" s="7">
        <v>65</v>
      </c>
    </row>
    <row r="320" spans="1:13" ht="15.75" customHeight="1" x14ac:dyDescent="0.25">
      <c r="A320" s="4">
        <v>319</v>
      </c>
      <c r="B320" s="5" t="s">
        <v>319</v>
      </c>
      <c r="C320" s="6" t="s">
        <v>34</v>
      </c>
      <c r="D320" s="6" t="s">
        <v>26</v>
      </c>
      <c r="E320" s="6" t="s">
        <v>544</v>
      </c>
      <c r="G320" s="7">
        <f t="shared" si="9"/>
        <v>454</v>
      </c>
      <c r="H320" s="7">
        <v>70</v>
      </c>
      <c r="I320" s="7">
        <v>60</v>
      </c>
      <c r="J320" s="7">
        <v>62</v>
      </c>
      <c r="K320" s="7">
        <v>100</v>
      </c>
      <c r="L320" s="7">
        <v>82</v>
      </c>
      <c r="M320" s="7">
        <v>80</v>
      </c>
    </row>
    <row r="321" spans="1:13" ht="15.75" customHeight="1" x14ac:dyDescent="0.25">
      <c r="A321" s="4">
        <v>320</v>
      </c>
      <c r="B321" s="5" t="s">
        <v>320</v>
      </c>
      <c r="C321" s="6" t="s">
        <v>14</v>
      </c>
      <c r="D321" s="6"/>
      <c r="E321" s="6" t="s">
        <v>553</v>
      </c>
      <c r="F321" s="6" t="s">
        <v>625</v>
      </c>
      <c r="G321" s="7">
        <f t="shared" si="9"/>
        <v>295</v>
      </c>
      <c r="H321" s="7">
        <v>60</v>
      </c>
      <c r="I321" s="7">
        <v>40</v>
      </c>
      <c r="J321" s="7">
        <v>60</v>
      </c>
      <c r="K321" s="7">
        <v>40</v>
      </c>
      <c r="L321" s="7">
        <v>60</v>
      </c>
      <c r="M321" s="7">
        <v>35</v>
      </c>
    </row>
    <row r="322" spans="1:13" ht="15.75" customHeight="1" x14ac:dyDescent="0.25">
      <c r="A322" s="4">
        <v>321</v>
      </c>
      <c r="B322" s="5" t="s">
        <v>321</v>
      </c>
      <c r="C322" s="6" t="s">
        <v>14</v>
      </c>
      <c r="D322" s="6" t="s">
        <v>84</v>
      </c>
      <c r="E322" s="6" t="s">
        <v>553</v>
      </c>
      <c r="F322" s="6" t="s">
        <v>625</v>
      </c>
      <c r="G322" s="7">
        <f t="shared" si="9"/>
        <v>460</v>
      </c>
      <c r="H322" s="7">
        <v>60</v>
      </c>
      <c r="I322" s="7">
        <v>130</v>
      </c>
      <c r="J322" s="7">
        <v>80</v>
      </c>
      <c r="K322" s="7">
        <v>60</v>
      </c>
      <c r="L322" s="7">
        <v>60</v>
      </c>
      <c r="M322" s="7">
        <v>70</v>
      </c>
    </row>
    <row r="323" spans="1:13" ht="15.75" customHeight="1" x14ac:dyDescent="0.25">
      <c r="A323" s="4">
        <v>322</v>
      </c>
      <c r="B323" s="5" t="s">
        <v>322</v>
      </c>
      <c r="C323" s="6" t="s">
        <v>41</v>
      </c>
      <c r="D323" s="6"/>
      <c r="E323" s="6" t="s">
        <v>626</v>
      </c>
      <c r="G323" s="7">
        <f t="shared" si="9"/>
        <v>280</v>
      </c>
      <c r="H323" s="7">
        <v>60</v>
      </c>
      <c r="I323" s="7">
        <v>60</v>
      </c>
      <c r="J323" s="7">
        <v>60</v>
      </c>
      <c r="K323" s="7">
        <v>35</v>
      </c>
      <c r="L323" s="7">
        <v>35</v>
      </c>
      <c r="M323" s="7">
        <v>30</v>
      </c>
    </row>
    <row r="324" spans="1:13" ht="15.75" customHeight="1" x14ac:dyDescent="0.25">
      <c r="A324" s="4">
        <v>323</v>
      </c>
      <c r="B324" s="5" t="s">
        <v>323</v>
      </c>
      <c r="C324" s="6" t="s">
        <v>41</v>
      </c>
      <c r="D324" s="6"/>
      <c r="E324" s="6" t="s">
        <v>562</v>
      </c>
      <c r="G324" s="7">
        <f t="shared" si="9"/>
        <v>440</v>
      </c>
      <c r="H324" s="7">
        <v>80</v>
      </c>
      <c r="I324" s="7">
        <v>80</v>
      </c>
      <c r="J324" s="7">
        <v>80</v>
      </c>
      <c r="K324" s="7">
        <v>55</v>
      </c>
      <c r="L324" s="7">
        <v>55</v>
      </c>
      <c r="M324" s="7">
        <v>90</v>
      </c>
    </row>
    <row r="325" spans="1:13" ht="15.75" customHeight="1" x14ac:dyDescent="0.25">
      <c r="A325" s="4">
        <v>324</v>
      </c>
      <c r="B325" s="5" t="s">
        <v>324</v>
      </c>
      <c r="C325" s="6" t="s">
        <v>41</v>
      </c>
      <c r="D325" s="6"/>
      <c r="E325" s="6" t="s">
        <v>626</v>
      </c>
      <c r="F325" s="6" t="s">
        <v>630</v>
      </c>
      <c r="G325" s="7">
        <f t="shared" si="9"/>
        <v>670</v>
      </c>
      <c r="H325" s="7">
        <v>150</v>
      </c>
      <c r="I325" s="7">
        <v>160</v>
      </c>
      <c r="J325" s="7">
        <v>100</v>
      </c>
      <c r="K325" s="7">
        <v>95</v>
      </c>
      <c r="L325" s="7">
        <v>65</v>
      </c>
      <c r="M325" s="7">
        <v>100</v>
      </c>
    </row>
    <row r="326" spans="1:13" ht="15.75" customHeight="1" x14ac:dyDescent="0.25">
      <c r="A326" s="4">
        <v>325</v>
      </c>
      <c r="B326" s="5" t="s">
        <v>325</v>
      </c>
      <c r="C326" s="6" t="s">
        <v>34</v>
      </c>
      <c r="D326" s="6" t="s">
        <v>54</v>
      </c>
      <c r="E326" s="6" t="s">
        <v>538</v>
      </c>
      <c r="G326" s="7">
        <f t="shared" si="9"/>
        <v>266</v>
      </c>
      <c r="H326" s="7">
        <v>31</v>
      </c>
      <c r="I326" s="7">
        <v>45</v>
      </c>
      <c r="J326" s="7">
        <v>90</v>
      </c>
      <c r="K326" s="7">
        <v>30</v>
      </c>
      <c r="L326" s="7">
        <v>30</v>
      </c>
      <c r="M326" s="7">
        <v>40</v>
      </c>
    </row>
    <row r="327" spans="1:13" ht="15.75" customHeight="1" x14ac:dyDescent="0.25">
      <c r="A327" s="4">
        <v>326</v>
      </c>
      <c r="B327" s="5" t="s">
        <v>326</v>
      </c>
      <c r="C327" s="6" t="s">
        <v>34</v>
      </c>
      <c r="D327" s="6" t="s">
        <v>26</v>
      </c>
      <c r="E327" s="6" t="s">
        <v>612</v>
      </c>
      <c r="G327" s="7">
        <f t="shared" si="9"/>
        <v>456</v>
      </c>
      <c r="H327" s="7">
        <v>61</v>
      </c>
      <c r="I327" s="7">
        <v>90</v>
      </c>
      <c r="J327" s="7">
        <v>45</v>
      </c>
      <c r="K327" s="7">
        <v>50</v>
      </c>
      <c r="L327" s="7">
        <v>50</v>
      </c>
      <c r="M327" s="7">
        <v>160</v>
      </c>
    </row>
    <row r="328" spans="1:13" ht="15.75" customHeight="1" x14ac:dyDescent="0.25">
      <c r="A328" s="4">
        <v>327</v>
      </c>
      <c r="B328" s="5" t="s">
        <v>327</v>
      </c>
      <c r="C328" s="6" t="s">
        <v>34</v>
      </c>
      <c r="D328" s="6" t="s">
        <v>125</v>
      </c>
      <c r="E328" s="6" t="s">
        <v>627</v>
      </c>
      <c r="G328" s="7">
        <f t="shared" si="9"/>
        <v>236</v>
      </c>
      <c r="H328" s="7">
        <v>1</v>
      </c>
      <c r="I328" s="7">
        <v>90</v>
      </c>
      <c r="J328" s="7">
        <v>45</v>
      </c>
      <c r="K328" s="7">
        <v>30</v>
      </c>
      <c r="L328" s="7">
        <v>30</v>
      </c>
      <c r="M328" s="7">
        <v>40</v>
      </c>
    </row>
    <row r="329" spans="1:13" ht="15.75" customHeight="1" x14ac:dyDescent="0.25">
      <c r="A329" s="4">
        <v>328</v>
      </c>
      <c r="B329" s="5" t="s">
        <v>328</v>
      </c>
      <c r="C329" s="6" t="s">
        <v>41</v>
      </c>
      <c r="D329" s="6"/>
      <c r="E329" s="6" t="s">
        <v>585</v>
      </c>
      <c r="G329" s="7">
        <f t="shared" si="9"/>
        <v>240</v>
      </c>
      <c r="H329" s="7">
        <v>64</v>
      </c>
      <c r="I329" s="7">
        <v>51</v>
      </c>
      <c r="J329" s="7">
        <v>23</v>
      </c>
      <c r="K329" s="7">
        <v>51</v>
      </c>
      <c r="L329" s="7">
        <v>23</v>
      </c>
      <c r="M329" s="7">
        <v>28</v>
      </c>
    </row>
    <row r="330" spans="1:13" ht="15.75" customHeight="1" x14ac:dyDescent="0.25">
      <c r="A330" s="4">
        <v>329</v>
      </c>
      <c r="B330" s="5" t="s">
        <v>329</v>
      </c>
      <c r="C330" s="6" t="s">
        <v>41</v>
      </c>
      <c r="D330" s="6"/>
      <c r="E330" s="6" t="s">
        <v>585</v>
      </c>
      <c r="G330" s="7">
        <f t="shared" si="9"/>
        <v>360</v>
      </c>
      <c r="H330" s="7">
        <v>84</v>
      </c>
      <c r="I330" s="7">
        <v>71</v>
      </c>
      <c r="J330" s="7">
        <v>43</v>
      </c>
      <c r="K330" s="7">
        <v>71</v>
      </c>
      <c r="L330" s="7">
        <v>43</v>
      </c>
      <c r="M330" s="7">
        <v>48</v>
      </c>
    </row>
    <row r="331" spans="1:13" ht="15.75" customHeight="1" x14ac:dyDescent="0.25">
      <c r="A331" s="4">
        <v>330</v>
      </c>
      <c r="B331" s="5" t="s">
        <v>330</v>
      </c>
      <c r="C331" s="6" t="s">
        <v>41</v>
      </c>
      <c r="D331" s="6"/>
      <c r="E331" s="6" t="s">
        <v>585</v>
      </c>
      <c r="G331" s="7">
        <f t="shared" si="9"/>
        <v>480</v>
      </c>
      <c r="H331" s="7">
        <v>104</v>
      </c>
      <c r="I331" s="7">
        <v>91</v>
      </c>
      <c r="J331" s="7">
        <v>63</v>
      </c>
      <c r="K331" s="7">
        <v>91</v>
      </c>
      <c r="L331" s="7">
        <v>63</v>
      </c>
      <c r="M331" s="7">
        <v>68</v>
      </c>
    </row>
    <row r="332" spans="1:13" ht="15.75" customHeight="1" x14ac:dyDescent="0.25">
      <c r="A332" s="4">
        <v>331</v>
      </c>
      <c r="B332" s="5" t="s">
        <v>331</v>
      </c>
      <c r="C332" s="6" t="s">
        <v>84</v>
      </c>
      <c r="D332" s="6"/>
      <c r="E332" s="6" t="s">
        <v>575</v>
      </c>
      <c r="F332" s="6" t="s">
        <v>543</v>
      </c>
      <c r="G332" s="7">
        <f t="shared" si="9"/>
        <v>237</v>
      </c>
      <c r="H332" s="7">
        <v>72</v>
      </c>
      <c r="I332" s="7">
        <v>60</v>
      </c>
      <c r="J332" s="7">
        <v>30</v>
      </c>
      <c r="K332" s="7">
        <v>20</v>
      </c>
      <c r="L332" s="7">
        <v>30</v>
      </c>
      <c r="M332" s="7">
        <v>25</v>
      </c>
    </row>
    <row r="333" spans="1:13" ht="15.75" customHeight="1" x14ac:dyDescent="0.25">
      <c r="A333" s="4">
        <v>332</v>
      </c>
      <c r="B333" s="5" t="s">
        <v>332</v>
      </c>
      <c r="C333" s="6" t="s">
        <v>84</v>
      </c>
      <c r="D333" s="6"/>
      <c r="E333" s="6" t="s">
        <v>575</v>
      </c>
      <c r="F333" s="6" t="s">
        <v>543</v>
      </c>
      <c r="G333" s="7">
        <f t="shared" si="9"/>
        <v>474</v>
      </c>
      <c r="H333" s="7">
        <v>144</v>
      </c>
      <c r="I333" s="7">
        <v>120</v>
      </c>
      <c r="J333" s="7">
        <v>60</v>
      </c>
      <c r="K333" s="7">
        <v>40</v>
      </c>
      <c r="L333" s="7">
        <v>60</v>
      </c>
      <c r="M333" s="7">
        <v>50</v>
      </c>
    </row>
    <row r="334" spans="1:13" ht="15.75" customHeight="1" x14ac:dyDescent="0.25">
      <c r="A334" s="4">
        <v>333</v>
      </c>
      <c r="B334" s="5" t="s">
        <v>334</v>
      </c>
      <c r="C334" s="6" t="s">
        <v>104</v>
      </c>
      <c r="D334" s="6"/>
      <c r="E334" s="6" t="s">
        <v>570</v>
      </c>
      <c r="F334" s="6" t="s">
        <v>628</v>
      </c>
      <c r="G334" s="7">
        <f t="shared" si="9"/>
        <v>375</v>
      </c>
      <c r="H334" s="7">
        <v>30</v>
      </c>
      <c r="I334" s="7">
        <v>45</v>
      </c>
      <c r="J334" s="7">
        <v>135</v>
      </c>
      <c r="K334" s="7">
        <v>45</v>
      </c>
      <c r="L334" s="7">
        <v>90</v>
      </c>
      <c r="M334" s="7">
        <v>30</v>
      </c>
    </row>
    <row r="335" spans="1:13" ht="15.75" customHeight="1" x14ac:dyDescent="0.25">
      <c r="A335" s="4">
        <v>334</v>
      </c>
      <c r="B335" s="5" t="s">
        <v>511</v>
      </c>
      <c r="C335" s="6" t="s">
        <v>104</v>
      </c>
      <c r="D335" s="6" t="s">
        <v>112</v>
      </c>
      <c r="E335" s="6" t="s">
        <v>570</v>
      </c>
      <c r="F335" s="6" t="s">
        <v>628</v>
      </c>
      <c r="G335" s="7">
        <f t="shared" si="9"/>
        <v>525</v>
      </c>
      <c r="H335" s="7">
        <v>60</v>
      </c>
      <c r="I335" s="7">
        <v>55</v>
      </c>
      <c r="J335" s="7">
        <v>145</v>
      </c>
      <c r="K335" s="7">
        <v>75</v>
      </c>
      <c r="L335" s="7">
        <v>150</v>
      </c>
      <c r="M335" s="7">
        <v>40</v>
      </c>
    </row>
    <row r="336" spans="1:13" ht="15.75" customHeight="1" x14ac:dyDescent="0.25">
      <c r="A336" s="4">
        <v>335</v>
      </c>
      <c r="B336" s="5" t="s">
        <v>335</v>
      </c>
      <c r="C336" s="6" t="s">
        <v>41</v>
      </c>
      <c r="D336" s="6"/>
      <c r="E336" s="6" t="s">
        <v>549</v>
      </c>
      <c r="F336" s="6" t="s">
        <v>629</v>
      </c>
      <c r="G336" s="7">
        <f t="shared" si="9"/>
        <v>260</v>
      </c>
      <c r="H336" s="7">
        <v>50</v>
      </c>
      <c r="I336" s="7">
        <v>45</v>
      </c>
      <c r="J336" s="7">
        <v>45</v>
      </c>
      <c r="K336" s="7">
        <v>35</v>
      </c>
      <c r="L336" s="7">
        <v>35</v>
      </c>
      <c r="M336" s="7">
        <v>50</v>
      </c>
    </row>
    <row r="337" spans="1:13" ht="15.75" customHeight="1" x14ac:dyDescent="0.25">
      <c r="A337" s="4">
        <v>336</v>
      </c>
      <c r="B337" s="5" t="s">
        <v>336</v>
      </c>
      <c r="C337" s="6" t="s">
        <v>41</v>
      </c>
      <c r="D337" s="6"/>
      <c r="E337" s="6" t="s">
        <v>549</v>
      </c>
      <c r="F337" s="6" t="s">
        <v>629</v>
      </c>
      <c r="G337" s="7">
        <f t="shared" si="9"/>
        <v>400</v>
      </c>
      <c r="H337" s="7">
        <v>70</v>
      </c>
      <c r="I337" s="7">
        <v>65</v>
      </c>
      <c r="J337" s="7">
        <v>65</v>
      </c>
      <c r="K337" s="7">
        <v>55</v>
      </c>
      <c r="L337" s="7">
        <v>55</v>
      </c>
      <c r="M337" s="7">
        <v>90</v>
      </c>
    </row>
    <row r="338" spans="1:13" ht="15.75" customHeight="1" x14ac:dyDescent="0.25">
      <c r="A338" s="4">
        <v>337</v>
      </c>
      <c r="B338" s="5" t="s">
        <v>337</v>
      </c>
      <c r="C338" s="6" t="s">
        <v>232</v>
      </c>
      <c r="D338" s="6" t="s">
        <v>125</v>
      </c>
      <c r="E338" s="6" t="s">
        <v>540</v>
      </c>
      <c r="F338" s="6" t="s">
        <v>630</v>
      </c>
      <c r="G338" s="7">
        <f t="shared" si="9"/>
        <v>380</v>
      </c>
      <c r="H338" s="7">
        <v>50</v>
      </c>
      <c r="I338" s="7">
        <v>75</v>
      </c>
      <c r="J338" s="7">
        <v>75</v>
      </c>
      <c r="K338" s="7">
        <v>65</v>
      </c>
      <c r="L338" s="7">
        <v>65</v>
      </c>
      <c r="M338" s="7">
        <v>50</v>
      </c>
    </row>
    <row r="339" spans="1:13" ht="15.75" customHeight="1" x14ac:dyDescent="0.25">
      <c r="A339" s="4">
        <v>338</v>
      </c>
      <c r="B339" s="5" t="s">
        <v>338</v>
      </c>
      <c r="C339" s="6" t="s">
        <v>112</v>
      </c>
      <c r="D339" s="6"/>
      <c r="E339" s="6" t="s">
        <v>584</v>
      </c>
      <c r="F339" s="6" t="s">
        <v>631</v>
      </c>
      <c r="G339" s="7">
        <f t="shared" si="9"/>
        <v>380</v>
      </c>
      <c r="H339" s="7">
        <v>50</v>
      </c>
      <c r="I339" s="7">
        <v>85</v>
      </c>
      <c r="J339" s="7">
        <v>85</v>
      </c>
      <c r="K339" s="7">
        <v>55</v>
      </c>
      <c r="L339" s="7">
        <v>55</v>
      </c>
      <c r="M339" s="7">
        <v>50</v>
      </c>
    </row>
    <row r="340" spans="1:13" ht="15.75" customHeight="1" x14ac:dyDescent="0.25">
      <c r="A340" s="4">
        <v>339</v>
      </c>
      <c r="B340" s="5" t="s">
        <v>339</v>
      </c>
      <c r="C340" s="6" t="s">
        <v>112</v>
      </c>
      <c r="D340" s="6" t="s">
        <v>104</v>
      </c>
      <c r="E340" s="6" t="s">
        <v>570</v>
      </c>
      <c r="F340" s="6" t="s">
        <v>569</v>
      </c>
      <c r="G340" s="7">
        <f t="shared" si="9"/>
        <v>330</v>
      </c>
      <c r="H340" s="7">
        <v>50</v>
      </c>
      <c r="I340" s="7">
        <v>70</v>
      </c>
      <c r="J340" s="7">
        <v>100</v>
      </c>
      <c r="K340" s="7">
        <v>40</v>
      </c>
      <c r="L340" s="7">
        <v>40</v>
      </c>
      <c r="M340" s="7">
        <v>30</v>
      </c>
    </row>
    <row r="341" spans="1:13" ht="15.75" customHeight="1" x14ac:dyDescent="0.25">
      <c r="A341" s="4">
        <v>340</v>
      </c>
      <c r="B341" s="5" t="s">
        <v>340</v>
      </c>
      <c r="C341" s="6" t="s">
        <v>112</v>
      </c>
      <c r="D341" s="6" t="s">
        <v>104</v>
      </c>
      <c r="E341" s="6" t="s">
        <v>570</v>
      </c>
      <c r="F341" s="6" t="s">
        <v>569</v>
      </c>
      <c r="G341" s="7">
        <f t="shared" si="9"/>
        <v>430</v>
      </c>
      <c r="H341" s="7">
        <v>60</v>
      </c>
      <c r="I341" s="7">
        <v>90</v>
      </c>
      <c r="J341" s="7">
        <v>140</v>
      </c>
      <c r="K341" s="7">
        <v>50</v>
      </c>
      <c r="L341" s="7">
        <v>50</v>
      </c>
      <c r="M341" s="7">
        <v>40</v>
      </c>
    </row>
    <row r="342" spans="1:13" ht="15.75" customHeight="1" x14ac:dyDescent="0.25">
      <c r="A342" s="4">
        <v>341</v>
      </c>
      <c r="B342" s="5" t="s">
        <v>341</v>
      </c>
      <c r="C342" s="6" t="s">
        <v>112</v>
      </c>
      <c r="D342" s="6" t="s">
        <v>104</v>
      </c>
      <c r="E342" s="6" t="s">
        <v>570</v>
      </c>
      <c r="F342" s="6" t="s">
        <v>569</v>
      </c>
      <c r="G342" s="7">
        <f t="shared" si="9"/>
        <v>530</v>
      </c>
      <c r="H342" s="7">
        <v>70</v>
      </c>
      <c r="I342" s="7">
        <v>110</v>
      </c>
      <c r="J342" s="7">
        <v>180</v>
      </c>
      <c r="K342" s="7">
        <v>60</v>
      </c>
      <c r="L342" s="7">
        <v>60</v>
      </c>
      <c r="M342" s="7">
        <v>50</v>
      </c>
    </row>
    <row r="343" spans="1:13" ht="15.75" customHeight="1" x14ac:dyDescent="0.25">
      <c r="A343" s="4">
        <v>342</v>
      </c>
      <c r="B343" s="5" t="s">
        <v>342</v>
      </c>
      <c r="C343" s="6" t="s">
        <v>84</v>
      </c>
      <c r="D343" s="6" t="s">
        <v>92</v>
      </c>
      <c r="E343" s="6" t="s">
        <v>632</v>
      </c>
      <c r="G343" s="7">
        <f t="shared" si="9"/>
        <v>280</v>
      </c>
      <c r="H343" s="7">
        <v>30</v>
      </c>
      <c r="I343" s="7">
        <v>40</v>
      </c>
      <c r="J343" s="7">
        <v>55</v>
      </c>
      <c r="K343" s="7">
        <v>40</v>
      </c>
      <c r="L343" s="7">
        <v>55</v>
      </c>
      <c r="M343" s="7">
        <v>60</v>
      </c>
    </row>
    <row r="344" spans="1:13" ht="15.75" customHeight="1" x14ac:dyDescent="0.25">
      <c r="A344" s="4">
        <v>343</v>
      </c>
      <c r="B344" s="5" t="s">
        <v>343</v>
      </c>
      <c r="C344" s="6" t="s">
        <v>84</v>
      </c>
      <c r="D344" s="6" t="s">
        <v>92</v>
      </c>
      <c r="E344" s="6" t="s">
        <v>632</v>
      </c>
      <c r="G344" s="7">
        <f t="shared" si="9"/>
        <v>410</v>
      </c>
      <c r="H344" s="7">
        <v>60</v>
      </c>
      <c r="I344" s="7">
        <v>60</v>
      </c>
      <c r="J344" s="7">
        <v>75</v>
      </c>
      <c r="K344" s="7">
        <v>60</v>
      </c>
      <c r="L344" s="7">
        <v>75</v>
      </c>
      <c r="M344" s="7">
        <v>80</v>
      </c>
    </row>
    <row r="345" spans="1:13" ht="15.75" customHeight="1" x14ac:dyDescent="0.25">
      <c r="A345" s="4">
        <v>344</v>
      </c>
      <c r="B345" s="5" t="s">
        <v>344</v>
      </c>
      <c r="C345" s="6" t="s">
        <v>51</v>
      </c>
      <c r="D345" s="6"/>
      <c r="E345" s="6" t="s">
        <v>545</v>
      </c>
      <c r="F345" s="6" t="s">
        <v>586</v>
      </c>
      <c r="G345" s="7">
        <f t="shared" si="9"/>
        <v>295</v>
      </c>
      <c r="H345" s="7">
        <v>40</v>
      </c>
      <c r="I345" s="7">
        <v>45</v>
      </c>
      <c r="J345" s="7">
        <v>40</v>
      </c>
      <c r="K345" s="7">
        <v>65</v>
      </c>
      <c r="L345" s="7">
        <v>40</v>
      </c>
      <c r="M345" s="7">
        <v>65</v>
      </c>
    </row>
    <row r="346" spans="1:13" ht="15.75" customHeight="1" x14ac:dyDescent="0.25">
      <c r="A346" s="4">
        <v>345</v>
      </c>
      <c r="B346" s="5" t="s">
        <v>345</v>
      </c>
      <c r="C346" s="6" t="s">
        <v>51</v>
      </c>
      <c r="D346" s="6"/>
      <c r="E346" s="6" t="s">
        <v>545</v>
      </c>
      <c r="F346" s="6" t="s">
        <v>586</v>
      </c>
      <c r="G346" s="7">
        <f t="shared" si="9"/>
        <v>475</v>
      </c>
      <c r="H346" s="7">
        <v>70</v>
      </c>
      <c r="I346" s="7">
        <v>75</v>
      </c>
      <c r="J346" s="7">
        <v>60</v>
      </c>
      <c r="K346" s="7">
        <v>105</v>
      </c>
      <c r="L346" s="7">
        <v>60</v>
      </c>
      <c r="M346" s="7">
        <v>105</v>
      </c>
    </row>
    <row r="347" spans="1:13" ht="15.75" customHeight="1" x14ac:dyDescent="0.25">
      <c r="A347" s="4">
        <v>346</v>
      </c>
      <c r="B347" s="5" t="s">
        <v>346</v>
      </c>
      <c r="C347" s="6" t="s">
        <v>51</v>
      </c>
      <c r="D347" s="6"/>
      <c r="E347" s="6" t="s">
        <v>633</v>
      </c>
      <c r="G347" s="7">
        <f t="shared" si="9"/>
        <v>405</v>
      </c>
      <c r="H347" s="7">
        <v>60</v>
      </c>
      <c r="I347" s="7">
        <v>50</v>
      </c>
      <c r="J347" s="7">
        <v>40</v>
      </c>
      <c r="K347" s="7">
        <v>85</v>
      </c>
      <c r="L347" s="7">
        <v>75</v>
      </c>
      <c r="M347" s="7">
        <v>95</v>
      </c>
    </row>
    <row r="348" spans="1:13" ht="15.75" customHeight="1" x14ac:dyDescent="0.25">
      <c r="A348" s="4">
        <v>347</v>
      </c>
      <c r="B348" s="5" t="s">
        <v>347</v>
      </c>
      <c r="C348" s="6" t="s">
        <v>51</v>
      </c>
      <c r="D348" s="6"/>
      <c r="E348" s="6" t="s">
        <v>634</v>
      </c>
      <c r="G348" s="7">
        <f t="shared" si="9"/>
        <v>405</v>
      </c>
      <c r="H348" s="7">
        <v>60</v>
      </c>
      <c r="I348" s="7">
        <v>40</v>
      </c>
      <c r="J348" s="7">
        <v>50</v>
      </c>
      <c r="K348" s="7">
        <v>75</v>
      </c>
      <c r="L348" s="7">
        <v>85</v>
      </c>
      <c r="M348" s="7">
        <v>95</v>
      </c>
    </row>
    <row r="349" spans="1:13" ht="15.75" customHeight="1" x14ac:dyDescent="0.25">
      <c r="A349" s="4">
        <v>348</v>
      </c>
      <c r="B349" s="5" t="s">
        <v>348</v>
      </c>
      <c r="C349" s="6" t="s">
        <v>34</v>
      </c>
      <c r="D349" s="6"/>
      <c r="E349" s="6" t="s">
        <v>597</v>
      </c>
      <c r="F349" s="6" t="s">
        <v>539</v>
      </c>
      <c r="G349" s="7">
        <f t="shared" si="9"/>
        <v>430</v>
      </c>
      <c r="H349" s="7">
        <v>65</v>
      </c>
      <c r="I349" s="7">
        <v>73</v>
      </c>
      <c r="J349" s="7">
        <v>75</v>
      </c>
      <c r="K349" s="7">
        <v>47</v>
      </c>
      <c r="L349" s="7">
        <v>85</v>
      </c>
      <c r="M349" s="7">
        <v>85</v>
      </c>
    </row>
    <row r="350" spans="1:13" ht="15.75" customHeight="1" x14ac:dyDescent="0.25">
      <c r="A350" s="4">
        <v>349</v>
      </c>
      <c r="B350" s="5" t="s">
        <v>349</v>
      </c>
      <c r="C350" s="6" t="s">
        <v>34</v>
      </c>
      <c r="D350" s="6"/>
      <c r="E350" s="6" t="s">
        <v>571</v>
      </c>
      <c r="F350" s="6" t="s">
        <v>555</v>
      </c>
      <c r="G350" s="7">
        <f t="shared" si="9"/>
        <v>430</v>
      </c>
      <c r="H350" s="7">
        <v>65</v>
      </c>
      <c r="I350" s="7">
        <v>47</v>
      </c>
      <c r="J350" s="7">
        <v>75</v>
      </c>
      <c r="K350" s="7">
        <v>73</v>
      </c>
      <c r="L350" s="7">
        <v>85</v>
      </c>
      <c r="M350" s="7">
        <v>85</v>
      </c>
    </row>
    <row r="351" spans="1:13" ht="15.75" customHeight="1" x14ac:dyDescent="0.25">
      <c r="A351" s="4">
        <v>350</v>
      </c>
      <c r="B351" s="5" t="s">
        <v>441</v>
      </c>
      <c r="C351" s="6" t="s">
        <v>14</v>
      </c>
      <c r="D351" s="6" t="s">
        <v>15</v>
      </c>
      <c r="E351" s="6" t="s">
        <v>590</v>
      </c>
      <c r="F351" s="6" t="s">
        <v>547</v>
      </c>
      <c r="G351" s="7">
        <f t="shared" si="9"/>
        <v>280</v>
      </c>
      <c r="H351" s="7">
        <v>40</v>
      </c>
      <c r="I351" s="7">
        <v>30</v>
      </c>
      <c r="J351" s="7">
        <v>35</v>
      </c>
      <c r="K351" s="7">
        <v>50</v>
      </c>
      <c r="L351" s="7">
        <v>70</v>
      </c>
      <c r="M351" s="7">
        <v>55</v>
      </c>
    </row>
    <row r="352" spans="1:13" ht="15.75" customHeight="1" x14ac:dyDescent="0.25">
      <c r="A352" s="4">
        <v>351</v>
      </c>
      <c r="B352" s="5" t="s">
        <v>350</v>
      </c>
      <c r="C352" s="6" t="s">
        <v>14</v>
      </c>
      <c r="D352" s="6" t="s">
        <v>15</v>
      </c>
      <c r="E352" s="6" t="s">
        <v>590</v>
      </c>
      <c r="F352" s="6" t="s">
        <v>547</v>
      </c>
      <c r="G352" s="7">
        <f t="shared" si="9"/>
        <v>400</v>
      </c>
      <c r="H352" s="7">
        <v>50</v>
      </c>
      <c r="I352" s="7">
        <v>60</v>
      </c>
      <c r="J352" s="7">
        <v>45</v>
      </c>
      <c r="K352" s="7">
        <v>100</v>
      </c>
      <c r="L352" s="7">
        <v>80</v>
      </c>
      <c r="M352" s="7">
        <v>65</v>
      </c>
    </row>
    <row r="353" spans="1:13" ht="15.75" customHeight="1" x14ac:dyDescent="0.25">
      <c r="A353" s="4">
        <v>352</v>
      </c>
      <c r="B353" s="5" t="s">
        <v>442</v>
      </c>
      <c r="C353" s="6" t="s">
        <v>14</v>
      </c>
      <c r="D353" s="6" t="s">
        <v>15</v>
      </c>
      <c r="E353" s="6" t="s">
        <v>590</v>
      </c>
      <c r="F353" s="6" t="s">
        <v>547</v>
      </c>
      <c r="G353" s="7">
        <f t="shared" si="9"/>
        <v>505</v>
      </c>
      <c r="H353" s="7">
        <v>60</v>
      </c>
      <c r="I353" s="7">
        <v>70</v>
      </c>
      <c r="J353" s="7">
        <v>55</v>
      </c>
      <c r="K353" s="7">
        <v>125</v>
      </c>
      <c r="L353" s="7">
        <v>105</v>
      </c>
      <c r="M353" s="7">
        <v>90</v>
      </c>
    </row>
    <row r="354" spans="1:13" ht="15.75" customHeight="1" x14ac:dyDescent="0.25">
      <c r="A354" s="4">
        <v>353</v>
      </c>
      <c r="B354" s="5" t="s">
        <v>351</v>
      </c>
      <c r="C354" s="6" t="s">
        <v>15</v>
      </c>
      <c r="D354" s="6"/>
      <c r="E354" s="6" t="s">
        <v>568</v>
      </c>
      <c r="F354" s="6" t="s">
        <v>578</v>
      </c>
      <c r="G354" s="7">
        <f t="shared" si="9"/>
        <v>302</v>
      </c>
      <c r="H354" s="7">
        <v>70</v>
      </c>
      <c r="I354" s="7">
        <v>43</v>
      </c>
      <c r="J354" s="7">
        <v>53</v>
      </c>
      <c r="K354" s="7">
        <v>43</v>
      </c>
      <c r="L354" s="7">
        <v>53</v>
      </c>
      <c r="M354" s="7">
        <v>40</v>
      </c>
    </row>
    <row r="355" spans="1:13" ht="15.75" customHeight="1" x14ac:dyDescent="0.25">
      <c r="A355" s="4">
        <v>354</v>
      </c>
      <c r="B355" s="5" t="s">
        <v>352</v>
      </c>
      <c r="C355" s="6" t="s">
        <v>15</v>
      </c>
      <c r="D355" s="6"/>
      <c r="E355" s="6" t="s">
        <v>568</v>
      </c>
      <c r="F355" s="6" t="s">
        <v>578</v>
      </c>
      <c r="G355" s="7">
        <f t="shared" si="9"/>
        <v>467</v>
      </c>
      <c r="H355" s="7">
        <v>100</v>
      </c>
      <c r="I355" s="7">
        <v>73</v>
      </c>
      <c r="J355" s="7">
        <v>83</v>
      </c>
      <c r="K355" s="7">
        <v>73</v>
      </c>
      <c r="L355" s="7">
        <v>83</v>
      </c>
      <c r="M355" s="7">
        <v>55</v>
      </c>
    </row>
    <row r="356" spans="1:13" ht="15.75" customHeight="1" x14ac:dyDescent="0.25">
      <c r="A356" s="4">
        <v>355</v>
      </c>
      <c r="B356" s="5" t="s">
        <v>353</v>
      </c>
      <c r="C356" s="6" t="s">
        <v>28</v>
      </c>
      <c r="D356" s="6" t="s">
        <v>232</v>
      </c>
      <c r="E356" s="6" t="s">
        <v>635</v>
      </c>
      <c r="G356" s="7">
        <f t="shared" si="9"/>
        <v>305</v>
      </c>
      <c r="H356" s="7">
        <v>45</v>
      </c>
      <c r="I356" s="7">
        <v>90</v>
      </c>
      <c r="J356" s="7">
        <v>20</v>
      </c>
      <c r="K356" s="7">
        <v>65</v>
      </c>
      <c r="L356" s="7">
        <v>20</v>
      </c>
      <c r="M356" s="7">
        <v>65</v>
      </c>
    </row>
    <row r="357" spans="1:13" ht="15.75" customHeight="1" x14ac:dyDescent="0.25">
      <c r="A357" s="4">
        <v>356</v>
      </c>
      <c r="B357" s="5" t="s">
        <v>354</v>
      </c>
      <c r="C357" s="6" t="s">
        <v>28</v>
      </c>
      <c r="D357" s="6" t="s">
        <v>232</v>
      </c>
      <c r="E357" s="6" t="s">
        <v>635</v>
      </c>
      <c r="G357" s="7">
        <f t="shared" si="9"/>
        <v>460</v>
      </c>
      <c r="H357" s="7">
        <v>70</v>
      </c>
      <c r="I357" s="7">
        <v>120</v>
      </c>
      <c r="J357" s="7">
        <v>40</v>
      </c>
      <c r="K357" s="7">
        <v>95</v>
      </c>
      <c r="L357" s="7">
        <v>40</v>
      </c>
      <c r="M357" s="7">
        <v>95</v>
      </c>
    </row>
    <row r="358" spans="1:13" ht="15.75" customHeight="1" x14ac:dyDescent="0.25">
      <c r="A358" s="4">
        <v>357</v>
      </c>
      <c r="B358" s="5" t="s">
        <v>355</v>
      </c>
      <c r="C358" s="6" t="s">
        <v>28</v>
      </c>
      <c r="D358" s="6"/>
      <c r="E358" s="6" t="s">
        <v>596</v>
      </c>
      <c r="F358" s="6" t="s">
        <v>571</v>
      </c>
      <c r="G358" s="7">
        <f t="shared" si="9"/>
        <v>400</v>
      </c>
      <c r="H358" s="7">
        <v>130</v>
      </c>
      <c r="I358" s="7">
        <v>70</v>
      </c>
      <c r="J358" s="7">
        <v>35</v>
      </c>
      <c r="K358" s="7">
        <v>70</v>
      </c>
      <c r="L358" s="7">
        <v>35</v>
      </c>
      <c r="M358" s="7">
        <v>60</v>
      </c>
    </row>
    <row r="359" spans="1:13" ht="15.75" customHeight="1" x14ac:dyDescent="0.25">
      <c r="A359" s="4">
        <v>358</v>
      </c>
      <c r="B359" s="5" t="s">
        <v>356</v>
      </c>
      <c r="C359" s="6" t="s">
        <v>28</v>
      </c>
      <c r="D359" s="6"/>
      <c r="E359" s="6" t="s">
        <v>596</v>
      </c>
      <c r="F359" s="6" t="s">
        <v>571</v>
      </c>
      <c r="G359" s="7">
        <f t="shared" si="9"/>
        <v>500</v>
      </c>
      <c r="H359" s="7">
        <v>170</v>
      </c>
      <c r="I359" s="7">
        <v>90</v>
      </c>
      <c r="J359" s="7">
        <v>45</v>
      </c>
      <c r="K359" s="7">
        <v>90</v>
      </c>
      <c r="L359" s="7">
        <v>45</v>
      </c>
      <c r="M359" s="7">
        <v>60</v>
      </c>
    </row>
    <row r="360" spans="1:13" ht="15.75" customHeight="1" x14ac:dyDescent="0.25">
      <c r="A360" s="4">
        <v>359</v>
      </c>
      <c r="B360" s="5" t="s">
        <v>357</v>
      </c>
      <c r="C360" s="6" t="s">
        <v>21</v>
      </c>
      <c r="D360" s="6" t="s">
        <v>54</v>
      </c>
      <c r="E360" s="6" t="s">
        <v>571</v>
      </c>
      <c r="F360" s="6" t="s">
        <v>636</v>
      </c>
      <c r="G360" s="7">
        <f t="shared" si="9"/>
        <v>305</v>
      </c>
      <c r="H360" s="7">
        <v>60</v>
      </c>
      <c r="I360" s="7">
        <v>60</v>
      </c>
      <c r="J360" s="7">
        <v>40</v>
      </c>
      <c r="K360" s="7">
        <v>65</v>
      </c>
      <c r="L360" s="7">
        <v>45</v>
      </c>
      <c r="M360" s="7">
        <v>35</v>
      </c>
    </row>
    <row r="361" spans="1:13" ht="15.75" customHeight="1" x14ac:dyDescent="0.25">
      <c r="A361" s="4">
        <v>360</v>
      </c>
      <c r="B361" s="5" t="s">
        <v>358</v>
      </c>
      <c r="C361" s="6" t="s">
        <v>21</v>
      </c>
      <c r="D361" s="6" t="s">
        <v>54</v>
      </c>
      <c r="E361" s="6" t="s">
        <v>618</v>
      </c>
      <c r="F361" s="6" t="s">
        <v>637</v>
      </c>
      <c r="G361" s="7">
        <f t="shared" si="9"/>
        <v>460</v>
      </c>
      <c r="H361" s="7">
        <v>70</v>
      </c>
      <c r="I361" s="7">
        <v>100</v>
      </c>
      <c r="J361" s="7">
        <v>70</v>
      </c>
      <c r="K361" s="7">
        <v>105</v>
      </c>
      <c r="L361" s="7">
        <v>75</v>
      </c>
      <c r="M361" s="7">
        <v>40</v>
      </c>
    </row>
    <row r="362" spans="1:13" ht="15.75" customHeight="1" x14ac:dyDescent="0.25">
      <c r="A362" s="4">
        <v>361</v>
      </c>
      <c r="B362" s="5" t="s">
        <v>359</v>
      </c>
      <c r="C362" s="6" t="s">
        <v>21</v>
      </c>
      <c r="D362" s="6"/>
      <c r="E362" s="6" t="s">
        <v>638</v>
      </c>
      <c r="F362" s="6" t="s">
        <v>23</v>
      </c>
      <c r="G362" s="7">
        <f t="shared" si="9"/>
        <v>470</v>
      </c>
      <c r="H362" s="7">
        <v>70</v>
      </c>
      <c r="I362" s="7">
        <v>85</v>
      </c>
      <c r="J362" s="7">
        <v>140</v>
      </c>
      <c r="K362" s="7">
        <v>85</v>
      </c>
      <c r="L362" s="7">
        <v>70</v>
      </c>
      <c r="M362" s="7">
        <v>20</v>
      </c>
    </row>
    <row r="363" spans="1:13" ht="15.75" customHeight="1" x14ac:dyDescent="0.25">
      <c r="A363" s="4">
        <v>362</v>
      </c>
      <c r="B363" s="5" t="s">
        <v>360</v>
      </c>
      <c r="C363" s="6" t="s">
        <v>92</v>
      </c>
      <c r="D363" s="6"/>
      <c r="E363" s="6" t="s">
        <v>575</v>
      </c>
      <c r="F363" s="6" t="s">
        <v>572</v>
      </c>
      <c r="G363" s="7">
        <f t="shared" si="9"/>
        <v>330</v>
      </c>
      <c r="H363" s="7">
        <v>60</v>
      </c>
      <c r="I363" s="7">
        <v>25</v>
      </c>
      <c r="J363" s="7">
        <v>35</v>
      </c>
      <c r="K363" s="7">
        <v>70</v>
      </c>
      <c r="L363" s="7">
        <v>80</v>
      </c>
      <c r="M363" s="7">
        <v>60</v>
      </c>
    </row>
    <row r="364" spans="1:13" ht="15.75" customHeight="1" x14ac:dyDescent="0.25">
      <c r="A364" s="4">
        <v>363</v>
      </c>
      <c r="B364" s="5" t="s">
        <v>361</v>
      </c>
      <c r="C364" s="6" t="s">
        <v>92</v>
      </c>
      <c r="D364" s="6"/>
      <c r="E364" s="6" t="s">
        <v>575</v>
      </c>
      <c r="F364" s="6" t="s">
        <v>572</v>
      </c>
      <c r="G364" s="7">
        <f t="shared" si="9"/>
        <v>470</v>
      </c>
      <c r="H364" s="7">
        <v>80</v>
      </c>
      <c r="I364" s="7">
        <v>45</v>
      </c>
      <c r="J364" s="7">
        <v>65</v>
      </c>
      <c r="K364" s="7">
        <v>90</v>
      </c>
      <c r="L364" s="7">
        <v>110</v>
      </c>
      <c r="M364" s="7">
        <v>80</v>
      </c>
    </row>
    <row r="365" spans="1:13" ht="15.75" customHeight="1" x14ac:dyDescent="0.25">
      <c r="A365" s="4">
        <v>364</v>
      </c>
      <c r="B365" s="5" t="s">
        <v>362</v>
      </c>
      <c r="C365" s="6" t="s">
        <v>41</v>
      </c>
      <c r="D365" s="6"/>
      <c r="E365" s="6" t="s">
        <v>572</v>
      </c>
      <c r="F365" s="6" t="s">
        <v>541</v>
      </c>
      <c r="G365" s="7">
        <f t="shared" si="9"/>
        <v>360</v>
      </c>
      <c r="H365" s="7">
        <v>60</v>
      </c>
      <c r="I365" s="7">
        <v>60</v>
      </c>
      <c r="J365" s="7">
        <v>60</v>
      </c>
      <c r="K365" s="7">
        <v>60</v>
      </c>
      <c r="L365" s="7">
        <v>60</v>
      </c>
      <c r="M365" s="7">
        <v>60</v>
      </c>
    </row>
    <row r="366" spans="1:13" ht="15.75" customHeight="1" x14ac:dyDescent="0.25">
      <c r="A366" s="4">
        <v>365</v>
      </c>
      <c r="B366" s="5" t="s">
        <v>363</v>
      </c>
      <c r="C366" s="6" t="s">
        <v>54</v>
      </c>
      <c r="D366" s="6"/>
      <c r="E366" s="6" t="s">
        <v>584</v>
      </c>
      <c r="F366" s="6" t="s">
        <v>556</v>
      </c>
      <c r="G366" s="7">
        <f t="shared" si="9"/>
        <v>290</v>
      </c>
      <c r="H366" s="7">
        <v>45</v>
      </c>
      <c r="I366" s="7">
        <v>100</v>
      </c>
      <c r="J366" s="7">
        <v>45</v>
      </c>
      <c r="K366" s="7">
        <v>45</v>
      </c>
      <c r="L366" s="7">
        <v>45</v>
      </c>
      <c r="M366" s="7">
        <v>10</v>
      </c>
    </row>
    <row r="367" spans="1:13" ht="15.75" customHeight="1" x14ac:dyDescent="0.25">
      <c r="A367" s="4">
        <v>366</v>
      </c>
      <c r="B367" s="5" t="s">
        <v>364</v>
      </c>
      <c r="C367" s="6" t="s">
        <v>54</v>
      </c>
      <c r="D367" s="6" t="s">
        <v>181</v>
      </c>
      <c r="E367" s="6" t="s">
        <v>581</v>
      </c>
      <c r="G367" s="7">
        <f t="shared" si="9"/>
        <v>340</v>
      </c>
      <c r="H367" s="7">
        <v>50</v>
      </c>
      <c r="I367" s="7">
        <v>70</v>
      </c>
      <c r="J367" s="7">
        <v>50</v>
      </c>
      <c r="K367" s="7">
        <v>50</v>
      </c>
      <c r="L367" s="7">
        <v>50</v>
      </c>
      <c r="M367" s="7">
        <v>70</v>
      </c>
    </row>
    <row r="368" spans="1:13" ht="15.75" customHeight="1" x14ac:dyDescent="0.25">
      <c r="A368" s="4">
        <v>367</v>
      </c>
      <c r="B368" s="5" t="s">
        <v>365</v>
      </c>
      <c r="C368" s="6" t="s">
        <v>54</v>
      </c>
      <c r="D368" s="6" t="s">
        <v>181</v>
      </c>
      <c r="E368" s="6" t="s">
        <v>581</v>
      </c>
      <c r="G368" s="7">
        <f t="shared" ref="G368:G430" si="10">SUM(H368:M368)</f>
        <v>520</v>
      </c>
      <c r="H368" s="7">
        <v>80</v>
      </c>
      <c r="I368" s="7">
        <v>100</v>
      </c>
      <c r="J368" s="7">
        <v>80</v>
      </c>
      <c r="K368" s="7">
        <v>80</v>
      </c>
      <c r="L368" s="7">
        <v>80</v>
      </c>
      <c r="M368" s="7">
        <v>100</v>
      </c>
    </row>
    <row r="369" spans="1:13" ht="15.75" customHeight="1" x14ac:dyDescent="0.25">
      <c r="A369" s="4">
        <v>368</v>
      </c>
      <c r="B369" s="5" t="s">
        <v>366</v>
      </c>
      <c r="C369" s="6" t="s">
        <v>14</v>
      </c>
      <c r="D369" s="6"/>
      <c r="E369" s="6" t="s">
        <v>546</v>
      </c>
      <c r="G369" s="7">
        <f t="shared" si="10"/>
        <v>335</v>
      </c>
      <c r="H369" s="7">
        <v>50</v>
      </c>
      <c r="I369" s="7">
        <v>85</v>
      </c>
      <c r="J369" s="7">
        <v>40</v>
      </c>
      <c r="K369" s="7">
        <v>85</v>
      </c>
      <c r="L369" s="7">
        <v>40</v>
      </c>
      <c r="M369" s="7">
        <v>35</v>
      </c>
    </row>
    <row r="370" spans="1:13" ht="15.75" customHeight="1" x14ac:dyDescent="0.25">
      <c r="A370" s="4">
        <v>369</v>
      </c>
      <c r="B370" s="5" t="s">
        <v>367</v>
      </c>
      <c r="C370" s="6" t="s">
        <v>14</v>
      </c>
      <c r="D370" s="6" t="s">
        <v>232</v>
      </c>
      <c r="E370" s="6" t="s">
        <v>546</v>
      </c>
      <c r="G370" s="7">
        <f t="shared" si="10"/>
        <v>475</v>
      </c>
      <c r="H370" s="7">
        <v>70</v>
      </c>
      <c r="I370" s="7">
        <v>115</v>
      </c>
      <c r="J370" s="7">
        <v>60</v>
      </c>
      <c r="K370" s="7">
        <v>115</v>
      </c>
      <c r="L370" s="7">
        <v>60</v>
      </c>
      <c r="M370" s="7">
        <v>55</v>
      </c>
    </row>
    <row r="371" spans="1:13" ht="15.75" customHeight="1" x14ac:dyDescent="0.25">
      <c r="A371" s="4">
        <v>370</v>
      </c>
      <c r="B371" s="5" t="s">
        <v>368</v>
      </c>
      <c r="C371" s="6" t="s">
        <v>41</v>
      </c>
      <c r="D371" s="6" t="s">
        <v>26</v>
      </c>
      <c r="E371" s="6" t="s">
        <v>590</v>
      </c>
      <c r="G371" s="7">
        <f t="shared" si="10"/>
        <v>310</v>
      </c>
      <c r="H371" s="7">
        <v>45</v>
      </c>
      <c r="I371" s="7">
        <v>40</v>
      </c>
      <c r="J371" s="7">
        <v>60</v>
      </c>
      <c r="K371" s="7">
        <v>40</v>
      </c>
      <c r="L371" s="7">
        <v>75</v>
      </c>
      <c r="M371" s="7">
        <v>50</v>
      </c>
    </row>
    <row r="372" spans="1:13" ht="15.75" customHeight="1" x14ac:dyDescent="0.25">
      <c r="A372" s="4">
        <v>371</v>
      </c>
      <c r="B372" s="5" t="s">
        <v>369</v>
      </c>
      <c r="C372" s="6" t="s">
        <v>181</v>
      </c>
      <c r="D372" s="6" t="s">
        <v>26</v>
      </c>
      <c r="E372" s="6" t="s">
        <v>590</v>
      </c>
      <c r="G372" s="7">
        <f t="shared" si="10"/>
        <v>490</v>
      </c>
      <c r="H372" s="7">
        <v>75</v>
      </c>
      <c r="I372" s="7">
        <v>70</v>
      </c>
      <c r="J372" s="7">
        <v>90</v>
      </c>
      <c r="K372" s="7">
        <v>70</v>
      </c>
      <c r="L372" s="7">
        <v>105</v>
      </c>
      <c r="M372" s="7">
        <v>80</v>
      </c>
    </row>
    <row r="373" spans="1:13" ht="15.75" customHeight="1" x14ac:dyDescent="0.25">
      <c r="A373" s="4">
        <v>372</v>
      </c>
      <c r="B373" s="5" t="s">
        <v>370</v>
      </c>
      <c r="C373" s="6" t="s">
        <v>41</v>
      </c>
      <c r="D373" s="6"/>
      <c r="E373" s="6" t="s">
        <v>606</v>
      </c>
      <c r="G373" s="7">
        <f t="shared" si="10"/>
        <v>458</v>
      </c>
      <c r="H373" s="7">
        <v>73</v>
      </c>
      <c r="I373" s="7">
        <v>115</v>
      </c>
      <c r="J373" s="7">
        <v>60</v>
      </c>
      <c r="K373" s="7">
        <v>60</v>
      </c>
      <c r="L373" s="7">
        <v>60</v>
      </c>
      <c r="M373" s="7">
        <v>90</v>
      </c>
    </row>
    <row r="374" spans="1:13" ht="15.75" customHeight="1" x14ac:dyDescent="0.25">
      <c r="A374" s="4">
        <v>373</v>
      </c>
      <c r="B374" s="5" t="s">
        <v>371</v>
      </c>
      <c r="C374" s="6" t="s">
        <v>15</v>
      </c>
      <c r="D374" s="6"/>
      <c r="E374" s="6" t="s">
        <v>537</v>
      </c>
      <c r="G374" s="7">
        <f t="shared" si="10"/>
        <v>458</v>
      </c>
      <c r="H374" s="7">
        <v>73</v>
      </c>
      <c r="I374" s="7">
        <v>100</v>
      </c>
      <c r="J374" s="7">
        <v>60</v>
      </c>
      <c r="K374" s="7">
        <v>100</v>
      </c>
      <c r="L374" s="7">
        <v>60</v>
      </c>
      <c r="M374" s="7">
        <v>65</v>
      </c>
    </row>
    <row r="375" spans="1:13" ht="15.75" customHeight="1" x14ac:dyDescent="0.25">
      <c r="A375" s="4">
        <v>374</v>
      </c>
      <c r="B375" s="5" t="s">
        <v>372</v>
      </c>
      <c r="C375" s="6" t="s">
        <v>104</v>
      </c>
      <c r="D375" s="6" t="s">
        <v>92</v>
      </c>
      <c r="E375" s="6" t="s">
        <v>581</v>
      </c>
      <c r="G375" s="7">
        <f t="shared" si="10"/>
        <v>460</v>
      </c>
      <c r="H375" s="7">
        <v>90</v>
      </c>
      <c r="I375" s="7">
        <v>55</v>
      </c>
      <c r="J375" s="7">
        <v>65</v>
      </c>
      <c r="K375" s="7">
        <v>95</v>
      </c>
      <c r="L375" s="7">
        <v>85</v>
      </c>
      <c r="M375" s="7">
        <v>70</v>
      </c>
    </row>
    <row r="376" spans="1:13" ht="15.75" customHeight="1" x14ac:dyDescent="0.25">
      <c r="A376" s="4">
        <v>375</v>
      </c>
      <c r="B376" s="5" t="s">
        <v>373</v>
      </c>
      <c r="C376" s="6" t="s">
        <v>104</v>
      </c>
      <c r="D376" s="6" t="s">
        <v>92</v>
      </c>
      <c r="E376" s="6" t="s">
        <v>581</v>
      </c>
      <c r="G376" s="7">
        <f t="shared" si="10"/>
        <v>460</v>
      </c>
      <c r="H376" s="7">
        <v>90</v>
      </c>
      <c r="I376" s="7">
        <v>95</v>
      </c>
      <c r="J376" s="7">
        <v>85</v>
      </c>
      <c r="K376" s="7">
        <v>55</v>
      </c>
      <c r="L376" s="7">
        <v>65</v>
      </c>
      <c r="M376" s="7">
        <v>70</v>
      </c>
    </row>
    <row r="377" spans="1:13" ht="15.75" customHeight="1" x14ac:dyDescent="0.25">
      <c r="A377" s="4">
        <v>376</v>
      </c>
      <c r="B377" s="5" t="s">
        <v>374</v>
      </c>
      <c r="C377" s="6" t="s">
        <v>28</v>
      </c>
      <c r="D377" s="6" t="s">
        <v>54</v>
      </c>
      <c r="E377" s="6" t="s">
        <v>571</v>
      </c>
      <c r="F377" s="6" t="s">
        <v>639</v>
      </c>
      <c r="G377" s="7">
        <f t="shared" si="10"/>
        <v>288</v>
      </c>
      <c r="H377" s="7">
        <v>50</v>
      </c>
      <c r="I377" s="7">
        <v>48</v>
      </c>
      <c r="J377" s="7">
        <v>43</v>
      </c>
      <c r="K377" s="7">
        <v>46</v>
      </c>
      <c r="L377" s="7">
        <v>41</v>
      </c>
      <c r="M377" s="7">
        <v>60</v>
      </c>
    </row>
    <row r="378" spans="1:13" ht="15.75" customHeight="1" x14ac:dyDescent="0.25">
      <c r="A378" s="4">
        <v>377</v>
      </c>
      <c r="B378" s="5" t="s">
        <v>375</v>
      </c>
      <c r="C378" s="6" t="s">
        <v>28</v>
      </c>
      <c r="D378" s="6" t="s">
        <v>54</v>
      </c>
      <c r="E378" s="6" t="s">
        <v>571</v>
      </c>
      <c r="F378" s="6" t="s">
        <v>639</v>
      </c>
      <c r="G378" s="7">
        <f t="shared" si="10"/>
        <v>468</v>
      </c>
      <c r="H378" s="7">
        <v>110</v>
      </c>
      <c r="I378" s="7">
        <v>78</v>
      </c>
      <c r="J378" s="7">
        <v>73</v>
      </c>
      <c r="K378" s="7">
        <v>76</v>
      </c>
      <c r="L378" s="7">
        <v>71</v>
      </c>
      <c r="M378" s="7">
        <v>60</v>
      </c>
    </row>
    <row r="379" spans="1:13" ht="15.75" customHeight="1" x14ac:dyDescent="0.25">
      <c r="A379" s="4">
        <v>378</v>
      </c>
      <c r="B379" s="5" t="s">
        <v>376</v>
      </c>
      <c r="C379" s="6" t="s">
        <v>28</v>
      </c>
      <c r="D379" s="6"/>
      <c r="E379" s="6" t="s">
        <v>584</v>
      </c>
      <c r="F379" s="6" t="s">
        <v>579</v>
      </c>
      <c r="G379" s="7">
        <f t="shared" si="10"/>
        <v>308</v>
      </c>
      <c r="H379" s="7">
        <v>43</v>
      </c>
      <c r="I379" s="7">
        <v>80</v>
      </c>
      <c r="J379" s="7">
        <v>65</v>
      </c>
      <c r="K379" s="7">
        <v>50</v>
      </c>
      <c r="L379" s="7">
        <v>35</v>
      </c>
      <c r="M379" s="7">
        <v>35</v>
      </c>
    </row>
    <row r="380" spans="1:13" ht="15.75" customHeight="1" x14ac:dyDescent="0.25">
      <c r="A380" s="4">
        <v>379</v>
      </c>
      <c r="B380" s="5" t="s">
        <v>377</v>
      </c>
      <c r="C380" s="6" t="s">
        <v>28</v>
      </c>
      <c r="D380" s="6" t="s">
        <v>232</v>
      </c>
      <c r="E380" s="6" t="s">
        <v>584</v>
      </c>
      <c r="F380" s="6" t="s">
        <v>579</v>
      </c>
      <c r="G380" s="7">
        <f t="shared" si="10"/>
        <v>468</v>
      </c>
      <c r="H380" s="7">
        <v>63</v>
      </c>
      <c r="I380" s="7">
        <v>120</v>
      </c>
      <c r="J380" s="7">
        <v>85</v>
      </c>
      <c r="K380" s="7">
        <v>90</v>
      </c>
      <c r="L380" s="7">
        <v>55</v>
      </c>
      <c r="M380" s="7">
        <v>55</v>
      </c>
    </row>
    <row r="381" spans="1:13" ht="15.75" customHeight="1" x14ac:dyDescent="0.25">
      <c r="A381" s="4">
        <v>380</v>
      </c>
      <c r="B381" s="5" t="s">
        <v>378</v>
      </c>
      <c r="C381" s="6" t="s">
        <v>54</v>
      </c>
      <c r="D381" s="6" t="s">
        <v>92</v>
      </c>
      <c r="E381" s="6" t="s">
        <v>581</v>
      </c>
      <c r="G381" s="7">
        <f t="shared" si="10"/>
        <v>300</v>
      </c>
      <c r="H381" s="7">
        <v>40</v>
      </c>
      <c r="I381" s="7">
        <v>40</v>
      </c>
      <c r="J381" s="7">
        <v>55</v>
      </c>
      <c r="K381" s="7">
        <v>40</v>
      </c>
      <c r="L381" s="7">
        <v>70</v>
      </c>
      <c r="M381" s="7">
        <v>55</v>
      </c>
    </row>
    <row r="382" spans="1:13" ht="15.75" customHeight="1" x14ac:dyDescent="0.25">
      <c r="A382" s="4">
        <v>381</v>
      </c>
      <c r="B382" s="5" t="s">
        <v>379</v>
      </c>
      <c r="C382" s="6" t="s">
        <v>54</v>
      </c>
      <c r="D382" s="6" t="s">
        <v>92</v>
      </c>
      <c r="E382" s="6" t="s">
        <v>581</v>
      </c>
      <c r="G382" s="7">
        <f t="shared" si="10"/>
        <v>500</v>
      </c>
      <c r="H382" s="7">
        <v>60</v>
      </c>
      <c r="I382" s="7">
        <v>70</v>
      </c>
      <c r="J382" s="7">
        <v>105</v>
      </c>
      <c r="K382" s="7">
        <v>70</v>
      </c>
      <c r="L382" s="7">
        <v>120</v>
      </c>
      <c r="M382" s="7">
        <v>75</v>
      </c>
    </row>
    <row r="383" spans="1:13" ht="15.75" customHeight="1" x14ac:dyDescent="0.25">
      <c r="A383" s="4">
        <v>382</v>
      </c>
      <c r="B383" s="5" t="s">
        <v>380</v>
      </c>
      <c r="C383" s="6" t="s">
        <v>104</v>
      </c>
      <c r="D383" s="6" t="s">
        <v>14</v>
      </c>
      <c r="E383" s="6" t="s">
        <v>620</v>
      </c>
      <c r="G383" s="7">
        <f t="shared" si="10"/>
        <v>355</v>
      </c>
      <c r="H383" s="7">
        <v>66</v>
      </c>
      <c r="I383" s="7">
        <v>41</v>
      </c>
      <c r="J383" s="7">
        <v>77</v>
      </c>
      <c r="K383" s="7">
        <v>61</v>
      </c>
      <c r="L383" s="7">
        <v>87</v>
      </c>
      <c r="M383" s="7">
        <v>23</v>
      </c>
    </row>
    <row r="384" spans="1:13" ht="15.75" customHeight="1" x14ac:dyDescent="0.25">
      <c r="A384" s="4">
        <v>383</v>
      </c>
      <c r="B384" s="5" t="s">
        <v>381</v>
      </c>
      <c r="C384" s="6" t="s">
        <v>104</v>
      </c>
      <c r="D384" s="6" t="s">
        <v>14</v>
      </c>
      <c r="E384" s="6" t="s">
        <v>620</v>
      </c>
      <c r="G384" s="7">
        <f t="shared" si="10"/>
        <v>495</v>
      </c>
      <c r="H384" s="7">
        <v>86</v>
      </c>
      <c r="I384" s="7">
        <v>81</v>
      </c>
      <c r="J384" s="7">
        <v>97</v>
      </c>
      <c r="K384" s="7">
        <v>81</v>
      </c>
      <c r="L384" s="7">
        <v>107</v>
      </c>
      <c r="M384" s="7">
        <v>43</v>
      </c>
    </row>
    <row r="385" spans="1:13" ht="15.75" customHeight="1" x14ac:dyDescent="0.25">
      <c r="A385" s="4">
        <v>384</v>
      </c>
      <c r="B385" s="5" t="s">
        <v>382</v>
      </c>
      <c r="C385" s="6" t="s">
        <v>104</v>
      </c>
      <c r="D385" s="6" t="s">
        <v>14</v>
      </c>
      <c r="E385" s="6" t="s">
        <v>604</v>
      </c>
      <c r="G385" s="7">
        <f t="shared" si="10"/>
        <v>355</v>
      </c>
      <c r="H385" s="7">
        <v>45</v>
      </c>
      <c r="I385" s="7">
        <v>95</v>
      </c>
      <c r="J385" s="7">
        <v>50</v>
      </c>
      <c r="K385" s="7">
        <v>40</v>
      </c>
      <c r="L385" s="7">
        <v>50</v>
      </c>
      <c r="M385" s="7">
        <v>75</v>
      </c>
    </row>
    <row r="386" spans="1:13" ht="15.75" customHeight="1" x14ac:dyDescent="0.25">
      <c r="A386" s="4">
        <v>385</v>
      </c>
      <c r="B386" s="5" t="s">
        <v>383</v>
      </c>
      <c r="C386" s="6" t="s">
        <v>104</v>
      </c>
      <c r="D386" s="6" t="s">
        <v>14</v>
      </c>
      <c r="E386" s="6" t="s">
        <v>604</v>
      </c>
      <c r="G386" s="7">
        <f t="shared" si="10"/>
        <v>495</v>
      </c>
      <c r="H386" s="7">
        <v>75</v>
      </c>
      <c r="I386" s="7">
        <v>125</v>
      </c>
      <c r="J386" s="7">
        <v>100</v>
      </c>
      <c r="K386" s="7">
        <v>70</v>
      </c>
      <c r="L386" s="7">
        <v>80</v>
      </c>
      <c r="M386" s="7">
        <v>45</v>
      </c>
    </row>
    <row r="387" spans="1:13" ht="15.75" customHeight="1" x14ac:dyDescent="0.25">
      <c r="A387" s="4">
        <v>386</v>
      </c>
      <c r="B387" s="5" t="s">
        <v>384</v>
      </c>
      <c r="C387" s="6" t="s">
        <v>28</v>
      </c>
      <c r="D387" s="6"/>
      <c r="E387" s="6" t="s">
        <v>594</v>
      </c>
      <c r="G387" s="7">
        <f t="shared" si="10"/>
        <v>200</v>
      </c>
      <c r="H387" s="7">
        <v>20</v>
      </c>
      <c r="I387" s="7">
        <v>15</v>
      </c>
      <c r="J387" s="7">
        <v>20</v>
      </c>
      <c r="K387" s="7">
        <v>10</v>
      </c>
      <c r="L387" s="7">
        <v>55</v>
      </c>
      <c r="M387" s="7">
        <v>80</v>
      </c>
    </row>
    <row r="388" spans="1:13" ht="15.75" customHeight="1" x14ac:dyDescent="0.25">
      <c r="A388" s="4">
        <v>387</v>
      </c>
      <c r="B388" s="5" t="s">
        <v>385</v>
      </c>
      <c r="C388" s="6" t="s">
        <v>28</v>
      </c>
      <c r="D388" s="6"/>
      <c r="E388" s="6" t="s">
        <v>640</v>
      </c>
      <c r="G388" s="7">
        <f t="shared" si="10"/>
        <v>540</v>
      </c>
      <c r="H388" s="7">
        <v>95</v>
      </c>
      <c r="I388" s="7">
        <v>60</v>
      </c>
      <c r="J388" s="7">
        <v>79</v>
      </c>
      <c r="K388" s="7">
        <v>100</v>
      </c>
      <c r="L388" s="7">
        <v>125</v>
      </c>
      <c r="M388" s="7">
        <v>81</v>
      </c>
    </row>
    <row r="389" spans="1:13" ht="15.75" customHeight="1" x14ac:dyDescent="0.25">
      <c r="A389" s="4">
        <v>388</v>
      </c>
      <c r="B389" s="5" t="s">
        <v>386</v>
      </c>
      <c r="C389" s="6" t="s">
        <v>41</v>
      </c>
      <c r="D389" s="6"/>
      <c r="E389" s="6" t="s">
        <v>641</v>
      </c>
      <c r="G389" s="7">
        <f t="shared" si="10"/>
        <v>420</v>
      </c>
      <c r="H389" s="7">
        <v>70</v>
      </c>
      <c r="I389" s="7">
        <v>70</v>
      </c>
      <c r="J389" s="7">
        <v>70</v>
      </c>
      <c r="K389" s="7">
        <v>70</v>
      </c>
      <c r="L389" s="7">
        <v>70</v>
      </c>
      <c r="M389" s="7">
        <v>70</v>
      </c>
    </row>
    <row r="390" spans="1:13" ht="15.75" customHeight="1" x14ac:dyDescent="0.25">
      <c r="A390" s="4">
        <v>389</v>
      </c>
      <c r="B390" s="5" t="s">
        <v>387</v>
      </c>
      <c r="C390" s="6" t="s">
        <v>41</v>
      </c>
      <c r="D390" s="6"/>
      <c r="E390" s="6" t="s">
        <v>642</v>
      </c>
      <c r="G390" s="7">
        <f t="shared" si="10"/>
        <v>440</v>
      </c>
      <c r="H390" s="7">
        <v>60</v>
      </c>
      <c r="I390" s="7">
        <v>90</v>
      </c>
      <c r="J390" s="7">
        <v>70</v>
      </c>
      <c r="K390" s="7">
        <v>60</v>
      </c>
      <c r="L390" s="7">
        <v>120</v>
      </c>
      <c r="M390" s="7">
        <v>40</v>
      </c>
    </row>
    <row r="391" spans="1:13" ht="15.75" customHeight="1" x14ac:dyDescent="0.25">
      <c r="A391" s="4">
        <v>390</v>
      </c>
      <c r="B391" s="5" t="s">
        <v>388</v>
      </c>
      <c r="C391" s="6" t="s">
        <v>125</v>
      </c>
      <c r="D391" s="6"/>
      <c r="E391" s="6" t="s">
        <v>582</v>
      </c>
      <c r="F391" s="6" t="s">
        <v>621</v>
      </c>
      <c r="G391" s="7">
        <f t="shared" si="10"/>
        <v>295</v>
      </c>
      <c r="H391" s="7">
        <v>44</v>
      </c>
      <c r="I391" s="7">
        <v>75</v>
      </c>
      <c r="J391" s="7">
        <v>35</v>
      </c>
      <c r="K391" s="7">
        <v>63</v>
      </c>
      <c r="L391" s="7">
        <v>33</v>
      </c>
      <c r="M391" s="7">
        <v>45</v>
      </c>
    </row>
    <row r="392" spans="1:13" ht="15.75" customHeight="1" x14ac:dyDescent="0.25">
      <c r="A392" s="4">
        <v>391</v>
      </c>
      <c r="B392" s="5" t="s">
        <v>389</v>
      </c>
      <c r="C392" s="6" t="s">
        <v>125</v>
      </c>
      <c r="D392" s="6"/>
      <c r="E392" s="6" t="s">
        <v>582</v>
      </c>
      <c r="F392" s="6" t="s">
        <v>621</v>
      </c>
      <c r="G392" s="7">
        <f t="shared" si="10"/>
        <v>455</v>
      </c>
      <c r="H392" s="7">
        <v>64</v>
      </c>
      <c r="I392" s="7">
        <v>115</v>
      </c>
      <c r="J392" s="7">
        <v>65</v>
      </c>
      <c r="K392" s="7">
        <v>83</v>
      </c>
      <c r="L392" s="7">
        <v>63</v>
      </c>
      <c r="M392" s="7">
        <v>65</v>
      </c>
    </row>
    <row r="393" spans="1:13" ht="15.75" customHeight="1" x14ac:dyDescent="0.25">
      <c r="A393" s="4">
        <v>392</v>
      </c>
      <c r="B393" s="5" t="s">
        <v>390</v>
      </c>
      <c r="C393" s="6" t="s">
        <v>125</v>
      </c>
      <c r="D393" s="6"/>
      <c r="E393" s="6" t="s">
        <v>581</v>
      </c>
      <c r="G393" s="7">
        <f t="shared" si="10"/>
        <v>295</v>
      </c>
      <c r="H393" s="7">
        <v>20</v>
      </c>
      <c r="I393" s="7">
        <v>40</v>
      </c>
      <c r="J393" s="7">
        <v>90</v>
      </c>
      <c r="K393" s="7">
        <v>30</v>
      </c>
      <c r="L393" s="7">
        <v>90</v>
      </c>
      <c r="M393" s="7">
        <v>25</v>
      </c>
    </row>
    <row r="394" spans="1:13" ht="15.75" customHeight="1" x14ac:dyDescent="0.25">
      <c r="A394" s="4">
        <v>393</v>
      </c>
      <c r="B394" s="5" t="s">
        <v>391</v>
      </c>
      <c r="C394" s="6" t="s">
        <v>125</v>
      </c>
      <c r="D394" s="6"/>
      <c r="E394" s="6" t="s">
        <v>605</v>
      </c>
      <c r="G394" s="7">
        <f t="shared" si="10"/>
        <v>455</v>
      </c>
      <c r="H394" s="7">
        <v>40</v>
      </c>
      <c r="I394" s="7">
        <v>70</v>
      </c>
      <c r="J394" s="7">
        <v>130</v>
      </c>
      <c r="K394" s="7">
        <v>60</v>
      </c>
      <c r="L394" s="7">
        <v>130</v>
      </c>
      <c r="M394" s="7">
        <v>25</v>
      </c>
    </row>
    <row r="395" spans="1:13" ht="15.75" customHeight="1" x14ac:dyDescent="0.25">
      <c r="A395" s="4">
        <v>394</v>
      </c>
      <c r="B395" s="5" t="s">
        <v>512</v>
      </c>
      <c r="C395" s="6" t="s">
        <v>125</v>
      </c>
      <c r="D395" s="6"/>
      <c r="E395" s="6" t="s">
        <v>605</v>
      </c>
      <c r="G395" s="7">
        <f t="shared" si="10"/>
        <v>525</v>
      </c>
      <c r="H395" s="7">
        <v>45</v>
      </c>
      <c r="I395" s="7">
        <v>100</v>
      </c>
      <c r="J395" s="7">
        <v>135</v>
      </c>
      <c r="K395" s="7">
        <v>65</v>
      </c>
      <c r="L395" s="7">
        <v>135</v>
      </c>
      <c r="M395" s="7">
        <v>45</v>
      </c>
    </row>
    <row r="396" spans="1:13" ht="15.75" customHeight="1" x14ac:dyDescent="0.25">
      <c r="A396" s="4">
        <v>395</v>
      </c>
      <c r="B396" s="5" t="s">
        <v>392</v>
      </c>
      <c r="C396" s="6" t="s">
        <v>14</v>
      </c>
      <c r="D396" s="6" t="s">
        <v>26</v>
      </c>
      <c r="E396" s="6" t="s">
        <v>17</v>
      </c>
      <c r="F396" s="6" t="s">
        <v>611</v>
      </c>
      <c r="G396" s="7">
        <f t="shared" si="10"/>
        <v>460</v>
      </c>
      <c r="H396" s="7">
        <v>99</v>
      </c>
      <c r="I396" s="7">
        <v>68</v>
      </c>
      <c r="J396" s="7">
        <v>83</v>
      </c>
      <c r="K396" s="7">
        <v>72</v>
      </c>
      <c r="L396" s="7">
        <v>87</v>
      </c>
      <c r="M396" s="7">
        <v>51</v>
      </c>
    </row>
    <row r="397" spans="1:13" ht="15.75" customHeight="1" x14ac:dyDescent="0.25">
      <c r="A397" s="4">
        <v>396</v>
      </c>
      <c r="B397" s="5" t="s">
        <v>468</v>
      </c>
      <c r="C397" s="6" t="s">
        <v>92</v>
      </c>
      <c r="D397" s="6"/>
      <c r="E397" s="6" t="s">
        <v>581</v>
      </c>
      <c r="G397" s="7">
        <f t="shared" si="10"/>
        <v>285</v>
      </c>
      <c r="H397" s="7">
        <v>45</v>
      </c>
      <c r="I397" s="7">
        <v>30</v>
      </c>
      <c r="J397" s="7">
        <v>50</v>
      </c>
      <c r="K397" s="7">
        <v>65</v>
      </c>
      <c r="L397" s="7">
        <v>50</v>
      </c>
      <c r="M397" s="7">
        <v>45</v>
      </c>
    </row>
    <row r="398" spans="1:13" ht="15.75" customHeight="1" x14ac:dyDescent="0.25">
      <c r="A398" s="4">
        <v>397</v>
      </c>
      <c r="B398" s="5" t="s">
        <v>393</v>
      </c>
      <c r="C398" s="6" t="s">
        <v>92</v>
      </c>
      <c r="D398" s="6"/>
      <c r="E398" s="6" t="s">
        <v>581</v>
      </c>
      <c r="G398" s="7">
        <f t="shared" si="10"/>
        <v>455</v>
      </c>
      <c r="H398" s="7">
        <v>75</v>
      </c>
      <c r="I398" s="7">
        <v>50</v>
      </c>
      <c r="J398" s="7">
        <v>80</v>
      </c>
      <c r="K398" s="7">
        <v>95</v>
      </c>
      <c r="L398" s="7">
        <v>90</v>
      </c>
      <c r="M398" s="7">
        <v>65</v>
      </c>
    </row>
    <row r="399" spans="1:13" ht="15.75" customHeight="1" x14ac:dyDescent="0.25">
      <c r="A399" s="4">
        <v>398</v>
      </c>
      <c r="B399" s="5" t="s">
        <v>394</v>
      </c>
      <c r="C399" s="6" t="s">
        <v>232</v>
      </c>
      <c r="D399" s="6"/>
      <c r="E399" s="6" t="s">
        <v>605</v>
      </c>
      <c r="F399" s="6" t="s">
        <v>613</v>
      </c>
      <c r="G399" s="7">
        <f t="shared" si="10"/>
        <v>465</v>
      </c>
      <c r="H399" s="7">
        <v>65</v>
      </c>
      <c r="I399" s="7">
        <v>130</v>
      </c>
      <c r="J399" s="7">
        <v>60</v>
      </c>
      <c r="K399" s="7">
        <v>75</v>
      </c>
      <c r="L399" s="7">
        <v>60</v>
      </c>
      <c r="M399" s="7">
        <v>75</v>
      </c>
    </row>
    <row r="400" spans="1:13" ht="15.75" customHeight="1" x14ac:dyDescent="0.25">
      <c r="A400" s="4">
        <v>399</v>
      </c>
      <c r="B400" s="5" t="s">
        <v>396</v>
      </c>
      <c r="C400" s="6" t="s">
        <v>119</v>
      </c>
      <c r="D400" s="6"/>
      <c r="E400" s="6" t="s">
        <v>552</v>
      </c>
      <c r="F400" s="6" t="s">
        <v>643</v>
      </c>
      <c r="G400" s="7">
        <f t="shared" si="10"/>
        <v>300</v>
      </c>
      <c r="H400" s="7">
        <v>50</v>
      </c>
      <c r="I400" s="7">
        <v>50</v>
      </c>
      <c r="J400" s="7">
        <v>50</v>
      </c>
      <c r="K400" s="7">
        <v>50</v>
      </c>
      <c r="L400" s="7">
        <v>50</v>
      </c>
      <c r="M400" s="7">
        <v>50</v>
      </c>
    </row>
    <row r="401" spans="1:13" ht="15.75" customHeight="1" x14ac:dyDescent="0.25">
      <c r="A401" s="4">
        <v>400</v>
      </c>
      <c r="B401" s="5" t="s">
        <v>397</v>
      </c>
      <c r="C401" s="6" t="s">
        <v>119</v>
      </c>
      <c r="D401" s="6"/>
      <c r="E401" s="6" t="s">
        <v>552</v>
      </c>
      <c r="F401" s="6" t="s">
        <v>643</v>
      </c>
      <c r="G401" s="7">
        <f t="shared" si="10"/>
        <v>480</v>
      </c>
      <c r="H401" s="7">
        <v>80</v>
      </c>
      <c r="I401" s="7">
        <v>80</v>
      </c>
      <c r="J401" s="7">
        <v>80</v>
      </c>
      <c r="K401" s="7">
        <v>80</v>
      </c>
      <c r="L401" s="7">
        <v>80</v>
      </c>
      <c r="M401" s="7">
        <v>80</v>
      </c>
    </row>
    <row r="402" spans="1:13" ht="15.75" customHeight="1" x14ac:dyDescent="0.25">
      <c r="A402" s="4">
        <v>401</v>
      </c>
      <c r="B402" s="5" t="s">
        <v>513</v>
      </c>
      <c r="C402" s="6" t="s">
        <v>119</v>
      </c>
      <c r="D402" s="6" t="s">
        <v>125</v>
      </c>
      <c r="E402" s="6" t="s">
        <v>619</v>
      </c>
      <c r="G402" s="7">
        <f t="shared" si="10"/>
        <v>480</v>
      </c>
      <c r="H402" s="7">
        <v>70</v>
      </c>
      <c r="I402" s="7">
        <v>80</v>
      </c>
      <c r="J402" s="7">
        <v>70</v>
      </c>
      <c r="K402" s="7">
        <v>80</v>
      </c>
      <c r="L402" s="7">
        <v>70</v>
      </c>
      <c r="M402" s="7">
        <v>110</v>
      </c>
    </row>
    <row r="403" spans="1:13" ht="15.75" customHeight="1" x14ac:dyDescent="0.25">
      <c r="A403" s="4">
        <v>402</v>
      </c>
      <c r="B403" s="5" t="s">
        <v>398</v>
      </c>
      <c r="C403" s="6" t="s">
        <v>119</v>
      </c>
      <c r="D403" s="6" t="s">
        <v>28</v>
      </c>
      <c r="E403" s="6" t="s">
        <v>575</v>
      </c>
      <c r="F403" s="6" t="s">
        <v>643</v>
      </c>
      <c r="G403" s="7">
        <f t="shared" si="10"/>
        <v>290</v>
      </c>
      <c r="H403" s="7">
        <v>70</v>
      </c>
      <c r="I403" s="7">
        <v>40</v>
      </c>
      <c r="J403" s="7">
        <v>50</v>
      </c>
      <c r="K403" s="7">
        <v>55</v>
      </c>
      <c r="L403" s="7">
        <v>50</v>
      </c>
      <c r="M403" s="7">
        <v>25</v>
      </c>
    </row>
    <row r="404" spans="1:13" ht="15.75" customHeight="1" x14ac:dyDescent="0.25">
      <c r="A404" s="4">
        <v>403</v>
      </c>
      <c r="B404" s="5" t="s">
        <v>399</v>
      </c>
      <c r="C404" s="6" t="s">
        <v>119</v>
      </c>
      <c r="D404" s="6" t="s">
        <v>28</v>
      </c>
      <c r="E404" s="6" t="s">
        <v>575</v>
      </c>
      <c r="F404" s="6" t="s">
        <v>643</v>
      </c>
      <c r="G404" s="7">
        <f t="shared" si="10"/>
        <v>410</v>
      </c>
      <c r="H404" s="7">
        <v>90</v>
      </c>
      <c r="I404" s="7">
        <v>60</v>
      </c>
      <c r="J404" s="7">
        <v>70</v>
      </c>
      <c r="K404" s="7">
        <v>75</v>
      </c>
      <c r="L404" s="7">
        <v>70</v>
      </c>
      <c r="M404" s="7">
        <v>45</v>
      </c>
    </row>
    <row r="405" spans="1:13" ht="15.75" customHeight="1" x14ac:dyDescent="0.25">
      <c r="A405" s="4">
        <v>404</v>
      </c>
      <c r="B405" s="5" t="s">
        <v>400</v>
      </c>
      <c r="C405" s="6" t="s">
        <v>119</v>
      </c>
      <c r="D405" s="6" t="s">
        <v>28</v>
      </c>
      <c r="E405" s="6" t="s">
        <v>575</v>
      </c>
      <c r="F405" s="6" t="s">
        <v>643</v>
      </c>
      <c r="G405" s="7">
        <f t="shared" si="10"/>
        <v>530</v>
      </c>
      <c r="H405" s="7">
        <v>110</v>
      </c>
      <c r="I405" s="7">
        <v>80</v>
      </c>
      <c r="J405" s="7">
        <v>90</v>
      </c>
      <c r="K405" s="7">
        <v>95</v>
      </c>
      <c r="L405" s="7">
        <v>90</v>
      </c>
      <c r="M405" s="7">
        <v>65</v>
      </c>
    </row>
    <row r="406" spans="1:13" ht="15.75" customHeight="1" x14ac:dyDescent="0.25">
      <c r="A406" s="4">
        <v>405</v>
      </c>
      <c r="B406" s="5" t="s">
        <v>401</v>
      </c>
      <c r="C406" s="6" t="s">
        <v>28</v>
      </c>
      <c r="D406" s="6"/>
      <c r="E406" s="6" t="s">
        <v>579</v>
      </c>
      <c r="G406" s="7">
        <f t="shared" si="10"/>
        <v>345</v>
      </c>
      <c r="H406" s="7">
        <v>35</v>
      </c>
      <c r="I406" s="7">
        <v>64</v>
      </c>
      <c r="J406" s="7">
        <v>85</v>
      </c>
      <c r="K406" s="7">
        <v>74</v>
      </c>
      <c r="L406" s="7">
        <v>55</v>
      </c>
      <c r="M406" s="7">
        <v>32</v>
      </c>
    </row>
    <row r="407" spans="1:13" ht="15.75" customHeight="1" x14ac:dyDescent="0.25">
      <c r="A407" s="4">
        <v>406</v>
      </c>
      <c r="B407" s="5" t="s">
        <v>402</v>
      </c>
      <c r="C407" s="6" t="s">
        <v>28</v>
      </c>
      <c r="D407" s="6"/>
      <c r="E407" s="6" t="s">
        <v>594</v>
      </c>
      <c r="G407" s="7">
        <f t="shared" si="10"/>
        <v>485</v>
      </c>
      <c r="H407" s="7">
        <v>55</v>
      </c>
      <c r="I407" s="7">
        <v>104</v>
      </c>
      <c r="J407" s="7">
        <v>105</v>
      </c>
      <c r="K407" s="7">
        <v>94</v>
      </c>
      <c r="L407" s="7">
        <v>75</v>
      </c>
      <c r="M407" s="7">
        <v>52</v>
      </c>
    </row>
    <row r="408" spans="1:13" ht="15.75" customHeight="1" x14ac:dyDescent="0.25">
      <c r="A408" s="4">
        <v>407</v>
      </c>
      <c r="B408" s="5" t="s">
        <v>403</v>
      </c>
      <c r="C408" s="6" t="s">
        <v>28</v>
      </c>
      <c r="D408" s="6"/>
      <c r="E408" s="6" t="s">
        <v>594</v>
      </c>
      <c r="G408" s="7">
        <f t="shared" si="10"/>
        <v>485</v>
      </c>
      <c r="H408" s="7">
        <v>55</v>
      </c>
      <c r="I408" s="7">
        <v>84</v>
      </c>
      <c r="J408" s="7">
        <v>105</v>
      </c>
      <c r="K408" s="7">
        <v>114</v>
      </c>
      <c r="L408" s="7">
        <v>75</v>
      </c>
      <c r="M408" s="7">
        <v>52</v>
      </c>
    </row>
    <row r="409" spans="1:13" ht="15.75" customHeight="1" x14ac:dyDescent="0.25">
      <c r="A409" s="4">
        <v>408</v>
      </c>
      <c r="B409" s="5" t="s">
        <v>404</v>
      </c>
      <c r="C409" s="6" t="s">
        <v>28</v>
      </c>
      <c r="D409" s="6" t="s">
        <v>104</v>
      </c>
      <c r="E409" s="6" t="s">
        <v>594</v>
      </c>
      <c r="F409" s="6" t="s">
        <v>569</v>
      </c>
      <c r="G409" s="7">
        <f t="shared" si="10"/>
        <v>485</v>
      </c>
      <c r="H409" s="7">
        <v>100</v>
      </c>
      <c r="I409" s="7">
        <v>90</v>
      </c>
      <c r="J409" s="7">
        <v>130</v>
      </c>
      <c r="K409" s="7">
        <v>45</v>
      </c>
      <c r="L409" s="7">
        <v>65</v>
      </c>
      <c r="M409" s="7">
        <v>55</v>
      </c>
    </row>
    <row r="410" spans="1:13" ht="15.75" customHeight="1" x14ac:dyDescent="0.25">
      <c r="A410" s="4">
        <v>409</v>
      </c>
      <c r="B410" s="5" t="s">
        <v>405</v>
      </c>
      <c r="C410" s="6" t="s">
        <v>28</v>
      </c>
      <c r="D410" s="6"/>
      <c r="E410" s="6" t="s">
        <v>594</v>
      </c>
      <c r="G410" s="7">
        <f t="shared" si="10"/>
        <v>330</v>
      </c>
      <c r="H410" s="7">
        <v>43</v>
      </c>
      <c r="I410" s="7">
        <v>30</v>
      </c>
      <c r="J410" s="7">
        <v>55</v>
      </c>
      <c r="K410" s="7">
        <v>40</v>
      </c>
      <c r="L410" s="7">
        <v>65</v>
      </c>
      <c r="M410" s="7">
        <v>97</v>
      </c>
    </row>
    <row r="411" spans="1:13" ht="15.75" customHeight="1" x14ac:dyDescent="0.25">
      <c r="A411" s="4">
        <v>410</v>
      </c>
      <c r="B411" s="5" t="s">
        <v>406</v>
      </c>
      <c r="C411" s="6" t="s">
        <v>181</v>
      </c>
      <c r="D411" s="6"/>
      <c r="E411" s="6" t="s">
        <v>569</v>
      </c>
      <c r="G411" s="7">
        <f t="shared" si="10"/>
        <v>300</v>
      </c>
      <c r="H411" s="7">
        <v>45</v>
      </c>
      <c r="I411" s="7">
        <v>75</v>
      </c>
      <c r="J411" s="7">
        <v>60</v>
      </c>
      <c r="K411" s="7">
        <v>40</v>
      </c>
      <c r="L411" s="7">
        <v>30</v>
      </c>
      <c r="M411" s="7">
        <v>50</v>
      </c>
    </row>
    <row r="412" spans="1:13" ht="15.75" customHeight="1" x14ac:dyDescent="0.25">
      <c r="A412" s="4">
        <v>411</v>
      </c>
      <c r="B412" s="5" t="s">
        <v>407</v>
      </c>
      <c r="C412" s="6" t="s">
        <v>181</v>
      </c>
      <c r="D412" s="6"/>
      <c r="E412" s="6" t="s">
        <v>569</v>
      </c>
      <c r="G412" s="7">
        <f t="shared" si="10"/>
        <v>420</v>
      </c>
      <c r="H412" s="7">
        <v>65</v>
      </c>
      <c r="I412" s="7">
        <v>95</v>
      </c>
      <c r="J412" s="7">
        <v>100</v>
      </c>
      <c r="K412" s="7">
        <v>60</v>
      </c>
      <c r="L412" s="7">
        <v>50</v>
      </c>
      <c r="M412" s="7">
        <v>50</v>
      </c>
    </row>
    <row r="413" spans="1:13" ht="15.75" customHeight="1" x14ac:dyDescent="0.25">
      <c r="A413" s="4">
        <v>412</v>
      </c>
      <c r="B413" s="5" t="s">
        <v>408</v>
      </c>
      <c r="C413" s="6" t="s">
        <v>181</v>
      </c>
      <c r="D413" s="6" t="s">
        <v>26</v>
      </c>
      <c r="E413" s="6" t="s">
        <v>544</v>
      </c>
      <c r="G413" s="7">
        <f t="shared" si="10"/>
        <v>600</v>
      </c>
      <c r="H413" s="7">
        <v>95</v>
      </c>
      <c r="I413" s="7">
        <v>135</v>
      </c>
      <c r="J413" s="7">
        <v>80</v>
      </c>
      <c r="K413" s="7">
        <v>110</v>
      </c>
      <c r="L413" s="7">
        <v>80</v>
      </c>
      <c r="M413" s="7">
        <v>100</v>
      </c>
    </row>
    <row r="414" spans="1:13" ht="15.75" customHeight="1" x14ac:dyDescent="0.25">
      <c r="A414" s="4">
        <v>413</v>
      </c>
      <c r="B414" s="5" t="s">
        <v>409</v>
      </c>
      <c r="C414" s="6" t="s">
        <v>112</v>
      </c>
      <c r="D414" s="6" t="s">
        <v>92</v>
      </c>
      <c r="E414" s="6" t="s">
        <v>567</v>
      </c>
      <c r="G414" s="7">
        <f t="shared" si="10"/>
        <v>300</v>
      </c>
      <c r="H414" s="7">
        <v>40</v>
      </c>
      <c r="I414" s="7">
        <v>55</v>
      </c>
      <c r="J414" s="7">
        <v>80</v>
      </c>
      <c r="K414" s="7">
        <v>35</v>
      </c>
      <c r="L414" s="7">
        <v>60</v>
      </c>
      <c r="M414" s="7">
        <v>30</v>
      </c>
    </row>
    <row r="415" spans="1:13" ht="15.75" customHeight="1" x14ac:dyDescent="0.25">
      <c r="A415" s="4">
        <v>414</v>
      </c>
      <c r="B415" s="5" t="s">
        <v>410</v>
      </c>
      <c r="C415" s="6" t="s">
        <v>112</v>
      </c>
      <c r="D415" s="6" t="s">
        <v>92</v>
      </c>
      <c r="E415" s="6" t="s">
        <v>567</v>
      </c>
      <c r="G415" s="7">
        <f t="shared" si="10"/>
        <v>420</v>
      </c>
      <c r="H415" s="7">
        <v>60</v>
      </c>
      <c r="I415" s="7">
        <v>75</v>
      </c>
      <c r="J415" s="7">
        <v>100</v>
      </c>
      <c r="K415" s="7">
        <v>55</v>
      </c>
      <c r="L415" s="7">
        <v>80</v>
      </c>
      <c r="M415" s="7">
        <v>50</v>
      </c>
    </row>
    <row r="416" spans="1:13" ht="15.75" customHeight="1" x14ac:dyDescent="0.25">
      <c r="A416" s="4">
        <v>415</v>
      </c>
      <c r="B416" s="5" t="s">
        <v>411</v>
      </c>
      <c r="C416" s="6" t="s">
        <v>112</v>
      </c>
      <c r="D416" s="6" t="s">
        <v>92</v>
      </c>
      <c r="E416" s="6" t="s">
        <v>567</v>
      </c>
      <c r="G416" s="7">
        <f t="shared" si="10"/>
        <v>600</v>
      </c>
      <c r="H416" s="7">
        <v>80</v>
      </c>
      <c r="I416" s="7">
        <v>135</v>
      </c>
      <c r="J416" s="7">
        <v>130</v>
      </c>
      <c r="K416" s="7">
        <v>95</v>
      </c>
      <c r="L416" s="7">
        <v>90</v>
      </c>
      <c r="M416" s="7">
        <v>70</v>
      </c>
    </row>
    <row r="417" spans="1:13" ht="15.75" customHeight="1" x14ac:dyDescent="0.25">
      <c r="A417" s="4">
        <v>416</v>
      </c>
      <c r="B417" s="5" t="s">
        <v>412</v>
      </c>
      <c r="C417" s="6" t="s">
        <v>104</v>
      </c>
      <c r="D417" s="6"/>
      <c r="E417" s="6" t="s">
        <v>567</v>
      </c>
      <c r="G417" s="7">
        <f t="shared" si="10"/>
        <v>580</v>
      </c>
      <c r="H417" s="7">
        <v>80</v>
      </c>
      <c r="I417" s="7">
        <v>100</v>
      </c>
      <c r="J417" s="7">
        <v>200</v>
      </c>
      <c r="K417" s="7">
        <v>50</v>
      </c>
      <c r="L417" s="7">
        <v>100</v>
      </c>
      <c r="M417" s="7">
        <v>50</v>
      </c>
    </row>
    <row r="418" spans="1:13" ht="15.75" customHeight="1" x14ac:dyDescent="0.25">
      <c r="A418" s="4">
        <v>417</v>
      </c>
      <c r="B418" s="5" t="s">
        <v>413</v>
      </c>
      <c r="C418" s="6" t="s">
        <v>119</v>
      </c>
      <c r="D418" s="6"/>
      <c r="E418" s="6" t="s">
        <v>567</v>
      </c>
      <c r="G418" s="7">
        <f t="shared" si="10"/>
        <v>580</v>
      </c>
      <c r="H418" s="7">
        <v>80</v>
      </c>
      <c r="I418" s="7">
        <v>50</v>
      </c>
      <c r="J418" s="7">
        <v>100</v>
      </c>
      <c r="K418" s="7">
        <v>100</v>
      </c>
      <c r="L418" s="7">
        <v>200</v>
      </c>
      <c r="M418" s="7">
        <v>50</v>
      </c>
    </row>
    <row r="419" spans="1:13" ht="15.75" customHeight="1" x14ac:dyDescent="0.25">
      <c r="A419" s="4">
        <v>418</v>
      </c>
      <c r="B419" s="5" t="s">
        <v>414</v>
      </c>
      <c r="C419" s="6" t="s">
        <v>112</v>
      </c>
      <c r="D419" s="6"/>
      <c r="E419" s="6" t="s">
        <v>567</v>
      </c>
      <c r="G419" s="7">
        <f t="shared" si="10"/>
        <v>580</v>
      </c>
      <c r="H419" s="7">
        <v>80</v>
      </c>
      <c r="I419" s="7">
        <v>75</v>
      </c>
      <c r="J419" s="7">
        <v>150</v>
      </c>
      <c r="K419" s="7">
        <v>75</v>
      </c>
      <c r="L419" s="7">
        <v>150</v>
      </c>
      <c r="M419" s="7">
        <v>50</v>
      </c>
    </row>
    <row r="420" spans="1:13" ht="15.75" customHeight="1" x14ac:dyDescent="0.25">
      <c r="A420" s="4">
        <v>419</v>
      </c>
      <c r="B420" s="5" t="s">
        <v>415</v>
      </c>
      <c r="C420" s="6" t="s">
        <v>181</v>
      </c>
      <c r="D420" s="6" t="s">
        <v>92</v>
      </c>
      <c r="E420" s="6" t="s">
        <v>581</v>
      </c>
      <c r="G420" s="7">
        <f t="shared" si="10"/>
        <v>600</v>
      </c>
      <c r="H420" s="7">
        <v>80</v>
      </c>
      <c r="I420" s="7">
        <v>80</v>
      </c>
      <c r="J420" s="7">
        <v>90</v>
      </c>
      <c r="K420" s="7">
        <v>110</v>
      </c>
      <c r="L420" s="7">
        <v>130</v>
      </c>
      <c r="M420" s="7">
        <v>110</v>
      </c>
    </row>
    <row r="421" spans="1:13" ht="15.75" customHeight="1" x14ac:dyDescent="0.25">
      <c r="A421" s="4">
        <v>420</v>
      </c>
      <c r="B421" s="5" t="s">
        <v>416</v>
      </c>
      <c r="C421" s="6" t="s">
        <v>181</v>
      </c>
      <c r="D421" s="6" t="s">
        <v>92</v>
      </c>
      <c r="E421" s="6" t="s">
        <v>581</v>
      </c>
      <c r="G421" s="7">
        <f t="shared" si="10"/>
        <v>600</v>
      </c>
      <c r="H421" s="7">
        <v>80</v>
      </c>
      <c r="I421" s="7">
        <v>90</v>
      </c>
      <c r="J421" s="7">
        <v>80</v>
      </c>
      <c r="K421" s="7">
        <v>130</v>
      </c>
      <c r="L421" s="7">
        <v>110</v>
      </c>
      <c r="M421" s="7">
        <v>110</v>
      </c>
    </row>
    <row r="422" spans="1:13" ht="15.75" customHeight="1" x14ac:dyDescent="0.25">
      <c r="A422" s="4">
        <v>421</v>
      </c>
      <c r="B422" s="5" t="s">
        <v>417</v>
      </c>
      <c r="C422" s="6" t="s">
        <v>28</v>
      </c>
      <c r="D422" s="6"/>
      <c r="E422" s="6" t="s">
        <v>644</v>
      </c>
      <c r="G422" s="7">
        <f t="shared" si="10"/>
        <v>670</v>
      </c>
      <c r="H422" s="7">
        <v>100</v>
      </c>
      <c r="I422" s="7">
        <v>100</v>
      </c>
      <c r="J422" s="7">
        <v>90</v>
      </c>
      <c r="K422" s="7">
        <v>150</v>
      </c>
      <c r="L422" s="7">
        <v>140</v>
      </c>
      <c r="M422" s="7">
        <v>90</v>
      </c>
    </row>
    <row r="423" spans="1:13" ht="15.75" customHeight="1" x14ac:dyDescent="0.25">
      <c r="A423" s="4">
        <v>422</v>
      </c>
      <c r="B423" s="5" t="s">
        <v>418</v>
      </c>
      <c r="C423" s="6" t="s">
        <v>54</v>
      </c>
      <c r="D423" s="6"/>
      <c r="E423" s="6" t="s">
        <v>23</v>
      </c>
      <c r="G423" s="7">
        <f t="shared" si="10"/>
        <v>670</v>
      </c>
      <c r="H423" s="7">
        <v>100</v>
      </c>
      <c r="I423" s="7">
        <v>150</v>
      </c>
      <c r="J423" s="7">
        <v>140</v>
      </c>
      <c r="K423" s="7">
        <v>100</v>
      </c>
      <c r="L423" s="7">
        <v>90</v>
      </c>
      <c r="M423" s="7">
        <v>90</v>
      </c>
    </row>
    <row r="424" spans="1:13" ht="15.75" customHeight="1" x14ac:dyDescent="0.25">
      <c r="A424" s="4">
        <v>423</v>
      </c>
      <c r="B424" s="5" t="s">
        <v>419</v>
      </c>
      <c r="C424" s="6" t="s">
        <v>181</v>
      </c>
      <c r="D424" s="6" t="s">
        <v>26</v>
      </c>
      <c r="E424" s="6" t="s">
        <v>645</v>
      </c>
      <c r="G424" s="7">
        <f t="shared" si="10"/>
        <v>680</v>
      </c>
      <c r="H424" s="7">
        <v>105</v>
      </c>
      <c r="I424" s="7">
        <v>150</v>
      </c>
      <c r="J424" s="7">
        <v>90</v>
      </c>
      <c r="K424" s="7">
        <v>150</v>
      </c>
      <c r="L424" s="7">
        <v>90</v>
      </c>
      <c r="M424" s="7">
        <v>95</v>
      </c>
    </row>
    <row r="425" spans="1:13" ht="15.75" customHeight="1" x14ac:dyDescent="0.25">
      <c r="A425" s="4">
        <v>424</v>
      </c>
      <c r="B425" s="5" t="s">
        <v>420</v>
      </c>
      <c r="C425" s="6" t="s">
        <v>112</v>
      </c>
      <c r="D425" s="6" t="s">
        <v>92</v>
      </c>
      <c r="E425" s="6" t="s">
        <v>615</v>
      </c>
      <c r="G425" s="7">
        <f t="shared" si="10"/>
        <v>600</v>
      </c>
      <c r="H425" s="7">
        <v>100</v>
      </c>
      <c r="I425" s="7">
        <v>100</v>
      </c>
      <c r="J425" s="7">
        <v>100</v>
      </c>
      <c r="K425" s="7">
        <v>100</v>
      </c>
      <c r="L425" s="7">
        <v>100</v>
      </c>
      <c r="M425" s="7">
        <v>100</v>
      </c>
    </row>
    <row r="426" spans="1:13" ht="15.75" customHeight="1" x14ac:dyDescent="0.25">
      <c r="A426" s="4">
        <v>425</v>
      </c>
      <c r="B426" s="5" t="s">
        <v>421</v>
      </c>
      <c r="C426" s="6" t="s">
        <v>92</v>
      </c>
      <c r="D426" s="6"/>
      <c r="E426" s="6" t="s">
        <v>605</v>
      </c>
      <c r="G426" s="7">
        <f t="shared" si="10"/>
        <v>600</v>
      </c>
      <c r="H426" s="7">
        <v>50</v>
      </c>
      <c r="I426" s="7">
        <v>150</v>
      </c>
      <c r="J426" s="7">
        <v>50</v>
      </c>
      <c r="K426" s="7">
        <v>150</v>
      </c>
      <c r="L426" s="7">
        <v>50</v>
      </c>
      <c r="M426" s="7">
        <v>150</v>
      </c>
    </row>
    <row r="427" spans="1:13" ht="15.75" customHeight="1" x14ac:dyDescent="0.25">
      <c r="A427" s="4">
        <v>426</v>
      </c>
      <c r="B427" s="5" t="s">
        <v>422</v>
      </c>
      <c r="C427" s="6" t="s">
        <v>14</v>
      </c>
      <c r="D427" s="6"/>
      <c r="E427" s="6" t="s">
        <v>16</v>
      </c>
      <c r="G427" s="7">
        <f t="shared" si="10"/>
        <v>318</v>
      </c>
      <c r="H427" s="7">
        <v>55</v>
      </c>
      <c r="I427" s="7">
        <v>68</v>
      </c>
      <c r="J427" s="7">
        <v>64</v>
      </c>
      <c r="K427" s="7">
        <v>45</v>
      </c>
      <c r="L427" s="7">
        <v>55</v>
      </c>
      <c r="M427" s="7">
        <v>31</v>
      </c>
    </row>
    <row r="428" spans="1:13" ht="15.75" customHeight="1" x14ac:dyDescent="0.25">
      <c r="A428" s="4">
        <v>427</v>
      </c>
      <c r="B428" s="5" t="s">
        <v>423</v>
      </c>
      <c r="C428" s="6" t="s">
        <v>14</v>
      </c>
      <c r="D428" s="6"/>
      <c r="E428" s="6" t="s">
        <v>16</v>
      </c>
      <c r="G428" s="7">
        <f t="shared" si="10"/>
        <v>405</v>
      </c>
      <c r="H428" s="7">
        <v>75</v>
      </c>
      <c r="I428" s="7">
        <v>89</v>
      </c>
      <c r="J428" s="7">
        <v>85</v>
      </c>
      <c r="K428" s="7">
        <v>55</v>
      </c>
      <c r="L428" s="7">
        <v>65</v>
      </c>
      <c r="M428" s="7">
        <v>36</v>
      </c>
    </row>
    <row r="429" spans="1:13" ht="15.75" customHeight="1" x14ac:dyDescent="0.25">
      <c r="A429" s="4">
        <v>428</v>
      </c>
      <c r="B429" s="5" t="s">
        <v>424</v>
      </c>
      <c r="C429" s="6" t="s">
        <v>14</v>
      </c>
      <c r="D429" s="6" t="s">
        <v>54</v>
      </c>
      <c r="E429" s="6" t="s">
        <v>16</v>
      </c>
      <c r="G429" s="7">
        <f t="shared" si="10"/>
        <v>525</v>
      </c>
      <c r="H429" s="7">
        <v>95</v>
      </c>
      <c r="I429" s="7">
        <v>109</v>
      </c>
      <c r="J429" s="7">
        <v>105</v>
      </c>
      <c r="K429" s="7">
        <v>75</v>
      </c>
      <c r="L429" s="7">
        <v>85</v>
      </c>
      <c r="M429" s="7">
        <v>56</v>
      </c>
    </row>
    <row r="430" spans="1:13" ht="15.75" customHeight="1" x14ac:dyDescent="0.25">
      <c r="A430" s="4">
        <v>429</v>
      </c>
      <c r="B430" s="5" t="s">
        <v>425</v>
      </c>
      <c r="C430" s="6" t="s">
        <v>21</v>
      </c>
      <c r="D430" s="6"/>
      <c r="E430" s="6" t="s">
        <v>22</v>
      </c>
      <c r="G430" s="7">
        <f t="shared" si="10"/>
        <v>309</v>
      </c>
      <c r="H430" s="7">
        <v>44</v>
      </c>
      <c r="I430" s="7">
        <v>58</v>
      </c>
      <c r="J430" s="7">
        <v>44</v>
      </c>
      <c r="K430" s="7">
        <v>58</v>
      </c>
      <c r="L430" s="7">
        <v>44</v>
      </c>
      <c r="M430" s="7">
        <v>61</v>
      </c>
    </row>
    <row r="431" spans="1:13" ht="15.75" customHeight="1" x14ac:dyDescent="0.25">
      <c r="A431" s="4">
        <v>430</v>
      </c>
      <c r="B431" s="5" t="s">
        <v>426</v>
      </c>
      <c r="C431" s="6" t="s">
        <v>21</v>
      </c>
      <c r="D431" s="6" t="s">
        <v>84</v>
      </c>
      <c r="E431" s="6" t="s">
        <v>22</v>
      </c>
      <c r="G431" s="7">
        <f t="shared" ref="G431:G494" si="11">SUM(H431:M431)</f>
        <v>405</v>
      </c>
      <c r="H431" s="7">
        <v>64</v>
      </c>
      <c r="I431" s="7">
        <v>78</v>
      </c>
      <c r="J431" s="7">
        <v>52</v>
      </c>
      <c r="K431" s="7">
        <v>78</v>
      </c>
      <c r="L431" s="7">
        <v>52</v>
      </c>
      <c r="M431" s="7">
        <v>81</v>
      </c>
    </row>
    <row r="432" spans="1:13" ht="15.75" customHeight="1" x14ac:dyDescent="0.25">
      <c r="A432" s="4">
        <v>431</v>
      </c>
      <c r="B432" s="5" t="s">
        <v>427</v>
      </c>
      <c r="C432" s="6" t="s">
        <v>21</v>
      </c>
      <c r="D432" s="6" t="s">
        <v>84</v>
      </c>
      <c r="E432" s="6" t="s">
        <v>22</v>
      </c>
      <c r="G432" s="7">
        <f t="shared" si="11"/>
        <v>534</v>
      </c>
      <c r="H432" s="7">
        <v>76</v>
      </c>
      <c r="I432" s="7">
        <v>104</v>
      </c>
      <c r="J432" s="7">
        <v>71</v>
      </c>
      <c r="K432" s="7">
        <v>104</v>
      </c>
      <c r="L432" s="7">
        <v>71</v>
      </c>
      <c r="M432" s="7">
        <v>108</v>
      </c>
    </row>
    <row r="433" spans="1:13" ht="15.75" customHeight="1" x14ac:dyDescent="0.25">
      <c r="A433" s="4">
        <v>432</v>
      </c>
      <c r="B433" s="5" t="s">
        <v>428</v>
      </c>
      <c r="C433" s="6" t="s">
        <v>28</v>
      </c>
      <c r="D433" s="6"/>
      <c r="E433" s="6" t="s">
        <v>29</v>
      </c>
      <c r="G433" s="7">
        <f t="shared" si="11"/>
        <v>314</v>
      </c>
      <c r="H433" s="7">
        <v>53</v>
      </c>
      <c r="I433" s="7">
        <v>51</v>
      </c>
      <c r="J433" s="7">
        <v>53</v>
      </c>
      <c r="K433" s="7">
        <v>61</v>
      </c>
      <c r="L433" s="7">
        <v>56</v>
      </c>
      <c r="M433" s="7">
        <v>40</v>
      </c>
    </row>
    <row r="434" spans="1:13" ht="15.75" customHeight="1" x14ac:dyDescent="0.25">
      <c r="A434" s="4">
        <v>433</v>
      </c>
      <c r="B434" s="5" t="s">
        <v>429</v>
      </c>
      <c r="C434" s="6" t="s">
        <v>28</v>
      </c>
      <c r="D434" s="6"/>
      <c r="E434" s="6" t="s">
        <v>29</v>
      </c>
      <c r="G434" s="7">
        <f t="shared" si="11"/>
        <v>405</v>
      </c>
      <c r="H434" s="7">
        <v>64</v>
      </c>
      <c r="I434" s="7">
        <v>66</v>
      </c>
      <c r="J434" s="7">
        <v>68</v>
      </c>
      <c r="K434" s="7">
        <v>81</v>
      </c>
      <c r="L434" s="7">
        <v>76</v>
      </c>
      <c r="M434" s="7">
        <v>50</v>
      </c>
    </row>
    <row r="435" spans="1:13" ht="15.75" customHeight="1" x14ac:dyDescent="0.25">
      <c r="A435" s="4">
        <v>434</v>
      </c>
      <c r="B435" s="5" t="s">
        <v>430</v>
      </c>
      <c r="C435" s="6" t="s">
        <v>28</v>
      </c>
      <c r="D435" s="6" t="s">
        <v>112</v>
      </c>
      <c r="E435" s="6" t="s">
        <v>29</v>
      </c>
      <c r="G435" s="7">
        <f t="shared" si="11"/>
        <v>530</v>
      </c>
      <c r="H435" s="7">
        <v>84</v>
      </c>
      <c r="I435" s="7">
        <v>86</v>
      </c>
      <c r="J435" s="7">
        <v>88</v>
      </c>
      <c r="K435" s="7">
        <v>111</v>
      </c>
      <c r="L435" s="7">
        <v>101</v>
      </c>
      <c r="M435" s="7">
        <v>60</v>
      </c>
    </row>
    <row r="436" spans="1:13" ht="15.75" customHeight="1" x14ac:dyDescent="0.25">
      <c r="A436" s="4">
        <v>435</v>
      </c>
      <c r="B436" s="5" t="s">
        <v>431</v>
      </c>
      <c r="C436" s="6" t="s">
        <v>41</v>
      </c>
      <c r="D436" s="6" t="s">
        <v>26</v>
      </c>
      <c r="E436" s="6" t="s">
        <v>540</v>
      </c>
      <c r="G436" s="7">
        <f t="shared" si="11"/>
        <v>245</v>
      </c>
      <c r="H436" s="7">
        <v>40</v>
      </c>
      <c r="I436" s="7">
        <v>55</v>
      </c>
      <c r="J436" s="7">
        <v>30</v>
      </c>
      <c r="K436" s="7">
        <v>30</v>
      </c>
      <c r="L436" s="7">
        <v>30</v>
      </c>
      <c r="M436" s="7">
        <v>60</v>
      </c>
    </row>
    <row r="437" spans="1:13" ht="15.75" customHeight="1" x14ac:dyDescent="0.25">
      <c r="A437" s="4">
        <v>436</v>
      </c>
      <c r="B437" s="5" t="s">
        <v>432</v>
      </c>
      <c r="C437" s="6" t="s">
        <v>41</v>
      </c>
      <c r="D437" s="6" t="s">
        <v>26</v>
      </c>
      <c r="E437" s="6" t="s">
        <v>544</v>
      </c>
      <c r="G437" s="7">
        <f t="shared" si="11"/>
        <v>340</v>
      </c>
      <c r="H437" s="7">
        <v>55</v>
      </c>
      <c r="I437" s="7">
        <v>75</v>
      </c>
      <c r="J437" s="7">
        <v>50</v>
      </c>
      <c r="K437" s="7">
        <v>40</v>
      </c>
      <c r="L437" s="7">
        <v>40</v>
      </c>
      <c r="M437" s="7">
        <v>80</v>
      </c>
    </row>
    <row r="438" spans="1:13" ht="15.75" customHeight="1" x14ac:dyDescent="0.25">
      <c r="A438" s="4">
        <v>437</v>
      </c>
      <c r="B438" s="5" t="s">
        <v>433</v>
      </c>
      <c r="C438" s="6" t="s">
        <v>1163</v>
      </c>
      <c r="D438" s="6" t="s">
        <v>26</v>
      </c>
      <c r="E438" s="6" t="s">
        <v>544</v>
      </c>
      <c r="G438" s="7">
        <f t="shared" si="11"/>
        <v>475</v>
      </c>
      <c r="H438" s="7">
        <v>85</v>
      </c>
      <c r="I438" s="7">
        <v>120</v>
      </c>
      <c r="J438" s="7">
        <v>70</v>
      </c>
      <c r="K438" s="7">
        <v>50</v>
      </c>
      <c r="L438" s="7">
        <v>50</v>
      </c>
      <c r="M438" s="7">
        <v>100</v>
      </c>
    </row>
    <row r="439" spans="1:13" ht="15.75" customHeight="1" x14ac:dyDescent="0.25">
      <c r="A439" s="4">
        <v>438</v>
      </c>
      <c r="B439" s="5" t="s">
        <v>434</v>
      </c>
      <c r="C439" s="6" t="s">
        <v>41</v>
      </c>
      <c r="D439" s="6"/>
      <c r="E439" s="6" t="s">
        <v>636</v>
      </c>
      <c r="F439" s="6" t="s">
        <v>646</v>
      </c>
      <c r="G439" s="7">
        <f t="shared" si="11"/>
        <v>250</v>
      </c>
      <c r="H439" s="7">
        <v>59</v>
      </c>
      <c r="I439" s="7">
        <v>45</v>
      </c>
      <c r="J439" s="7">
        <v>40</v>
      </c>
      <c r="K439" s="7">
        <v>35</v>
      </c>
      <c r="L439" s="7">
        <v>40</v>
      </c>
      <c r="M439" s="7">
        <v>31</v>
      </c>
    </row>
    <row r="440" spans="1:13" ht="15.75" customHeight="1" x14ac:dyDescent="0.25">
      <c r="A440" s="4">
        <v>439</v>
      </c>
      <c r="B440" s="5" t="s">
        <v>435</v>
      </c>
      <c r="C440" s="6" t="s">
        <v>41</v>
      </c>
      <c r="D440" s="6" t="s">
        <v>28</v>
      </c>
      <c r="E440" s="6" t="s">
        <v>636</v>
      </c>
      <c r="F440" s="6" t="s">
        <v>646</v>
      </c>
      <c r="G440" s="7">
        <f t="shared" si="11"/>
        <v>410</v>
      </c>
      <c r="H440" s="7">
        <v>79</v>
      </c>
      <c r="I440" s="7">
        <v>85</v>
      </c>
      <c r="J440" s="7">
        <v>60</v>
      </c>
      <c r="K440" s="7">
        <v>55</v>
      </c>
      <c r="L440" s="7">
        <v>60</v>
      </c>
      <c r="M440" s="7">
        <v>71</v>
      </c>
    </row>
    <row r="441" spans="1:13" ht="15.75" customHeight="1" x14ac:dyDescent="0.25">
      <c r="A441" s="4">
        <v>440</v>
      </c>
      <c r="B441" s="5" t="s">
        <v>436</v>
      </c>
      <c r="C441" s="6" t="s">
        <v>34</v>
      </c>
      <c r="D441" s="6"/>
      <c r="E441" s="6" t="s">
        <v>537</v>
      </c>
      <c r="G441" s="7">
        <f t="shared" si="11"/>
        <v>194</v>
      </c>
      <c r="H441" s="7">
        <v>37</v>
      </c>
      <c r="I441" s="7">
        <v>25</v>
      </c>
      <c r="J441" s="7">
        <v>41</v>
      </c>
      <c r="K441" s="7">
        <v>25</v>
      </c>
      <c r="L441" s="7">
        <v>41</v>
      </c>
      <c r="M441" s="7">
        <v>25</v>
      </c>
    </row>
    <row r="442" spans="1:13" ht="15.75" customHeight="1" x14ac:dyDescent="0.25">
      <c r="A442" s="4">
        <v>441</v>
      </c>
      <c r="B442" s="5" t="s">
        <v>437</v>
      </c>
      <c r="C442" s="6" t="s">
        <v>34</v>
      </c>
      <c r="D442" s="6"/>
      <c r="E442" s="6" t="s">
        <v>539</v>
      </c>
      <c r="G442" s="7">
        <f t="shared" si="11"/>
        <v>384</v>
      </c>
      <c r="H442" s="7">
        <v>77</v>
      </c>
      <c r="I442" s="7">
        <v>85</v>
      </c>
      <c r="J442" s="7">
        <v>51</v>
      </c>
      <c r="K442" s="7">
        <v>55</v>
      </c>
      <c r="L442" s="7">
        <v>51</v>
      </c>
      <c r="M442" s="7">
        <v>65</v>
      </c>
    </row>
    <row r="443" spans="1:13" ht="15.75" customHeight="1" x14ac:dyDescent="0.25">
      <c r="A443" s="4">
        <v>442</v>
      </c>
      <c r="B443" s="5" t="s">
        <v>438</v>
      </c>
      <c r="C443" s="6" t="s">
        <v>51</v>
      </c>
      <c r="D443" s="6"/>
      <c r="E443" s="6" t="s">
        <v>548</v>
      </c>
      <c r="F443" s="6" t="s">
        <v>631</v>
      </c>
      <c r="G443" s="7">
        <f t="shared" si="11"/>
        <v>263</v>
      </c>
      <c r="H443" s="7">
        <v>45</v>
      </c>
      <c r="I443" s="7">
        <v>65</v>
      </c>
      <c r="J443" s="7">
        <v>34</v>
      </c>
      <c r="K443" s="7">
        <v>40</v>
      </c>
      <c r="L443" s="7">
        <v>34</v>
      </c>
      <c r="M443" s="7">
        <v>45</v>
      </c>
    </row>
    <row r="444" spans="1:13" ht="15.75" customHeight="1" x14ac:dyDescent="0.25">
      <c r="A444" s="4">
        <v>443</v>
      </c>
      <c r="B444" s="5" t="s">
        <v>439</v>
      </c>
      <c r="C444" s="6" t="s">
        <v>51</v>
      </c>
      <c r="D444" s="6"/>
      <c r="E444" s="6" t="s">
        <v>548</v>
      </c>
      <c r="F444" s="6" t="s">
        <v>631</v>
      </c>
      <c r="G444" s="7">
        <f t="shared" si="11"/>
        <v>363</v>
      </c>
      <c r="H444" s="7">
        <v>60</v>
      </c>
      <c r="I444" s="7">
        <v>85</v>
      </c>
      <c r="J444" s="7">
        <v>49</v>
      </c>
      <c r="K444" s="7">
        <v>60</v>
      </c>
      <c r="L444" s="7">
        <v>49</v>
      </c>
      <c r="M444" s="7">
        <v>60</v>
      </c>
    </row>
    <row r="445" spans="1:13" ht="15.75" customHeight="1" x14ac:dyDescent="0.25">
      <c r="A445" s="4">
        <v>444</v>
      </c>
      <c r="B445" s="5" t="s">
        <v>440</v>
      </c>
      <c r="C445" s="6" t="s">
        <v>51</v>
      </c>
      <c r="D445" s="6"/>
      <c r="E445" s="6" t="s">
        <v>548</v>
      </c>
      <c r="F445" s="6" t="s">
        <v>631</v>
      </c>
      <c r="G445" s="7">
        <f t="shared" si="11"/>
        <v>523</v>
      </c>
      <c r="H445" s="7">
        <v>80</v>
      </c>
      <c r="I445" s="7">
        <v>120</v>
      </c>
      <c r="J445" s="7">
        <v>79</v>
      </c>
      <c r="K445" s="7">
        <v>95</v>
      </c>
      <c r="L445" s="7">
        <v>79</v>
      </c>
      <c r="M445" s="7">
        <v>70</v>
      </c>
    </row>
    <row r="446" spans="1:13" ht="15.75" customHeight="1" x14ac:dyDescent="0.25">
      <c r="A446" s="4">
        <v>445</v>
      </c>
      <c r="B446" s="5" t="s">
        <v>443</v>
      </c>
      <c r="C446" s="6" t="s">
        <v>104</v>
      </c>
      <c r="D446" s="6"/>
      <c r="E446" s="6" t="s">
        <v>599</v>
      </c>
      <c r="G446" s="7">
        <f t="shared" si="11"/>
        <v>350</v>
      </c>
      <c r="H446" s="7">
        <v>67</v>
      </c>
      <c r="I446" s="7">
        <v>125</v>
      </c>
      <c r="J446" s="7">
        <v>40</v>
      </c>
      <c r="K446" s="7">
        <v>30</v>
      </c>
      <c r="L446" s="7">
        <v>30</v>
      </c>
      <c r="M446" s="7">
        <v>58</v>
      </c>
    </row>
    <row r="447" spans="1:13" ht="15.75" customHeight="1" x14ac:dyDescent="0.25">
      <c r="A447" s="4">
        <v>446</v>
      </c>
      <c r="B447" s="5" t="s">
        <v>444</v>
      </c>
      <c r="C447" s="6" t="s">
        <v>104</v>
      </c>
      <c r="D447" s="6"/>
      <c r="E447" s="6" t="s">
        <v>599</v>
      </c>
      <c r="G447" s="7">
        <f t="shared" si="11"/>
        <v>495</v>
      </c>
      <c r="H447" s="7">
        <v>97</v>
      </c>
      <c r="I447" s="7">
        <v>165</v>
      </c>
      <c r="J447" s="7">
        <v>60</v>
      </c>
      <c r="K447" s="7">
        <v>65</v>
      </c>
      <c r="L447" s="7">
        <v>50</v>
      </c>
      <c r="M447" s="7">
        <v>58</v>
      </c>
    </row>
    <row r="448" spans="1:13" ht="15.75" customHeight="1" x14ac:dyDescent="0.25">
      <c r="A448" s="4">
        <v>447</v>
      </c>
      <c r="B448" s="5" t="s">
        <v>445</v>
      </c>
      <c r="C448" s="6" t="s">
        <v>104</v>
      </c>
      <c r="D448" s="6" t="s">
        <v>112</v>
      </c>
      <c r="E448" s="6" t="s">
        <v>570</v>
      </c>
      <c r="G448" s="7">
        <f t="shared" si="11"/>
        <v>350</v>
      </c>
      <c r="H448" s="7">
        <v>30</v>
      </c>
      <c r="I448" s="7">
        <v>42</v>
      </c>
      <c r="J448" s="7">
        <v>118</v>
      </c>
      <c r="K448" s="7">
        <v>42</v>
      </c>
      <c r="L448" s="7">
        <v>88</v>
      </c>
      <c r="M448" s="7">
        <v>30</v>
      </c>
    </row>
    <row r="449" spans="1:13" ht="15.75" customHeight="1" x14ac:dyDescent="0.25">
      <c r="A449" s="4">
        <v>448</v>
      </c>
      <c r="B449" s="5" t="s">
        <v>446</v>
      </c>
      <c r="C449" s="6" t="s">
        <v>104</v>
      </c>
      <c r="D449" s="6" t="s">
        <v>112</v>
      </c>
      <c r="E449" s="6" t="s">
        <v>570</v>
      </c>
      <c r="G449" s="7">
        <f t="shared" si="11"/>
        <v>495</v>
      </c>
      <c r="H449" s="7">
        <v>60</v>
      </c>
      <c r="I449" s="7">
        <v>52</v>
      </c>
      <c r="J449" s="7">
        <v>168</v>
      </c>
      <c r="K449" s="7">
        <v>47</v>
      </c>
      <c r="L449" s="7">
        <v>138</v>
      </c>
      <c r="M449" s="7">
        <v>30</v>
      </c>
    </row>
    <row r="450" spans="1:13" ht="15.75" customHeight="1" x14ac:dyDescent="0.25">
      <c r="A450" s="4">
        <v>449</v>
      </c>
      <c r="B450" s="5" t="s">
        <v>447</v>
      </c>
      <c r="C450" s="6" t="s">
        <v>34</v>
      </c>
      <c r="D450" s="6"/>
      <c r="E450" s="6" t="s">
        <v>537</v>
      </c>
      <c r="G450" s="7">
        <f t="shared" si="11"/>
        <v>224</v>
      </c>
      <c r="H450" s="7">
        <v>40</v>
      </c>
      <c r="I450" s="7">
        <v>29</v>
      </c>
      <c r="J450" s="7">
        <v>45</v>
      </c>
      <c r="K450" s="7">
        <v>29</v>
      </c>
      <c r="L450" s="7">
        <v>45</v>
      </c>
      <c r="M450" s="7">
        <v>36</v>
      </c>
    </row>
    <row r="451" spans="1:13" ht="15.75" customHeight="1" x14ac:dyDescent="0.25">
      <c r="A451" s="4">
        <v>450</v>
      </c>
      <c r="B451" s="5" t="s">
        <v>448</v>
      </c>
      <c r="C451" s="6" t="s">
        <v>34</v>
      </c>
      <c r="D451" s="6" t="s">
        <v>14</v>
      </c>
      <c r="E451" s="6" t="s">
        <v>639</v>
      </c>
      <c r="G451" s="7">
        <f t="shared" si="11"/>
        <v>424</v>
      </c>
      <c r="H451" s="7">
        <v>60</v>
      </c>
      <c r="I451" s="7">
        <v>59</v>
      </c>
      <c r="J451" s="7">
        <v>85</v>
      </c>
      <c r="K451" s="7">
        <v>79</v>
      </c>
      <c r="L451" s="7">
        <v>105</v>
      </c>
      <c r="M451" s="7">
        <v>36</v>
      </c>
    </row>
    <row r="452" spans="1:13" ht="15.75" customHeight="1" x14ac:dyDescent="0.25">
      <c r="A452" s="4">
        <v>451</v>
      </c>
      <c r="B452" s="5" t="s">
        <v>449</v>
      </c>
      <c r="C452" s="6" t="s">
        <v>34</v>
      </c>
      <c r="D452" s="6" t="s">
        <v>26</v>
      </c>
      <c r="E452" s="6" t="s">
        <v>539</v>
      </c>
      <c r="G452" s="7">
        <f t="shared" si="11"/>
        <v>424</v>
      </c>
      <c r="H452" s="7">
        <v>70</v>
      </c>
      <c r="I452" s="7">
        <v>94</v>
      </c>
      <c r="J452" s="7">
        <v>50</v>
      </c>
      <c r="K452" s="7">
        <v>94</v>
      </c>
      <c r="L452" s="7">
        <v>50</v>
      </c>
      <c r="M452" s="7">
        <v>66</v>
      </c>
    </row>
    <row r="453" spans="1:13" ht="15.75" customHeight="1" x14ac:dyDescent="0.25">
      <c r="A453" s="4">
        <v>452</v>
      </c>
      <c r="B453" s="5" t="s">
        <v>450</v>
      </c>
      <c r="C453" s="6" t="s">
        <v>34</v>
      </c>
      <c r="D453" s="6" t="s">
        <v>26</v>
      </c>
      <c r="E453" s="6" t="s">
        <v>647</v>
      </c>
      <c r="G453" s="7">
        <f t="shared" si="11"/>
        <v>244</v>
      </c>
      <c r="H453" s="7">
        <v>30</v>
      </c>
      <c r="I453" s="7">
        <v>30</v>
      </c>
      <c r="J453" s="7">
        <v>42</v>
      </c>
      <c r="K453" s="7">
        <v>30</v>
      </c>
      <c r="L453" s="7">
        <v>42</v>
      </c>
      <c r="M453" s="7">
        <v>70</v>
      </c>
    </row>
    <row r="454" spans="1:13" ht="15.75" customHeight="1" x14ac:dyDescent="0.25">
      <c r="A454" s="4">
        <v>453</v>
      </c>
      <c r="B454" s="5" t="s">
        <v>451</v>
      </c>
      <c r="C454" s="6" t="s">
        <v>34</v>
      </c>
      <c r="D454" s="6" t="s">
        <v>26</v>
      </c>
      <c r="E454" s="6" t="s">
        <v>605</v>
      </c>
      <c r="G454" s="7">
        <f t="shared" si="11"/>
        <v>474</v>
      </c>
      <c r="H454" s="7">
        <v>70</v>
      </c>
      <c r="I454" s="7">
        <v>80</v>
      </c>
      <c r="J454" s="7">
        <v>102</v>
      </c>
      <c r="K454" s="7">
        <v>80</v>
      </c>
      <c r="L454" s="7">
        <v>102</v>
      </c>
      <c r="M454" s="7">
        <v>40</v>
      </c>
    </row>
    <row r="455" spans="1:13" ht="15.75" customHeight="1" x14ac:dyDescent="0.25">
      <c r="A455" s="4">
        <v>454</v>
      </c>
      <c r="B455" s="5" t="s">
        <v>452</v>
      </c>
      <c r="C455" s="6" t="s">
        <v>51</v>
      </c>
      <c r="D455" s="6"/>
      <c r="E455" s="6" t="s">
        <v>542</v>
      </c>
      <c r="F455" s="6" t="s">
        <v>610</v>
      </c>
      <c r="G455" s="7">
        <f t="shared" si="11"/>
        <v>405</v>
      </c>
      <c r="H455" s="7">
        <v>60</v>
      </c>
      <c r="I455" s="7">
        <v>45</v>
      </c>
      <c r="J455" s="7">
        <v>70</v>
      </c>
      <c r="K455" s="7">
        <v>45</v>
      </c>
      <c r="L455" s="7">
        <v>90</v>
      </c>
      <c r="M455" s="7">
        <v>95</v>
      </c>
    </row>
    <row r="456" spans="1:13" ht="15.75" customHeight="1" x14ac:dyDescent="0.25">
      <c r="A456" s="4">
        <v>455</v>
      </c>
      <c r="B456" s="5" t="s">
        <v>453</v>
      </c>
      <c r="C456" s="6" t="s">
        <v>28</v>
      </c>
      <c r="D456" s="6"/>
      <c r="E456" s="6" t="s">
        <v>594</v>
      </c>
      <c r="G456" s="7">
        <f t="shared" si="11"/>
        <v>330</v>
      </c>
      <c r="H456" s="7">
        <v>55</v>
      </c>
      <c r="I456" s="7">
        <v>65</v>
      </c>
      <c r="J456" s="7">
        <v>35</v>
      </c>
      <c r="K456" s="7">
        <v>60</v>
      </c>
      <c r="L456" s="7">
        <v>30</v>
      </c>
      <c r="M456" s="7">
        <v>85</v>
      </c>
    </row>
    <row r="457" spans="1:13" ht="15.75" customHeight="1" x14ac:dyDescent="0.25">
      <c r="A457" s="4">
        <v>456</v>
      </c>
      <c r="B457" s="5" t="s">
        <v>454</v>
      </c>
      <c r="C457" s="6" t="s">
        <v>28</v>
      </c>
      <c r="D457" s="6"/>
      <c r="E457" s="6" t="s">
        <v>594</v>
      </c>
      <c r="G457" s="7">
        <f t="shared" si="11"/>
        <v>495</v>
      </c>
      <c r="H457" s="7">
        <v>85</v>
      </c>
      <c r="I457" s="7">
        <v>105</v>
      </c>
      <c r="J457" s="7">
        <v>55</v>
      </c>
      <c r="K457" s="7">
        <v>85</v>
      </c>
      <c r="L457" s="7">
        <v>50</v>
      </c>
      <c r="M457" s="7">
        <v>115</v>
      </c>
    </row>
    <row r="458" spans="1:13" ht="15.75" customHeight="1" x14ac:dyDescent="0.25">
      <c r="A458" s="4">
        <v>457</v>
      </c>
      <c r="B458" s="5" t="s">
        <v>455</v>
      </c>
      <c r="C458" s="6" t="s">
        <v>14</v>
      </c>
      <c r="D458" s="6"/>
      <c r="E458" s="6" t="s">
        <v>17</v>
      </c>
      <c r="G458" s="7">
        <f t="shared" si="11"/>
        <v>275</v>
      </c>
      <c r="H458" s="7">
        <v>45</v>
      </c>
      <c r="I458" s="7">
        <v>35</v>
      </c>
      <c r="J458" s="7">
        <v>45</v>
      </c>
      <c r="K458" s="7">
        <v>62</v>
      </c>
      <c r="L458" s="7">
        <v>53</v>
      </c>
      <c r="M458" s="7">
        <v>35</v>
      </c>
    </row>
    <row r="459" spans="1:13" ht="15.75" customHeight="1" x14ac:dyDescent="0.25">
      <c r="A459" s="4">
        <v>458</v>
      </c>
      <c r="B459" s="5" t="s">
        <v>456</v>
      </c>
      <c r="C459" s="6" t="s">
        <v>14</v>
      </c>
      <c r="D459" s="6"/>
      <c r="E459" s="6" t="s">
        <v>648</v>
      </c>
      <c r="G459" s="7">
        <f t="shared" si="11"/>
        <v>488</v>
      </c>
      <c r="H459" s="7">
        <v>70</v>
      </c>
      <c r="I459" s="7">
        <v>50</v>
      </c>
      <c r="J459" s="7">
        <v>100</v>
      </c>
      <c r="K459" s="7">
        <v>100</v>
      </c>
      <c r="L459" s="7">
        <v>108</v>
      </c>
      <c r="M459" s="7">
        <v>60</v>
      </c>
    </row>
    <row r="460" spans="1:13" ht="15.75" customHeight="1" x14ac:dyDescent="0.25">
      <c r="A460" s="4">
        <v>459</v>
      </c>
      <c r="B460" s="5" t="s">
        <v>457</v>
      </c>
      <c r="C460" s="6" t="s">
        <v>28</v>
      </c>
      <c r="D460" s="6"/>
      <c r="E460" s="6" t="s">
        <v>578</v>
      </c>
      <c r="F460" s="6" t="s">
        <v>649</v>
      </c>
      <c r="G460" s="7">
        <f t="shared" si="11"/>
        <v>325</v>
      </c>
      <c r="H460" s="7">
        <v>76</v>
      </c>
      <c r="I460" s="7">
        <v>48</v>
      </c>
      <c r="J460" s="7">
        <v>48</v>
      </c>
      <c r="K460" s="7">
        <v>57</v>
      </c>
      <c r="L460" s="7">
        <v>62</v>
      </c>
      <c r="M460" s="7">
        <v>34</v>
      </c>
    </row>
    <row r="461" spans="1:13" ht="15.75" customHeight="1" x14ac:dyDescent="0.25">
      <c r="A461" s="4">
        <v>460</v>
      </c>
      <c r="B461" s="5" t="s">
        <v>458</v>
      </c>
      <c r="C461" s="6" t="s">
        <v>28</v>
      </c>
      <c r="D461" s="6" t="s">
        <v>54</v>
      </c>
      <c r="E461" s="6" t="s">
        <v>578</v>
      </c>
      <c r="F461" s="6" t="s">
        <v>649</v>
      </c>
      <c r="G461" s="7">
        <f t="shared" si="11"/>
        <v>475</v>
      </c>
      <c r="H461" s="7">
        <v>111</v>
      </c>
      <c r="I461" s="7">
        <v>83</v>
      </c>
      <c r="J461" s="7">
        <v>68</v>
      </c>
      <c r="K461" s="7">
        <v>92</v>
      </c>
      <c r="L461" s="7">
        <v>82</v>
      </c>
      <c r="M461" s="7">
        <v>39</v>
      </c>
    </row>
    <row r="462" spans="1:13" ht="15.75" customHeight="1" x14ac:dyDescent="0.25">
      <c r="A462" s="4">
        <v>461</v>
      </c>
      <c r="B462" s="5" t="s">
        <v>460</v>
      </c>
      <c r="C462" s="6" t="s">
        <v>125</v>
      </c>
      <c r="D462" s="6" t="s">
        <v>26</v>
      </c>
      <c r="E462" s="6" t="s">
        <v>650</v>
      </c>
      <c r="F462" s="6" t="s">
        <v>651</v>
      </c>
      <c r="G462" s="7">
        <f t="shared" si="11"/>
        <v>348</v>
      </c>
      <c r="H462" s="7">
        <v>90</v>
      </c>
      <c r="I462" s="7">
        <v>50</v>
      </c>
      <c r="J462" s="7">
        <v>34</v>
      </c>
      <c r="K462" s="7">
        <v>60</v>
      </c>
      <c r="L462" s="7">
        <v>44</v>
      </c>
      <c r="M462" s="7">
        <v>70</v>
      </c>
    </row>
    <row r="463" spans="1:13" ht="15.75" customHeight="1" x14ac:dyDescent="0.25">
      <c r="A463" s="4">
        <v>462</v>
      </c>
      <c r="B463" s="5" t="s">
        <v>461</v>
      </c>
      <c r="C463" s="6" t="s">
        <v>125</v>
      </c>
      <c r="D463" s="6" t="s">
        <v>26</v>
      </c>
      <c r="E463" s="6" t="s">
        <v>650</v>
      </c>
      <c r="F463" s="6" t="s">
        <v>651</v>
      </c>
      <c r="G463" s="7">
        <f t="shared" si="11"/>
        <v>498</v>
      </c>
      <c r="H463" s="7">
        <v>150</v>
      </c>
      <c r="I463" s="7">
        <v>80</v>
      </c>
      <c r="J463" s="7">
        <v>44</v>
      </c>
      <c r="K463" s="7">
        <v>90</v>
      </c>
      <c r="L463" s="7">
        <v>54</v>
      </c>
      <c r="M463" s="7">
        <v>80</v>
      </c>
    </row>
    <row r="464" spans="1:13" ht="15.75" customHeight="1" x14ac:dyDescent="0.25">
      <c r="A464" s="4">
        <v>463</v>
      </c>
      <c r="B464" s="5" t="s">
        <v>462</v>
      </c>
      <c r="C464" s="6" t="s">
        <v>41</v>
      </c>
      <c r="D464" s="6"/>
      <c r="E464" s="6" t="s">
        <v>542</v>
      </c>
      <c r="F464" s="6" t="s">
        <v>652</v>
      </c>
      <c r="G464" s="7">
        <f t="shared" si="11"/>
        <v>350</v>
      </c>
      <c r="H464" s="7">
        <v>55</v>
      </c>
      <c r="I464" s="7">
        <v>66</v>
      </c>
      <c r="J464" s="7">
        <v>44</v>
      </c>
      <c r="K464" s="7">
        <v>44</v>
      </c>
      <c r="L464" s="7">
        <v>56</v>
      </c>
      <c r="M464" s="7">
        <v>85</v>
      </c>
    </row>
    <row r="465" spans="1:13" ht="15.75" customHeight="1" x14ac:dyDescent="0.25">
      <c r="A465" s="4">
        <v>464</v>
      </c>
      <c r="B465" s="5" t="s">
        <v>463</v>
      </c>
      <c r="C465" s="6" t="s">
        <v>41</v>
      </c>
      <c r="D465" s="6"/>
      <c r="E465" s="6" t="s">
        <v>549</v>
      </c>
      <c r="F465" s="6" t="s">
        <v>652</v>
      </c>
      <c r="G465" s="7">
        <f t="shared" si="11"/>
        <v>480</v>
      </c>
      <c r="H465" s="7">
        <v>65</v>
      </c>
      <c r="I465" s="7">
        <v>76</v>
      </c>
      <c r="J465" s="7">
        <v>84</v>
      </c>
      <c r="K465" s="7">
        <v>54</v>
      </c>
      <c r="L465" s="7">
        <v>96</v>
      </c>
      <c r="M465" s="7">
        <v>105</v>
      </c>
    </row>
    <row r="466" spans="1:13" ht="15.75" customHeight="1" x14ac:dyDescent="0.25">
      <c r="A466" s="4">
        <v>465</v>
      </c>
      <c r="B466" s="5" t="s">
        <v>466</v>
      </c>
      <c r="C466" s="6" t="s">
        <v>41</v>
      </c>
      <c r="D466" s="6"/>
      <c r="E466" s="6" t="s">
        <v>559</v>
      </c>
      <c r="F466" s="6" t="s">
        <v>572</v>
      </c>
      <c r="G466" s="7">
        <f t="shared" si="11"/>
        <v>310</v>
      </c>
      <c r="H466" s="7">
        <v>49</v>
      </c>
      <c r="I466" s="7">
        <v>55</v>
      </c>
      <c r="J466" s="7">
        <v>42</v>
      </c>
      <c r="K466" s="7">
        <v>42</v>
      </c>
      <c r="L466" s="7">
        <v>37</v>
      </c>
      <c r="M466" s="7">
        <v>85</v>
      </c>
    </row>
    <row r="467" spans="1:13" ht="15.75" customHeight="1" x14ac:dyDescent="0.25">
      <c r="A467" s="4">
        <v>466</v>
      </c>
      <c r="B467" s="5" t="s">
        <v>467</v>
      </c>
      <c r="C467" s="6" t="s">
        <v>41</v>
      </c>
      <c r="D467" s="6"/>
      <c r="E467" s="6" t="s">
        <v>575</v>
      </c>
      <c r="F467" s="6" t="s">
        <v>572</v>
      </c>
      <c r="G467" s="7">
        <f t="shared" si="11"/>
        <v>452</v>
      </c>
      <c r="H467" s="7">
        <v>71</v>
      </c>
      <c r="I467" s="7">
        <v>82</v>
      </c>
      <c r="J467" s="7">
        <v>64</v>
      </c>
      <c r="K467" s="7">
        <v>64</v>
      </c>
      <c r="L467" s="7">
        <v>59</v>
      </c>
      <c r="M467" s="7">
        <v>112</v>
      </c>
    </row>
    <row r="468" spans="1:13" ht="15.75" customHeight="1" x14ac:dyDescent="0.25">
      <c r="A468" s="4">
        <v>467</v>
      </c>
      <c r="B468" s="5" t="s">
        <v>469</v>
      </c>
      <c r="C468" s="6" t="s">
        <v>15</v>
      </c>
      <c r="D468" s="6" t="s">
        <v>232</v>
      </c>
      <c r="E468" s="6" t="s">
        <v>577</v>
      </c>
      <c r="F468" s="6" t="s">
        <v>650</v>
      </c>
      <c r="G468" s="7">
        <f t="shared" si="11"/>
        <v>329</v>
      </c>
      <c r="H468" s="7">
        <v>63</v>
      </c>
      <c r="I468" s="7">
        <v>63</v>
      </c>
      <c r="J468" s="7">
        <v>47</v>
      </c>
      <c r="K468" s="7">
        <v>41</v>
      </c>
      <c r="L468" s="7">
        <v>41</v>
      </c>
      <c r="M468" s="7">
        <v>74</v>
      </c>
    </row>
    <row r="469" spans="1:13" ht="15.75" customHeight="1" x14ac:dyDescent="0.25">
      <c r="A469" s="4">
        <v>468</v>
      </c>
      <c r="B469" s="5" t="s">
        <v>470</v>
      </c>
      <c r="C469" s="6" t="s">
        <v>15</v>
      </c>
      <c r="D469" s="6" t="s">
        <v>232</v>
      </c>
      <c r="E469" s="6" t="s">
        <v>577</v>
      </c>
      <c r="F469" s="6" t="s">
        <v>650</v>
      </c>
      <c r="G469" s="7">
        <f t="shared" si="11"/>
        <v>479</v>
      </c>
      <c r="H469" s="7">
        <v>103</v>
      </c>
      <c r="I469" s="7">
        <v>93</v>
      </c>
      <c r="J469" s="7">
        <v>67</v>
      </c>
      <c r="K469" s="7">
        <v>71</v>
      </c>
      <c r="L469" s="7">
        <v>61</v>
      </c>
      <c r="M469" s="7">
        <v>84</v>
      </c>
    </row>
    <row r="470" spans="1:13" ht="15.75" customHeight="1" x14ac:dyDescent="0.25">
      <c r="A470" s="4">
        <v>469</v>
      </c>
      <c r="B470" s="5" t="s">
        <v>471</v>
      </c>
      <c r="C470" s="6" t="s">
        <v>112</v>
      </c>
      <c r="D470" s="6" t="s">
        <v>92</v>
      </c>
      <c r="E470" s="6" t="s">
        <v>581</v>
      </c>
      <c r="F470" s="6" t="s">
        <v>653</v>
      </c>
      <c r="G470" s="7">
        <f t="shared" si="11"/>
        <v>300</v>
      </c>
      <c r="H470" s="7">
        <v>57</v>
      </c>
      <c r="I470" s="7">
        <v>24</v>
      </c>
      <c r="J470" s="7">
        <v>86</v>
      </c>
      <c r="K470" s="7">
        <v>24</v>
      </c>
      <c r="L470" s="7">
        <v>86</v>
      </c>
      <c r="M470" s="7">
        <v>23</v>
      </c>
    </row>
    <row r="471" spans="1:13" ht="15.75" customHeight="1" x14ac:dyDescent="0.25">
      <c r="A471" s="4">
        <v>470</v>
      </c>
      <c r="B471" s="5" t="s">
        <v>472</v>
      </c>
      <c r="C471" s="6" t="s">
        <v>112</v>
      </c>
      <c r="D471" s="6" t="s">
        <v>92</v>
      </c>
      <c r="E471" s="6" t="s">
        <v>581</v>
      </c>
      <c r="F471" s="6" t="s">
        <v>653</v>
      </c>
      <c r="G471" s="7">
        <f t="shared" si="11"/>
        <v>500</v>
      </c>
      <c r="H471" s="7">
        <v>67</v>
      </c>
      <c r="I471" s="7">
        <v>89</v>
      </c>
      <c r="J471" s="7">
        <v>116</v>
      </c>
      <c r="K471" s="7">
        <v>79</v>
      </c>
      <c r="L471" s="7">
        <v>116</v>
      </c>
      <c r="M471" s="7">
        <v>33</v>
      </c>
    </row>
    <row r="472" spans="1:13" ht="15.75" customHeight="1" x14ac:dyDescent="0.25">
      <c r="A472" s="4">
        <v>471</v>
      </c>
      <c r="B472" s="5" t="s">
        <v>476</v>
      </c>
      <c r="C472" s="6" t="s">
        <v>41</v>
      </c>
      <c r="D472" s="6" t="s">
        <v>26</v>
      </c>
      <c r="E472" s="6" t="s">
        <v>540</v>
      </c>
      <c r="F472" s="6" t="s">
        <v>541</v>
      </c>
      <c r="G472" s="7">
        <f t="shared" si="11"/>
        <v>411</v>
      </c>
      <c r="H472" s="7">
        <v>76</v>
      </c>
      <c r="I472" s="7">
        <v>65</v>
      </c>
      <c r="J472" s="7">
        <v>45</v>
      </c>
      <c r="K472" s="7">
        <v>92</v>
      </c>
      <c r="L472" s="7">
        <v>42</v>
      </c>
      <c r="M472" s="7">
        <v>91</v>
      </c>
    </row>
    <row r="473" spans="1:13" ht="15.75" customHeight="1" x14ac:dyDescent="0.25">
      <c r="A473" s="4">
        <v>472</v>
      </c>
      <c r="B473" s="5" t="s">
        <v>477</v>
      </c>
      <c r="C473" s="6" t="s">
        <v>125</v>
      </c>
      <c r="D473" s="6" t="s">
        <v>232</v>
      </c>
      <c r="E473" s="6" t="s">
        <v>605</v>
      </c>
      <c r="G473" s="7">
        <f t="shared" si="11"/>
        <v>485</v>
      </c>
      <c r="H473" s="7">
        <v>50</v>
      </c>
      <c r="I473" s="7">
        <v>92</v>
      </c>
      <c r="J473" s="7">
        <v>108</v>
      </c>
      <c r="K473" s="7">
        <v>92</v>
      </c>
      <c r="L473" s="7">
        <v>108</v>
      </c>
      <c r="M473" s="7">
        <v>35</v>
      </c>
    </row>
    <row r="474" spans="1:13" ht="15.75" customHeight="1" x14ac:dyDescent="0.25">
      <c r="A474" s="4">
        <v>473</v>
      </c>
      <c r="B474" s="5" t="s">
        <v>478</v>
      </c>
      <c r="C474" s="6" t="s">
        <v>181</v>
      </c>
      <c r="D474" s="6" t="s">
        <v>54</v>
      </c>
      <c r="E474" s="6" t="s">
        <v>546</v>
      </c>
      <c r="G474" s="7">
        <f t="shared" si="11"/>
        <v>300</v>
      </c>
      <c r="H474" s="7">
        <v>58</v>
      </c>
      <c r="I474" s="7">
        <v>70</v>
      </c>
      <c r="J474" s="7">
        <v>45</v>
      </c>
      <c r="K474" s="7">
        <v>40</v>
      </c>
      <c r="L474" s="7">
        <v>45</v>
      </c>
      <c r="M474" s="7">
        <v>42</v>
      </c>
    </row>
    <row r="475" spans="1:13" ht="15.75" customHeight="1" x14ac:dyDescent="0.25">
      <c r="A475" s="4">
        <v>474</v>
      </c>
      <c r="B475" s="5" t="s">
        <v>479</v>
      </c>
      <c r="C475" s="6" t="s">
        <v>181</v>
      </c>
      <c r="D475" s="6" t="s">
        <v>54</v>
      </c>
      <c r="E475" s="6" t="s">
        <v>546</v>
      </c>
      <c r="G475" s="7">
        <f t="shared" si="11"/>
        <v>410</v>
      </c>
      <c r="H475" s="7">
        <v>68</v>
      </c>
      <c r="I475" s="7">
        <v>90</v>
      </c>
      <c r="J475" s="7">
        <v>65</v>
      </c>
      <c r="K475" s="7">
        <v>50</v>
      </c>
      <c r="L475" s="7">
        <v>55</v>
      </c>
      <c r="M475" s="7">
        <v>82</v>
      </c>
    </row>
    <row r="476" spans="1:13" ht="15.75" customHeight="1" x14ac:dyDescent="0.25">
      <c r="A476" s="4">
        <v>475</v>
      </c>
      <c r="B476" s="5" t="s">
        <v>480</v>
      </c>
      <c r="C476" s="6" t="s">
        <v>181</v>
      </c>
      <c r="D476" s="6" t="s">
        <v>54</v>
      </c>
      <c r="E476" s="6" t="s">
        <v>546</v>
      </c>
      <c r="G476" s="7">
        <f t="shared" si="11"/>
        <v>600</v>
      </c>
      <c r="H476" s="7">
        <v>108</v>
      </c>
      <c r="I476" s="7">
        <v>130</v>
      </c>
      <c r="J476" s="7">
        <v>95</v>
      </c>
      <c r="K476" s="7">
        <v>80</v>
      </c>
      <c r="L476" s="7">
        <v>85</v>
      </c>
      <c r="M476" s="7">
        <v>102</v>
      </c>
    </row>
    <row r="477" spans="1:13" ht="15.75" customHeight="1" x14ac:dyDescent="0.25">
      <c r="A477" s="4">
        <v>476</v>
      </c>
      <c r="B477" s="5" t="s">
        <v>482</v>
      </c>
      <c r="C477" s="6" t="s">
        <v>84</v>
      </c>
      <c r="D477" s="6"/>
      <c r="E477" s="6" t="s">
        <v>622</v>
      </c>
      <c r="F477" s="6" t="s">
        <v>552</v>
      </c>
      <c r="G477" s="7">
        <f t="shared" si="11"/>
        <v>285</v>
      </c>
      <c r="H477" s="7">
        <v>40</v>
      </c>
      <c r="I477" s="7">
        <v>70</v>
      </c>
      <c r="J477" s="7">
        <v>40</v>
      </c>
      <c r="K477" s="7">
        <v>35</v>
      </c>
      <c r="L477" s="7">
        <v>40</v>
      </c>
      <c r="M477" s="7">
        <v>60</v>
      </c>
    </row>
    <row r="478" spans="1:13" ht="15.75" customHeight="1" x14ac:dyDescent="0.25">
      <c r="A478" s="4">
        <v>477</v>
      </c>
      <c r="B478" s="5" t="s">
        <v>483</v>
      </c>
      <c r="C478" s="6" t="s">
        <v>84</v>
      </c>
      <c r="D478" s="6" t="s">
        <v>112</v>
      </c>
      <c r="E478" s="6" t="s">
        <v>622</v>
      </c>
      <c r="F478" s="6" t="s">
        <v>552</v>
      </c>
      <c r="G478" s="7">
        <f t="shared" si="11"/>
        <v>525</v>
      </c>
      <c r="H478" s="7">
        <v>70</v>
      </c>
      <c r="I478" s="7">
        <v>110</v>
      </c>
      <c r="J478" s="7">
        <v>70</v>
      </c>
      <c r="K478" s="7">
        <v>115</v>
      </c>
      <c r="L478" s="7">
        <v>70</v>
      </c>
      <c r="M478" s="7">
        <v>90</v>
      </c>
    </row>
    <row r="479" spans="1:13" ht="15.75" customHeight="1" x14ac:dyDescent="0.25">
      <c r="A479" s="4">
        <v>478</v>
      </c>
      <c r="B479" s="5" t="s">
        <v>484</v>
      </c>
      <c r="C479" s="6" t="s">
        <v>54</v>
      </c>
      <c r="D479" s="6"/>
      <c r="E479" s="6" t="s">
        <v>623</v>
      </c>
      <c r="G479" s="7">
        <f t="shared" si="11"/>
        <v>330</v>
      </c>
      <c r="H479" s="7">
        <v>68</v>
      </c>
      <c r="I479" s="7">
        <v>72</v>
      </c>
      <c r="J479" s="7">
        <v>78</v>
      </c>
      <c r="K479" s="7">
        <v>38</v>
      </c>
      <c r="L479" s="7">
        <v>42</v>
      </c>
      <c r="M479" s="7">
        <v>32</v>
      </c>
    </row>
    <row r="480" spans="1:13" ht="15.75" customHeight="1" x14ac:dyDescent="0.25">
      <c r="A480" s="4">
        <v>479</v>
      </c>
      <c r="B480" s="5" t="s">
        <v>485</v>
      </c>
      <c r="C480" s="6" t="s">
        <v>54</v>
      </c>
      <c r="D480" s="6"/>
      <c r="E480" s="6" t="s">
        <v>623</v>
      </c>
      <c r="G480" s="7">
        <f t="shared" si="11"/>
        <v>525</v>
      </c>
      <c r="H480" s="7">
        <v>108</v>
      </c>
      <c r="I480" s="7">
        <v>112</v>
      </c>
      <c r="J480" s="7">
        <v>118</v>
      </c>
      <c r="K480" s="7">
        <v>68</v>
      </c>
      <c r="L480" s="7">
        <v>72</v>
      </c>
      <c r="M480" s="7">
        <v>47</v>
      </c>
    </row>
    <row r="481" spans="1:13" ht="15.75" customHeight="1" x14ac:dyDescent="0.25">
      <c r="A481" s="4">
        <v>480</v>
      </c>
      <c r="B481" s="5" t="s">
        <v>486</v>
      </c>
      <c r="C481" s="6" t="s">
        <v>15</v>
      </c>
      <c r="D481" s="6" t="s">
        <v>34</v>
      </c>
      <c r="E481" s="6" t="s">
        <v>604</v>
      </c>
      <c r="F481" s="6" t="s">
        <v>595</v>
      </c>
      <c r="G481" s="7">
        <f t="shared" si="11"/>
        <v>330</v>
      </c>
      <c r="H481" s="7">
        <v>40</v>
      </c>
      <c r="I481" s="7">
        <v>50</v>
      </c>
      <c r="J481" s="7">
        <v>90</v>
      </c>
      <c r="K481" s="7">
        <v>30</v>
      </c>
      <c r="L481" s="7">
        <v>55</v>
      </c>
      <c r="M481" s="7">
        <v>65</v>
      </c>
    </row>
    <row r="482" spans="1:13" ht="15.75" customHeight="1" x14ac:dyDescent="0.25">
      <c r="A482" s="4">
        <v>481</v>
      </c>
      <c r="B482" s="5" t="s">
        <v>487</v>
      </c>
      <c r="C482" s="6" t="s">
        <v>15</v>
      </c>
      <c r="D482" s="6" t="s">
        <v>232</v>
      </c>
      <c r="E482" s="6" t="s">
        <v>604</v>
      </c>
      <c r="F482" s="6" t="s">
        <v>595</v>
      </c>
      <c r="G482" s="7">
        <f t="shared" si="11"/>
        <v>500</v>
      </c>
      <c r="H482" s="7">
        <v>70</v>
      </c>
      <c r="I482" s="7">
        <v>90</v>
      </c>
      <c r="J482" s="7">
        <v>110</v>
      </c>
      <c r="K482" s="7">
        <v>60</v>
      </c>
      <c r="L482" s="7">
        <v>75</v>
      </c>
      <c r="M482" s="7">
        <v>95</v>
      </c>
    </row>
    <row r="483" spans="1:13" ht="15.75" customHeight="1" x14ac:dyDescent="0.25">
      <c r="A483" s="4">
        <v>482</v>
      </c>
      <c r="B483" s="5" t="s">
        <v>488</v>
      </c>
      <c r="C483" s="6" t="s">
        <v>15</v>
      </c>
      <c r="D483" s="6" t="s">
        <v>84</v>
      </c>
      <c r="E483" s="6" t="s">
        <v>639</v>
      </c>
      <c r="F483" s="6" t="s">
        <v>554</v>
      </c>
      <c r="G483" s="7">
        <f t="shared" si="11"/>
        <v>300</v>
      </c>
      <c r="H483" s="7">
        <v>48</v>
      </c>
      <c r="I483" s="7">
        <v>61</v>
      </c>
      <c r="J483" s="7">
        <v>40</v>
      </c>
      <c r="K483" s="7">
        <v>61</v>
      </c>
      <c r="L483" s="7">
        <v>40</v>
      </c>
      <c r="M483" s="7">
        <v>50</v>
      </c>
    </row>
    <row r="484" spans="1:13" ht="15.75" customHeight="1" x14ac:dyDescent="0.25">
      <c r="A484" s="4">
        <v>483</v>
      </c>
      <c r="B484" s="5" t="s">
        <v>489</v>
      </c>
      <c r="C484" s="6" t="s">
        <v>15</v>
      </c>
      <c r="D484" s="6" t="s">
        <v>84</v>
      </c>
      <c r="E484" s="6" t="s">
        <v>639</v>
      </c>
      <c r="F484" s="6" t="s">
        <v>554</v>
      </c>
      <c r="G484" s="7">
        <f t="shared" si="11"/>
        <v>490</v>
      </c>
      <c r="H484" s="7">
        <v>83</v>
      </c>
      <c r="I484" s="7">
        <v>106</v>
      </c>
      <c r="J484" s="7">
        <v>65</v>
      </c>
      <c r="K484" s="7">
        <v>86</v>
      </c>
      <c r="L484" s="7">
        <v>65</v>
      </c>
      <c r="M484" s="7">
        <v>85</v>
      </c>
    </row>
    <row r="485" spans="1:13" ht="15.75" customHeight="1" x14ac:dyDescent="0.25">
      <c r="A485" s="4">
        <v>484</v>
      </c>
      <c r="B485" s="5" t="s">
        <v>490</v>
      </c>
      <c r="C485" s="6" t="s">
        <v>14</v>
      </c>
      <c r="D485" s="6"/>
      <c r="E485" s="6" t="s">
        <v>581</v>
      </c>
      <c r="G485" s="7">
        <f t="shared" si="11"/>
        <v>454</v>
      </c>
      <c r="H485" s="7">
        <v>74</v>
      </c>
      <c r="I485" s="7">
        <v>100</v>
      </c>
      <c r="J485" s="7">
        <v>72</v>
      </c>
      <c r="K485" s="7">
        <v>90</v>
      </c>
      <c r="L485" s="7">
        <v>72</v>
      </c>
      <c r="M485" s="7">
        <v>46</v>
      </c>
    </row>
    <row r="486" spans="1:13" ht="15.75" customHeight="1" x14ac:dyDescent="0.25">
      <c r="A486" s="4">
        <v>485</v>
      </c>
      <c r="B486" s="5" t="s">
        <v>491</v>
      </c>
      <c r="C486" s="6" t="s">
        <v>28</v>
      </c>
      <c r="D486" s="6"/>
      <c r="E486" s="6" t="s">
        <v>594</v>
      </c>
      <c r="F486" s="6" t="s">
        <v>649</v>
      </c>
      <c r="G486" s="7">
        <f t="shared" si="11"/>
        <v>330</v>
      </c>
      <c r="H486" s="7">
        <v>49</v>
      </c>
      <c r="I486" s="7">
        <v>49</v>
      </c>
      <c r="J486" s="7">
        <v>56</v>
      </c>
      <c r="K486" s="7">
        <v>49</v>
      </c>
      <c r="L486" s="7">
        <v>61</v>
      </c>
      <c r="M486" s="7">
        <v>66</v>
      </c>
    </row>
    <row r="487" spans="1:13" ht="15.75" customHeight="1" x14ac:dyDescent="0.25">
      <c r="A487" s="4">
        <v>486</v>
      </c>
      <c r="B487" s="5" t="s">
        <v>492</v>
      </c>
      <c r="C487" s="6" t="s">
        <v>28</v>
      </c>
      <c r="D487" s="6"/>
      <c r="E487" s="6" t="s">
        <v>594</v>
      </c>
      <c r="F487" s="6" t="s">
        <v>649</v>
      </c>
      <c r="G487" s="7">
        <f t="shared" si="11"/>
        <v>460</v>
      </c>
      <c r="H487" s="7">
        <v>69</v>
      </c>
      <c r="I487" s="7">
        <v>69</v>
      </c>
      <c r="J487" s="7">
        <v>76</v>
      </c>
      <c r="K487" s="7">
        <v>69</v>
      </c>
      <c r="L487" s="7">
        <v>86</v>
      </c>
      <c r="M487" s="7">
        <v>91</v>
      </c>
    </row>
    <row r="488" spans="1:13" ht="15.75" customHeight="1" x14ac:dyDescent="0.25">
      <c r="A488" s="4">
        <v>487</v>
      </c>
      <c r="B488" s="5" t="s">
        <v>494</v>
      </c>
      <c r="C488" s="6" t="s">
        <v>14</v>
      </c>
      <c r="D488" s="6" t="s">
        <v>119</v>
      </c>
      <c r="E488" s="6" t="s">
        <v>655</v>
      </c>
      <c r="G488" s="7">
        <f t="shared" si="11"/>
        <v>334</v>
      </c>
      <c r="H488" s="7">
        <v>60</v>
      </c>
      <c r="I488" s="7">
        <v>62</v>
      </c>
      <c r="J488" s="7">
        <v>50</v>
      </c>
      <c r="K488" s="7">
        <v>62</v>
      </c>
      <c r="L488" s="7">
        <v>60</v>
      </c>
      <c r="M488" s="7">
        <v>40</v>
      </c>
    </row>
    <row r="489" spans="1:13" ht="15.75" customHeight="1" x14ac:dyDescent="0.25">
      <c r="A489" s="4">
        <v>488</v>
      </c>
      <c r="B489" s="5" t="s">
        <v>495</v>
      </c>
      <c r="C489" s="6" t="s">
        <v>14</v>
      </c>
      <c r="D489" s="6" t="s">
        <v>119</v>
      </c>
      <c r="E489" s="6" t="s">
        <v>655</v>
      </c>
      <c r="G489" s="7">
        <f t="shared" si="11"/>
        <v>494</v>
      </c>
      <c r="H489" s="7">
        <v>90</v>
      </c>
      <c r="I489" s="7">
        <v>92</v>
      </c>
      <c r="J489" s="7">
        <v>75</v>
      </c>
      <c r="K489" s="7">
        <v>92</v>
      </c>
      <c r="L489" s="7">
        <v>85</v>
      </c>
      <c r="M489" s="7">
        <v>60</v>
      </c>
    </row>
    <row r="490" spans="1:13" ht="15.75" customHeight="1" x14ac:dyDescent="0.25">
      <c r="A490" s="4">
        <v>489</v>
      </c>
      <c r="B490" s="5" t="s">
        <v>514</v>
      </c>
      <c r="C490" s="6" t="s">
        <v>51</v>
      </c>
      <c r="D490" s="6" t="s">
        <v>125</v>
      </c>
      <c r="E490" s="6" t="s">
        <v>581</v>
      </c>
      <c r="G490" s="7">
        <f t="shared" si="11"/>
        <v>440</v>
      </c>
      <c r="H490" s="7">
        <v>50</v>
      </c>
      <c r="I490" s="7">
        <v>50</v>
      </c>
      <c r="J490" s="7">
        <v>77</v>
      </c>
      <c r="K490" s="7">
        <v>95</v>
      </c>
      <c r="L490" s="7">
        <v>77</v>
      </c>
      <c r="M490" s="7">
        <v>91</v>
      </c>
    </row>
    <row r="491" spans="1:13" ht="15.75" customHeight="1" x14ac:dyDescent="0.25">
      <c r="A491" s="4">
        <v>490</v>
      </c>
      <c r="B491" s="5" t="s">
        <v>515</v>
      </c>
      <c r="C491" s="6" t="s">
        <v>92</v>
      </c>
      <c r="D491" s="6"/>
      <c r="E491" s="6" t="s">
        <v>581</v>
      </c>
      <c r="G491" s="7">
        <f t="shared" si="11"/>
        <v>580</v>
      </c>
      <c r="H491" s="7">
        <v>75</v>
      </c>
      <c r="I491" s="7">
        <v>75</v>
      </c>
      <c r="J491" s="7">
        <v>130</v>
      </c>
      <c r="K491" s="7">
        <v>75</v>
      </c>
      <c r="L491" s="7">
        <v>130</v>
      </c>
      <c r="M491" s="7">
        <v>95</v>
      </c>
    </row>
    <row r="492" spans="1:13" ht="15.75" customHeight="1" x14ac:dyDescent="0.25">
      <c r="A492" s="4">
        <v>491</v>
      </c>
      <c r="B492" s="5" t="s">
        <v>516</v>
      </c>
      <c r="C492" s="6" t="s">
        <v>92</v>
      </c>
      <c r="D492" s="6"/>
      <c r="E492" s="6" t="s">
        <v>581</v>
      </c>
      <c r="G492" s="7">
        <f t="shared" si="11"/>
        <v>580</v>
      </c>
      <c r="H492" s="7">
        <v>80</v>
      </c>
      <c r="I492" s="7">
        <v>105</v>
      </c>
      <c r="J492" s="7">
        <v>105</v>
      </c>
      <c r="K492" s="7">
        <v>105</v>
      </c>
      <c r="L492" s="7">
        <v>105</v>
      </c>
      <c r="M492" s="7">
        <v>80</v>
      </c>
    </row>
    <row r="493" spans="1:13" ht="15.75" customHeight="1" x14ac:dyDescent="0.25">
      <c r="A493" s="4">
        <v>492</v>
      </c>
      <c r="B493" s="5" t="s">
        <v>517</v>
      </c>
      <c r="C493" s="6" t="s">
        <v>92</v>
      </c>
      <c r="D493" s="6"/>
      <c r="E493" s="6" t="s">
        <v>581</v>
      </c>
      <c r="G493" s="7">
        <f t="shared" si="11"/>
        <v>580</v>
      </c>
      <c r="H493" s="7">
        <v>75</v>
      </c>
      <c r="I493" s="7">
        <v>125</v>
      </c>
      <c r="J493" s="7">
        <v>70</v>
      </c>
      <c r="K493" s="7">
        <v>125</v>
      </c>
      <c r="L493" s="7">
        <v>70</v>
      </c>
      <c r="M493" s="7">
        <v>115</v>
      </c>
    </row>
    <row r="494" spans="1:13" ht="15.75" customHeight="1" x14ac:dyDescent="0.25">
      <c r="A494" s="4">
        <v>493</v>
      </c>
      <c r="B494" s="5" t="s">
        <v>518</v>
      </c>
      <c r="C494" s="6" t="s">
        <v>112</v>
      </c>
      <c r="D494" s="6" t="s">
        <v>181</v>
      </c>
      <c r="E494" s="6" t="s">
        <v>605</v>
      </c>
      <c r="G494" s="7">
        <f t="shared" si="11"/>
        <v>680</v>
      </c>
      <c r="H494" s="7">
        <v>100</v>
      </c>
      <c r="I494" s="7">
        <v>120</v>
      </c>
      <c r="J494" s="7">
        <v>120</v>
      </c>
      <c r="K494" s="7">
        <v>150</v>
      </c>
      <c r="L494" s="7">
        <v>100</v>
      </c>
      <c r="M494" s="7">
        <v>90</v>
      </c>
    </row>
    <row r="495" spans="1:13" ht="15.75" customHeight="1" x14ac:dyDescent="0.25">
      <c r="A495" s="4">
        <v>494</v>
      </c>
      <c r="B495" s="5" t="s">
        <v>519</v>
      </c>
      <c r="C495" s="6" t="s">
        <v>28</v>
      </c>
      <c r="D495" s="6" t="s">
        <v>181</v>
      </c>
      <c r="E495" s="6" t="s">
        <v>605</v>
      </c>
      <c r="G495" s="7">
        <f t="shared" ref="G495:G505" si="12">SUM(H495:M495)</f>
        <v>680</v>
      </c>
      <c r="H495" s="7">
        <v>90</v>
      </c>
      <c r="I495" s="7">
        <v>120</v>
      </c>
      <c r="J495" s="7">
        <v>100</v>
      </c>
      <c r="K495" s="7">
        <v>150</v>
      </c>
      <c r="L495" s="7">
        <v>120</v>
      </c>
      <c r="M495" s="7">
        <v>100</v>
      </c>
    </row>
    <row r="496" spans="1:13" ht="15.75" customHeight="1" x14ac:dyDescent="0.25">
      <c r="A496" s="4">
        <v>495</v>
      </c>
      <c r="B496" s="5" t="s">
        <v>520</v>
      </c>
      <c r="C496" s="6" t="s">
        <v>21</v>
      </c>
      <c r="D496" s="6" t="s">
        <v>112</v>
      </c>
      <c r="E496" s="6" t="s">
        <v>551</v>
      </c>
      <c r="G496" s="7">
        <f t="shared" si="12"/>
        <v>600</v>
      </c>
      <c r="H496" s="7">
        <v>91</v>
      </c>
      <c r="I496" s="7">
        <v>90</v>
      </c>
      <c r="J496" s="7">
        <v>106</v>
      </c>
      <c r="K496" s="7">
        <v>130</v>
      </c>
      <c r="L496" s="7">
        <v>106</v>
      </c>
      <c r="M496" s="7">
        <v>77</v>
      </c>
    </row>
    <row r="497" spans="1:13" ht="15.75" customHeight="1" x14ac:dyDescent="0.25">
      <c r="A497" s="4">
        <v>496</v>
      </c>
      <c r="B497" s="5" t="s">
        <v>521</v>
      </c>
      <c r="C497" s="6" t="s">
        <v>41</v>
      </c>
      <c r="D497" s="6"/>
      <c r="E497" s="6" t="s">
        <v>657</v>
      </c>
      <c r="G497" s="7">
        <f t="shared" si="12"/>
        <v>670</v>
      </c>
      <c r="H497" s="7">
        <v>110</v>
      </c>
      <c r="I497" s="7">
        <v>160</v>
      </c>
      <c r="J497" s="7">
        <v>110</v>
      </c>
      <c r="K497" s="7">
        <v>80</v>
      </c>
      <c r="L497" s="7">
        <v>110</v>
      </c>
      <c r="M497" s="7">
        <v>100</v>
      </c>
    </row>
    <row r="498" spans="1:13" ht="15.75" customHeight="1" x14ac:dyDescent="0.25">
      <c r="A498" s="4">
        <v>497</v>
      </c>
      <c r="B498" s="5" t="s">
        <v>522</v>
      </c>
      <c r="C498" s="6" t="s">
        <v>125</v>
      </c>
      <c r="D498" s="6" t="s">
        <v>181</v>
      </c>
      <c r="E498" s="6" t="s">
        <v>605</v>
      </c>
      <c r="G498" s="7">
        <f t="shared" si="12"/>
        <v>680</v>
      </c>
      <c r="H498" s="7">
        <v>150</v>
      </c>
      <c r="I498" s="7">
        <v>100</v>
      </c>
      <c r="J498" s="7">
        <v>120</v>
      </c>
      <c r="K498" s="7">
        <v>100</v>
      </c>
      <c r="L498" s="7">
        <v>120</v>
      </c>
      <c r="M498" s="7">
        <v>90</v>
      </c>
    </row>
    <row r="499" spans="1:13" ht="15.75" customHeight="1" x14ac:dyDescent="0.25">
      <c r="A499" s="4">
        <v>498</v>
      </c>
      <c r="B499" s="5" t="s">
        <v>523</v>
      </c>
      <c r="C499" s="6" t="s">
        <v>92</v>
      </c>
      <c r="D499" s="6"/>
      <c r="E499" s="6" t="s">
        <v>581</v>
      </c>
      <c r="G499" s="7">
        <f t="shared" si="12"/>
        <v>580</v>
      </c>
      <c r="H499" s="7">
        <v>120</v>
      </c>
      <c r="I499" s="7">
        <v>70</v>
      </c>
      <c r="J499" s="7">
        <v>110</v>
      </c>
      <c r="K499" s="7">
        <v>75</v>
      </c>
      <c r="L499" s="7">
        <v>120</v>
      </c>
      <c r="M499" s="7">
        <v>85</v>
      </c>
    </row>
    <row r="500" spans="1:13" ht="15.75" customHeight="1" x14ac:dyDescent="0.25">
      <c r="A500" s="4">
        <v>499</v>
      </c>
      <c r="B500" s="5" t="s">
        <v>524</v>
      </c>
      <c r="C500" s="6" t="s">
        <v>28</v>
      </c>
      <c r="D500" s="6"/>
      <c r="E500" s="6" t="s">
        <v>576</v>
      </c>
      <c r="G500" s="7">
        <f t="shared" si="12"/>
        <v>480</v>
      </c>
      <c r="H500" s="7">
        <v>80</v>
      </c>
      <c r="I500" s="7">
        <v>80</v>
      </c>
      <c r="J500" s="7">
        <v>80</v>
      </c>
      <c r="K500" s="7">
        <v>80</v>
      </c>
      <c r="L500" s="7">
        <v>80</v>
      </c>
      <c r="M500" s="7">
        <v>80</v>
      </c>
    </row>
    <row r="501" spans="1:13" ht="15.75" customHeight="1" x14ac:dyDescent="0.25">
      <c r="A501" s="4">
        <v>500</v>
      </c>
      <c r="B501" s="5" t="s">
        <v>525</v>
      </c>
      <c r="C501" s="6" t="s">
        <v>28</v>
      </c>
      <c r="D501" s="6"/>
      <c r="E501" s="6" t="s">
        <v>576</v>
      </c>
      <c r="G501" s="7">
        <f t="shared" si="12"/>
        <v>600</v>
      </c>
      <c r="H501" s="7">
        <v>100</v>
      </c>
      <c r="I501" s="7">
        <v>100</v>
      </c>
      <c r="J501" s="7">
        <v>100</v>
      </c>
      <c r="K501" s="7">
        <v>100</v>
      </c>
      <c r="L501" s="7">
        <v>100</v>
      </c>
      <c r="M501" s="7">
        <v>100</v>
      </c>
    </row>
    <row r="502" spans="1:13" ht="15.75" customHeight="1" x14ac:dyDescent="0.25">
      <c r="A502" s="4">
        <v>501</v>
      </c>
      <c r="B502" s="5" t="s">
        <v>526</v>
      </c>
      <c r="C502" s="6" t="s">
        <v>232</v>
      </c>
      <c r="D502" s="6"/>
      <c r="E502" s="6" t="s">
        <v>658</v>
      </c>
      <c r="G502" s="7">
        <f t="shared" si="12"/>
        <v>600</v>
      </c>
      <c r="H502" s="7">
        <v>70</v>
      </c>
      <c r="I502" s="7">
        <v>90</v>
      </c>
      <c r="J502" s="7">
        <v>90</v>
      </c>
      <c r="K502" s="7">
        <v>135</v>
      </c>
      <c r="L502" s="7">
        <v>90</v>
      </c>
      <c r="M502" s="7">
        <v>125</v>
      </c>
    </row>
    <row r="503" spans="1:13" ht="15.75" customHeight="1" x14ac:dyDescent="0.25">
      <c r="A503" s="4">
        <v>502</v>
      </c>
      <c r="B503" s="5" t="s">
        <v>527</v>
      </c>
      <c r="C503" s="6" t="s">
        <v>14</v>
      </c>
      <c r="D503" s="6"/>
      <c r="E503" s="6" t="s">
        <v>590</v>
      </c>
      <c r="G503" s="7">
        <f t="shared" si="12"/>
        <v>600</v>
      </c>
      <c r="H503" s="7">
        <v>100</v>
      </c>
      <c r="I503" s="7">
        <v>100</v>
      </c>
      <c r="J503" s="7">
        <v>100</v>
      </c>
      <c r="K503" s="7">
        <v>100</v>
      </c>
      <c r="L503" s="7">
        <v>100</v>
      </c>
      <c r="M503" s="7">
        <v>100</v>
      </c>
    </row>
    <row r="504" spans="1:13" ht="15.75" customHeight="1" x14ac:dyDescent="0.25">
      <c r="A504" s="4">
        <v>503</v>
      </c>
      <c r="B504" s="5" t="s">
        <v>528</v>
      </c>
      <c r="C504" s="6" t="s">
        <v>41</v>
      </c>
      <c r="D504" s="6"/>
      <c r="E504" s="6" t="s">
        <v>659</v>
      </c>
      <c r="G504" s="7">
        <f t="shared" si="12"/>
        <v>720</v>
      </c>
      <c r="H504" s="7">
        <v>120</v>
      </c>
      <c r="I504" s="7">
        <v>120</v>
      </c>
      <c r="J504" s="7">
        <v>120</v>
      </c>
      <c r="K504" s="7">
        <v>120</v>
      </c>
      <c r="L504" s="7">
        <v>120</v>
      </c>
      <c r="M504" s="7">
        <v>120</v>
      </c>
    </row>
    <row r="505" spans="1:13" ht="15.75" customHeight="1" x14ac:dyDescent="0.25">
      <c r="A505" s="4" t="s">
        <v>1171</v>
      </c>
      <c r="B505" s="5" t="s">
        <v>1174</v>
      </c>
      <c r="C505" s="6" t="s">
        <v>21</v>
      </c>
      <c r="D505" s="6"/>
      <c r="E505" s="6" t="s">
        <v>641</v>
      </c>
      <c r="G505" s="7">
        <f t="shared" si="12"/>
        <v>420</v>
      </c>
      <c r="H505" s="7">
        <v>70</v>
      </c>
      <c r="I505" s="7">
        <v>70</v>
      </c>
      <c r="J505" s="7">
        <v>70</v>
      </c>
      <c r="K505" s="7">
        <v>70</v>
      </c>
      <c r="L505" s="7">
        <v>70</v>
      </c>
      <c r="M505" s="7">
        <v>70</v>
      </c>
    </row>
    <row r="506" spans="1:13" ht="15.75" customHeight="1" x14ac:dyDescent="0.25">
      <c r="A506" s="4" t="s">
        <v>1172</v>
      </c>
      <c r="B506" s="5" t="s">
        <v>1175</v>
      </c>
      <c r="C506" s="6" t="s">
        <v>28</v>
      </c>
      <c r="D506" s="6"/>
      <c r="E506" s="6" t="s">
        <v>641</v>
      </c>
      <c r="G506" s="7">
        <f t="shared" ref="G506" si="13">SUM(H506:M506)</f>
        <v>420</v>
      </c>
      <c r="H506" s="7">
        <v>70</v>
      </c>
      <c r="I506" s="7">
        <v>70</v>
      </c>
      <c r="J506" s="7">
        <v>70</v>
      </c>
      <c r="K506" s="7">
        <v>70</v>
      </c>
      <c r="L506" s="7">
        <v>70</v>
      </c>
      <c r="M506" s="7">
        <v>70</v>
      </c>
    </row>
    <row r="507" spans="1:13" x14ac:dyDescent="0.25">
      <c r="A507" s="4" t="s">
        <v>1173</v>
      </c>
      <c r="B507" s="5" t="s">
        <v>1176</v>
      </c>
      <c r="C507" s="6" t="s">
        <v>119</v>
      </c>
      <c r="D507" s="6"/>
      <c r="E507" s="6" t="s">
        <v>641</v>
      </c>
      <c r="G507" s="7">
        <f t="shared" ref="G507:G528" si="14">SUM(H507:M507)</f>
        <v>420</v>
      </c>
      <c r="H507" s="7">
        <v>70</v>
      </c>
      <c r="I507" s="7">
        <v>70</v>
      </c>
      <c r="J507" s="7">
        <v>70</v>
      </c>
      <c r="K507" s="7">
        <v>70</v>
      </c>
      <c r="L507" s="7">
        <v>70</v>
      </c>
      <c r="M507" s="7">
        <v>70</v>
      </c>
    </row>
    <row r="508" spans="1:13" x14ac:dyDescent="0.25">
      <c r="A508" s="4" t="s">
        <v>660</v>
      </c>
      <c r="B508" s="5" t="s">
        <v>661</v>
      </c>
      <c r="C508" s="6" t="s">
        <v>92</v>
      </c>
      <c r="D508" s="6"/>
      <c r="E508" s="6" t="s">
        <v>605</v>
      </c>
      <c r="G508" s="7">
        <f t="shared" si="14"/>
        <v>600</v>
      </c>
      <c r="H508" s="7">
        <v>50</v>
      </c>
      <c r="I508" s="7">
        <v>180</v>
      </c>
      <c r="J508" s="7">
        <v>20</v>
      </c>
      <c r="K508" s="7">
        <v>180</v>
      </c>
      <c r="L508" s="7">
        <v>20</v>
      </c>
      <c r="M508" s="7">
        <v>150</v>
      </c>
    </row>
    <row r="509" spans="1:13" x14ac:dyDescent="0.25">
      <c r="A509" s="4" t="s">
        <v>662</v>
      </c>
      <c r="B509" s="5" t="s">
        <v>663</v>
      </c>
      <c r="C509" s="6" t="s">
        <v>92</v>
      </c>
      <c r="D509" s="6"/>
      <c r="E509" s="6" t="s">
        <v>605</v>
      </c>
      <c r="G509" s="7">
        <f t="shared" si="14"/>
        <v>600</v>
      </c>
      <c r="H509" s="7">
        <v>50</v>
      </c>
      <c r="I509" s="7">
        <v>70</v>
      </c>
      <c r="J509" s="7">
        <v>160</v>
      </c>
      <c r="K509" s="7">
        <v>70</v>
      </c>
      <c r="L509" s="7">
        <v>160</v>
      </c>
      <c r="M509" s="7">
        <v>90</v>
      </c>
    </row>
    <row r="510" spans="1:13" x14ac:dyDescent="0.25">
      <c r="A510" s="4" t="s">
        <v>664</v>
      </c>
      <c r="B510" s="5" t="s">
        <v>665</v>
      </c>
      <c r="C510" s="6" t="s">
        <v>92</v>
      </c>
      <c r="D510" s="6"/>
      <c r="E510" s="6" t="s">
        <v>605</v>
      </c>
      <c r="G510" s="7">
        <f t="shared" si="14"/>
        <v>600</v>
      </c>
      <c r="H510" s="7">
        <v>50</v>
      </c>
      <c r="I510" s="7">
        <v>95</v>
      </c>
      <c r="J510" s="7">
        <v>90</v>
      </c>
      <c r="K510" s="7">
        <v>95</v>
      </c>
      <c r="L510" s="7">
        <v>90</v>
      </c>
      <c r="M510" s="7">
        <v>180</v>
      </c>
    </row>
    <row r="511" spans="1:13" x14ac:dyDescent="0.25">
      <c r="A511" s="4" t="s">
        <v>666</v>
      </c>
      <c r="B511" s="5" t="s">
        <v>667</v>
      </c>
      <c r="C511" s="6" t="s">
        <v>668</v>
      </c>
      <c r="D511" s="6" t="s">
        <v>54</v>
      </c>
      <c r="E511" s="6" t="s">
        <v>639</v>
      </c>
      <c r="G511" s="7">
        <f t="shared" si="14"/>
        <v>424</v>
      </c>
      <c r="H511" s="7">
        <v>60</v>
      </c>
      <c r="I511" s="7">
        <v>79</v>
      </c>
      <c r="J511" s="7">
        <v>105</v>
      </c>
      <c r="K511" s="7">
        <v>59</v>
      </c>
      <c r="L511" s="7">
        <v>85</v>
      </c>
      <c r="M511" s="7">
        <v>36</v>
      </c>
    </row>
    <row r="512" spans="1:13" x14ac:dyDescent="0.25">
      <c r="A512" s="4" t="s">
        <v>669</v>
      </c>
      <c r="B512" s="5" t="s">
        <v>670</v>
      </c>
      <c r="C512" s="6" t="s">
        <v>34</v>
      </c>
      <c r="D512" s="6" t="s">
        <v>112</v>
      </c>
      <c r="E512" s="6" t="s">
        <v>639</v>
      </c>
      <c r="G512" s="7">
        <f t="shared" si="14"/>
        <v>424</v>
      </c>
      <c r="H512" s="7">
        <v>60</v>
      </c>
      <c r="I512" s="7">
        <v>69</v>
      </c>
      <c r="J512" s="7">
        <v>95</v>
      </c>
      <c r="K512" s="7">
        <v>69</v>
      </c>
      <c r="L512" s="7">
        <v>95</v>
      </c>
      <c r="M512" s="7">
        <v>36</v>
      </c>
    </row>
    <row r="513" spans="1:13" x14ac:dyDescent="0.25">
      <c r="A513" s="4" t="s">
        <v>1170</v>
      </c>
      <c r="B513" s="5" t="s">
        <v>1139</v>
      </c>
      <c r="C513" s="6" t="s">
        <v>14</v>
      </c>
      <c r="D513" s="6"/>
      <c r="E513" s="6" t="s">
        <v>648</v>
      </c>
      <c r="G513" s="7">
        <f t="shared" si="14"/>
        <v>450</v>
      </c>
      <c r="H513" s="7">
        <v>70</v>
      </c>
      <c r="I513" s="7">
        <v>60</v>
      </c>
      <c r="J513" s="7">
        <v>70</v>
      </c>
      <c r="K513" s="7">
        <v>87</v>
      </c>
      <c r="L513" s="7">
        <v>78</v>
      </c>
      <c r="M513" s="7">
        <v>85</v>
      </c>
    </row>
    <row r="514" spans="1:13" x14ac:dyDescent="0.25">
      <c r="A514" s="4" t="s">
        <v>1179</v>
      </c>
      <c r="B514" s="5" t="s">
        <v>1180</v>
      </c>
      <c r="C514" s="6" t="s">
        <v>28</v>
      </c>
      <c r="D514" s="6"/>
      <c r="E514" s="6" t="s">
        <v>578</v>
      </c>
      <c r="F514" s="6" t="s">
        <v>649</v>
      </c>
      <c r="G514" s="7">
        <f t="shared" si="14"/>
        <v>325</v>
      </c>
      <c r="H514" s="7">
        <v>76</v>
      </c>
      <c r="I514" s="7">
        <v>48</v>
      </c>
      <c r="J514" s="7">
        <v>48</v>
      </c>
      <c r="K514" s="7">
        <v>57</v>
      </c>
      <c r="L514" s="7">
        <v>62</v>
      </c>
      <c r="M514" s="7">
        <v>34</v>
      </c>
    </row>
    <row r="515" spans="1:13" x14ac:dyDescent="0.25">
      <c r="A515" s="4" t="s">
        <v>1177</v>
      </c>
      <c r="B515" s="5" t="s">
        <v>1178</v>
      </c>
      <c r="C515" s="6" t="s">
        <v>28</v>
      </c>
      <c r="D515" s="6" t="s">
        <v>54</v>
      </c>
      <c r="E515" s="6" t="s">
        <v>578</v>
      </c>
      <c r="F515" s="6" t="s">
        <v>649</v>
      </c>
      <c r="G515" s="7">
        <f t="shared" si="14"/>
        <v>475</v>
      </c>
      <c r="H515" s="7">
        <v>111</v>
      </c>
      <c r="I515" s="7">
        <v>83</v>
      </c>
      <c r="J515" s="7">
        <v>68</v>
      </c>
      <c r="K515" s="7">
        <v>92</v>
      </c>
      <c r="L515" s="7">
        <v>82</v>
      </c>
      <c r="M515" s="7">
        <v>39</v>
      </c>
    </row>
    <row r="516" spans="1:13" x14ac:dyDescent="0.25">
      <c r="A516" s="4" t="s">
        <v>675</v>
      </c>
      <c r="B516" s="5" t="s">
        <v>676</v>
      </c>
      <c r="C516" s="6" t="s">
        <v>51</v>
      </c>
      <c r="D516" s="6" t="s">
        <v>125</v>
      </c>
      <c r="E516" s="6" t="s">
        <v>581</v>
      </c>
      <c r="G516" s="7">
        <f t="shared" si="14"/>
        <v>520</v>
      </c>
      <c r="H516" s="7">
        <v>50</v>
      </c>
      <c r="I516" s="7">
        <v>65</v>
      </c>
      <c r="J516" s="7">
        <v>107</v>
      </c>
      <c r="K516" s="7">
        <v>105</v>
      </c>
      <c r="L516" s="7">
        <v>107</v>
      </c>
      <c r="M516" s="7">
        <v>86</v>
      </c>
    </row>
    <row r="517" spans="1:13" x14ac:dyDescent="0.25">
      <c r="A517" s="4" t="s">
        <v>677</v>
      </c>
      <c r="B517" s="5" t="s">
        <v>678</v>
      </c>
      <c r="C517" s="6" t="s">
        <v>51</v>
      </c>
      <c r="D517" s="6" t="s">
        <v>125</v>
      </c>
      <c r="E517" s="6" t="s">
        <v>581</v>
      </c>
      <c r="G517" s="7">
        <f t="shared" si="14"/>
        <v>520</v>
      </c>
      <c r="H517" s="7">
        <v>50</v>
      </c>
      <c r="I517" s="7">
        <v>65</v>
      </c>
      <c r="J517" s="7">
        <v>107</v>
      </c>
      <c r="K517" s="7">
        <v>105</v>
      </c>
      <c r="L517" s="7">
        <v>107</v>
      </c>
      <c r="M517" s="7">
        <v>86</v>
      </c>
    </row>
    <row r="518" spans="1:13" x14ac:dyDescent="0.25">
      <c r="A518" s="4" t="s">
        <v>679</v>
      </c>
      <c r="B518" s="5" t="s">
        <v>680</v>
      </c>
      <c r="C518" s="6" t="s">
        <v>51</v>
      </c>
      <c r="D518" s="6" t="s">
        <v>125</v>
      </c>
      <c r="E518" s="6" t="s">
        <v>581</v>
      </c>
      <c r="G518" s="7">
        <f t="shared" si="14"/>
        <v>520</v>
      </c>
      <c r="H518" s="7">
        <v>50</v>
      </c>
      <c r="I518" s="7">
        <v>65</v>
      </c>
      <c r="J518" s="7">
        <v>107</v>
      </c>
      <c r="K518" s="7">
        <v>105</v>
      </c>
      <c r="L518" s="7">
        <v>107</v>
      </c>
      <c r="M518" s="7">
        <v>86</v>
      </c>
    </row>
    <row r="519" spans="1:13" x14ac:dyDescent="0.25">
      <c r="A519" s="4" t="s">
        <v>681</v>
      </c>
      <c r="B519" s="5" t="s">
        <v>682</v>
      </c>
      <c r="C519" s="6" t="s">
        <v>51</v>
      </c>
      <c r="D519" s="6" t="s">
        <v>125</v>
      </c>
      <c r="E519" s="6" t="s">
        <v>581</v>
      </c>
      <c r="G519" s="7">
        <f t="shared" si="14"/>
        <v>520</v>
      </c>
      <c r="H519" s="7">
        <v>50</v>
      </c>
      <c r="I519" s="7">
        <v>65</v>
      </c>
      <c r="J519" s="7">
        <v>107</v>
      </c>
      <c r="K519" s="7">
        <v>105</v>
      </c>
      <c r="L519" s="7">
        <v>107</v>
      </c>
      <c r="M519" s="7">
        <v>86</v>
      </c>
    </row>
    <row r="520" spans="1:13" x14ac:dyDescent="0.25">
      <c r="A520" s="4" t="s">
        <v>683</v>
      </c>
      <c r="B520" s="5" t="s">
        <v>684</v>
      </c>
      <c r="C520" s="6" t="s">
        <v>51</v>
      </c>
      <c r="D520" s="6" t="s">
        <v>125</v>
      </c>
      <c r="E520" s="6" t="s">
        <v>581</v>
      </c>
      <c r="G520" s="7">
        <f t="shared" si="14"/>
        <v>520</v>
      </c>
      <c r="H520" s="7">
        <v>50</v>
      </c>
      <c r="I520" s="7">
        <v>65</v>
      </c>
      <c r="J520" s="7">
        <v>107</v>
      </c>
      <c r="K520" s="7">
        <v>105</v>
      </c>
      <c r="L520" s="7">
        <v>107</v>
      </c>
      <c r="M520" s="7">
        <v>86</v>
      </c>
    </row>
    <row r="521" spans="1:13" x14ac:dyDescent="0.25">
      <c r="A521" s="4" t="s">
        <v>671</v>
      </c>
      <c r="B521" s="5" t="s">
        <v>672</v>
      </c>
      <c r="C521" s="6" t="s">
        <v>125</v>
      </c>
      <c r="D521" s="6" t="s">
        <v>181</v>
      </c>
      <c r="E521" s="6" t="s">
        <v>581</v>
      </c>
      <c r="G521" s="7">
        <f t="shared" si="14"/>
        <v>680</v>
      </c>
      <c r="H521" s="7">
        <v>150</v>
      </c>
      <c r="I521" s="7">
        <v>120</v>
      </c>
      <c r="J521" s="7">
        <v>100</v>
      </c>
      <c r="K521" s="7">
        <v>120</v>
      </c>
      <c r="L521" s="7">
        <v>100</v>
      </c>
      <c r="M521" s="7">
        <v>90</v>
      </c>
    </row>
    <row r="522" spans="1:13" x14ac:dyDescent="0.25">
      <c r="A522" s="4" t="s">
        <v>673</v>
      </c>
      <c r="B522" s="5" t="s">
        <v>674</v>
      </c>
      <c r="C522" s="6" t="s">
        <v>14</v>
      </c>
      <c r="D522" s="6" t="s">
        <v>26</v>
      </c>
      <c r="E522" s="6" t="s">
        <v>615</v>
      </c>
      <c r="G522" s="7">
        <f t="shared" si="14"/>
        <v>600</v>
      </c>
      <c r="H522" s="7">
        <v>100</v>
      </c>
      <c r="I522" s="7">
        <v>103</v>
      </c>
      <c r="J522" s="7">
        <v>75</v>
      </c>
      <c r="K522" s="7">
        <v>120</v>
      </c>
      <c r="L522" s="7">
        <v>75</v>
      </c>
      <c r="M522" s="7">
        <v>127</v>
      </c>
    </row>
    <row r="523" spans="1:13" x14ac:dyDescent="0.25">
      <c r="A523" s="4" t="s">
        <v>1300</v>
      </c>
      <c r="B523" s="5" t="s">
        <v>1248</v>
      </c>
      <c r="C523" s="6" t="s">
        <v>14</v>
      </c>
      <c r="D523" s="6" t="s">
        <v>15</v>
      </c>
      <c r="E523" s="6" t="s">
        <v>575</v>
      </c>
      <c r="G523" s="7">
        <f t="shared" si="14"/>
        <v>625</v>
      </c>
      <c r="H523" s="7">
        <v>80</v>
      </c>
      <c r="I523" s="7">
        <v>100</v>
      </c>
      <c r="J523" s="7">
        <v>123</v>
      </c>
      <c r="K523" s="7">
        <v>122</v>
      </c>
      <c r="L523" s="7">
        <v>120</v>
      </c>
      <c r="M523" s="7">
        <v>80</v>
      </c>
    </row>
    <row r="524" spans="1:13" x14ac:dyDescent="0.25">
      <c r="A524" s="4" t="s">
        <v>1301</v>
      </c>
      <c r="B524" s="5" t="s">
        <v>1249</v>
      </c>
      <c r="C524" s="6" t="s">
        <v>14</v>
      </c>
      <c r="D524" s="6" t="s">
        <v>15</v>
      </c>
      <c r="E524" s="6"/>
      <c r="G524" s="7">
        <f t="shared" si="14"/>
        <v>625</v>
      </c>
      <c r="H524" s="7">
        <v>80</v>
      </c>
      <c r="I524" s="7">
        <v>100</v>
      </c>
      <c r="J524" s="7">
        <v>123</v>
      </c>
      <c r="K524" s="7">
        <v>122</v>
      </c>
      <c r="L524" s="7">
        <v>120</v>
      </c>
      <c r="M524" s="7">
        <v>80</v>
      </c>
    </row>
    <row r="525" spans="1:13" x14ac:dyDescent="0.25">
      <c r="A525" s="4" t="s">
        <v>1302</v>
      </c>
      <c r="B525" s="5" t="s">
        <v>1247</v>
      </c>
      <c r="C525" s="6" t="s">
        <v>1295</v>
      </c>
      <c r="D525" s="6" t="s">
        <v>181</v>
      </c>
      <c r="E525" s="6" t="s">
        <v>1140</v>
      </c>
      <c r="G525" s="7">
        <f t="shared" si="14"/>
        <v>634</v>
      </c>
      <c r="H525" s="7">
        <v>78</v>
      </c>
      <c r="I525" s="7">
        <v>130</v>
      </c>
      <c r="J525" s="7">
        <v>111</v>
      </c>
      <c r="K525" s="7">
        <v>130</v>
      </c>
      <c r="L525" s="7">
        <v>85</v>
      </c>
      <c r="M525" s="7">
        <v>100</v>
      </c>
    </row>
    <row r="526" spans="1:13" x14ac:dyDescent="0.25">
      <c r="A526" s="4" t="s">
        <v>1369</v>
      </c>
      <c r="B526" s="5" t="s">
        <v>1250</v>
      </c>
      <c r="C526" s="6" t="s">
        <v>1295</v>
      </c>
      <c r="D526" s="6" t="s">
        <v>26</v>
      </c>
      <c r="E526" s="6" t="s">
        <v>23</v>
      </c>
      <c r="G526" s="7">
        <f t="shared" si="14"/>
        <v>634</v>
      </c>
      <c r="H526" s="7">
        <v>78</v>
      </c>
      <c r="I526" s="7">
        <v>104</v>
      </c>
      <c r="J526" s="7">
        <v>78</v>
      </c>
      <c r="K526" s="7">
        <v>159</v>
      </c>
      <c r="L526" s="7">
        <v>115</v>
      </c>
      <c r="M526" s="7">
        <v>100</v>
      </c>
    </row>
    <row r="527" spans="1:13" x14ac:dyDescent="0.25">
      <c r="A527" s="4" t="s">
        <v>1303</v>
      </c>
      <c r="B527" s="5" t="s">
        <v>1251</v>
      </c>
      <c r="C527" s="6" t="s">
        <v>28</v>
      </c>
      <c r="D527" s="6"/>
      <c r="E527" s="6" t="s">
        <v>946</v>
      </c>
      <c r="G527" s="7">
        <f t="shared" si="14"/>
        <v>630</v>
      </c>
      <c r="H527" s="7">
        <v>79</v>
      </c>
      <c r="I527" s="7">
        <v>103</v>
      </c>
      <c r="J527" s="7">
        <v>120</v>
      </c>
      <c r="K527" s="7">
        <v>135</v>
      </c>
      <c r="L527" s="7">
        <v>115</v>
      </c>
      <c r="M527" s="7">
        <v>78</v>
      </c>
    </row>
    <row r="528" spans="1:13" x14ac:dyDescent="0.25">
      <c r="A528" s="4" t="s">
        <v>1304</v>
      </c>
      <c r="B528" s="5" t="s">
        <v>1252</v>
      </c>
      <c r="C528" s="6" t="s">
        <v>1296</v>
      </c>
      <c r="D528" s="6" t="s">
        <v>112</v>
      </c>
      <c r="E528" s="6"/>
      <c r="G528" s="7">
        <f t="shared" si="14"/>
        <v>630</v>
      </c>
      <c r="H528" s="7">
        <v>79</v>
      </c>
      <c r="I528" s="7">
        <v>103</v>
      </c>
      <c r="J528" s="7">
        <v>120</v>
      </c>
      <c r="K528" s="7">
        <v>135</v>
      </c>
      <c r="L528" s="7">
        <v>115</v>
      </c>
      <c r="M528" s="7">
        <v>78</v>
      </c>
    </row>
    <row r="529" spans="1:13" x14ac:dyDescent="0.25">
      <c r="A529" s="4" t="s">
        <v>1305</v>
      </c>
      <c r="B529" s="5" t="s">
        <v>1253</v>
      </c>
      <c r="C529" s="6" t="s">
        <v>34</v>
      </c>
      <c r="D529" s="6" t="s">
        <v>15</v>
      </c>
      <c r="E529" s="6"/>
      <c r="G529" s="7">
        <f t="shared" ref="G529:G576" si="15">SUM(H529:M529)</f>
        <v>395</v>
      </c>
      <c r="H529" s="7">
        <v>60</v>
      </c>
      <c r="I529" s="7">
        <v>45</v>
      </c>
      <c r="J529" s="7">
        <v>50</v>
      </c>
      <c r="K529" s="7">
        <v>90</v>
      </c>
      <c r="L529" s="7">
        <v>80</v>
      </c>
      <c r="M529" s="7">
        <v>70</v>
      </c>
    </row>
    <row r="530" spans="1:13" x14ac:dyDescent="0.25">
      <c r="A530" s="4" t="s">
        <v>1306</v>
      </c>
      <c r="B530" s="5" t="s">
        <v>1254</v>
      </c>
      <c r="C530" s="6" t="s">
        <v>34</v>
      </c>
      <c r="D530" s="6" t="s">
        <v>15</v>
      </c>
      <c r="E530" s="6" t="s">
        <v>600</v>
      </c>
      <c r="G530" s="7">
        <f t="shared" si="15"/>
        <v>495</v>
      </c>
      <c r="H530" s="7">
        <v>65</v>
      </c>
      <c r="I530" s="7">
        <v>150</v>
      </c>
      <c r="J530" s="7">
        <v>40</v>
      </c>
      <c r="K530" s="7">
        <v>15</v>
      </c>
      <c r="L530" s="7">
        <v>80</v>
      </c>
      <c r="M530" s="7">
        <v>145</v>
      </c>
    </row>
    <row r="531" spans="1:13" x14ac:dyDescent="0.25">
      <c r="A531" s="4" t="s">
        <v>1308</v>
      </c>
      <c r="B531" s="5" t="s">
        <v>1256</v>
      </c>
      <c r="C531" s="6" t="s">
        <v>181</v>
      </c>
      <c r="D531" s="6" t="s">
        <v>26</v>
      </c>
      <c r="E531" s="6" t="s">
        <v>566</v>
      </c>
      <c r="G531" s="7">
        <f t="shared" si="15"/>
        <v>579</v>
      </c>
      <c r="H531" s="7">
        <v>83</v>
      </c>
      <c r="I531" s="7">
        <v>80</v>
      </c>
      <c r="J531" s="7">
        <v>80</v>
      </c>
      <c r="K531" s="7">
        <v>135</v>
      </c>
      <c r="L531" s="7">
        <v>80</v>
      </c>
      <c r="M531" s="7">
        <v>121</v>
      </c>
    </row>
    <row r="532" spans="1:13" x14ac:dyDescent="0.25">
      <c r="A532" s="4" t="s">
        <v>1307</v>
      </c>
      <c r="B532" s="5" t="s">
        <v>1245</v>
      </c>
      <c r="C532" s="6" t="s">
        <v>92</v>
      </c>
      <c r="D532" s="6"/>
      <c r="E532" s="6" t="s">
        <v>602</v>
      </c>
      <c r="G532" s="7">
        <f t="shared" si="15"/>
        <v>600</v>
      </c>
      <c r="H532" s="7">
        <v>55</v>
      </c>
      <c r="I532" s="7">
        <v>50</v>
      </c>
      <c r="J532" s="7">
        <v>65</v>
      </c>
      <c r="K532" s="7">
        <v>175</v>
      </c>
      <c r="L532" s="7">
        <v>105</v>
      </c>
      <c r="M532" s="7">
        <v>150</v>
      </c>
    </row>
    <row r="533" spans="1:13" x14ac:dyDescent="0.25">
      <c r="A533" s="4" t="s">
        <v>1309</v>
      </c>
      <c r="B533" s="5" t="s">
        <v>1255</v>
      </c>
      <c r="C533" s="6" t="s">
        <v>15</v>
      </c>
      <c r="D533" s="6" t="s">
        <v>92</v>
      </c>
      <c r="E533" s="6" t="s">
        <v>579</v>
      </c>
      <c r="G533" s="7">
        <f t="shared" si="15"/>
        <v>590</v>
      </c>
      <c r="H533" s="7">
        <v>95</v>
      </c>
      <c r="I533" s="7">
        <v>75</v>
      </c>
      <c r="J533" s="7">
        <v>180</v>
      </c>
      <c r="K533" s="7">
        <v>130</v>
      </c>
      <c r="L533" s="7">
        <v>80</v>
      </c>
      <c r="M533" s="7">
        <v>30</v>
      </c>
    </row>
    <row r="534" spans="1:13" x14ac:dyDescent="0.25">
      <c r="A534" s="4" t="s">
        <v>1310</v>
      </c>
      <c r="B534" s="5" t="s">
        <v>1246</v>
      </c>
      <c r="C534" s="6" t="s">
        <v>125</v>
      </c>
      <c r="D534" s="6" t="s">
        <v>15</v>
      </c>
      <c r="E534" s="6" t="s">
        <v>614</v>
      </c>
      <c r="G534" s="7">
        <f t="shared" si="15"/>
        <v>600</v>
      </c>
      <c r="H534" s="7">
        <v>60</v>
      </c>
      <c r="I534" s="7">
        <v>65</v>
      </c>
      <c r="J534" s="7">
        <v>80</v>
      </c>
      <c r="K534" s="7">
        <v>170</v>
      </c>
      <c r="L534" s="7">
        <v>95</v>
      </c>
      <c r="M534" s="7">
        <v>130</v>
      </c>
    </row>
    <row r="535" spans="1:13" x14ac:dyDescent="0.25">
      <c r="A535" s="4" t="s">
        <v>1311</v>
      </c>
      <c r="B535" s="5" t="s">
        <v>1294</v>
      </c>
      <c r="C535" s="6" t="s">
        <v>54</v>
      </c>
      <c r="D535" s="6" t="s">
        <v>112</v>
      </c>
      <c r="E535" s="6" t="s">
        <v>1380</v>
      </c>
      <c r="G535" s="7">
        <f t="shared" si="15"/>
        <v>610</v>
      </c>
      <c r="H535" s="7">
        <v>75</v>
      </c>
      <c r="I535" s="7">
        <v>125</v>
      </c>
      <c r="J535" s="7">
        <v>230</v>
      </c>
      <c r="K535" s="7">
        <v>55</v>
      </c>
      <c r="L535" s="7">
        <v>95</v>
      </c>
      <c r="M535" s="7">
        <v>30</v>
      </c>
    </row>
    <row r="536" spans="1:13" x14ac:dyDescent="0.25">
      <c r="A536" s="4" t="s">
        <v>1312</v>
      </c>
      <c r="B536" s="5" t="s">
        <v>1293</v>
      </c>
      <c r="C536" s="6" t="s">
        <v>28</v>
      </c>
      <c r="D536" s="6" t="s">
        <v>112</v>
      </c>
      <c r="E536" s="6"/>
      <c r="G536" s="7">
        <f t="shared" si="15"/>
        <v>475</v>
      </c>
      <c r="H536" s="7">
        <v>55</v>
      </c>
      <c r="I536" s="7">
        <v>130</v>
      </c>
      <c r="J536" s="7">
        <v>115</v>
      </c>
      <c r="K536" s="7">
        <v>50</v>
      </c>
      <c r="L536" s="7">
        <v>50</v>
      </c>
      <c r="M536" s="7">
        <v>75</v>
      </c>
    </row>
    <row r="537" spans="1:13" x14ac:dyDescent="0.25">
      <c r="A537" s="4" t="s">
        <v>1313</v>
      </c>
      <c r="B537" s="5" t="s">
        <v>1257</v>
      </c>
      <c r="C537" s="6" t="s">
        <v>41</v>
      </c>
      <c r="D537" s="6"/>
      <c r="E537" s="6" t="s">
        <v>1148</v>
      </c>
      <c r="G537" s="7">
        <f t="shared" si="15"/>
        <v>590</v>
      </c>
      <c r="H537" s="7">
        <v>105</v>
      </c>
      <c r="I537" s="7">
        <v>125</v>
      </c>
      <c r="J537" s="7">
        <v>100</v>
      </c>
      <c r="K537" s="7">
        <v>60</v>
      </c>
      <c r="L537" s="7">
        <v>100</v>
      </c>
      <c r="M537" s="7">
        <v>100</v>
      </c>
    </row>
    <row r="538" spans="1:13" x14ac:dyDescent="0.25">
      <c r="A538" s="4" t="s">
        <v>1322</v>
      </c>
      <c r="B538" s="5" t="s">
        <v>1266</v>
      </c>
      <c r="C538" s="6" t="s">
        <v>34</v>
      </c>
      <c r="D538" s="6" t="s">
        <v>112</v>
      </c>
      <c r="E538" s="6" t="s">
        <v>558</v>
      </c>
      <c r="G538" s="7">
        <f t="shared" si="15"/>
        <v>530</v>
      </c>
      <c r="H538" s="7">
        <v>150</v>
      </c>
      <c r="I538" s="7">
        <v>140</v>
      </c>
      <c r="J538" s="7">
        <v>65</v>
      </c>
      <c r="K538" s="7">
        <v>100</v>
      </c>
      <c r="L538" s="7">
        <v>75</v>
      </c>
      <c r="M538" s="7">
        <v>0</v>
      </c>
    </row>
    <row r="539" spans="1:13" x14ac:dyDescent="0.25">
      <c r="A539" s="4" t="s">
        <v>1314</v>
      </c>
      <c r="B539" s="5" t="s">
        <v>1258</v>
      </c>
      <c r="C539" s="6" t="s">
        <v>34</v>
      </c>
      <c r="D539" s="6" t="s">
        <v>26</v>
      </c>
      <c r="E539" s="6" t="s">
        <v>886</v>
      </c>
      <c r="G539" s="7">
        <f t="shared" si="15"/>
        <v>600</v>
      </c>
      <c r="H539" s="7">
        <v>65</v>
      </c>
      <c r="I539" s="7">
        <v>155</v>
      </c>
      <c r="J539" s="7">
        <v>120</v>
      </c>
      <c r="K539" s="7">
        <v>65</v>
      </c>
      <c r="L539" s="7">
        <v>90</v>
      </c>
      <c r="M539" s="7">
        <v>105</v>
      </c>
    </row>
    <row r="540" spans="1:13" x14ac:dyDescent="0.25">
      <c r="A540" s="4" t="s">
        <v>1315</v>
      </c>
      <c r="B540" s="5" t="s">
        <v>1259</v>
      </c>
      <c r="C540" s="6" t="s">
        <v>28</v>
      </c>
      <c r="D540" s="6" t="s">
        <v>232</v>
      </c>
      <c r="E540" s="6" t="s">
        <v>599</v>
      </c>
      <c r="G540" s="7">
        <f t="shared" si="15"/>
        <v>640</v>
      </c>
      <c r="H540" s="7">
        <v>95</v>
      </c>
      <c r="I540" s="7">
        <v>155</v>
      </c>
      <c r="J540" s="7">
        <v>109</v>
      </c>
      <c r="K540" s="7">
        <v>70</v>
      </c>
      <c r="L540" s="7">
        <v>130</v>
      </c>
      <c r="M540" s="7">
        <v>81</v>
      </c>
    </row>
    <row r="541" spans="1:13" x14ac:dyDescent="0.25">
      <c r="A541" s="4" t="s">
        <v>1316</v>
      </c>
      <c r="B541" s="5" t="s">
        <v>1260</v>
      </c>
      <c r="C541" s="6" t="s">
        <v>28</v>
      </c>
      <c r="D541" s="6"/>
      <c r="E541" s="6"/>
      <c r="G541" s="7">
        <f t="shared" si="15"/>
        <v>535</v>
      </c>
      <c r="H541" s="7">
        <v>130</v>
      </c>
      <c r="I541" s="7">
        <v>85</v>
      </c>
      <c r="J541" s="7">
        <v>80</v>
      </c>
      <c r="K541" s="7">
        <v>85</v>
      </c>
      <c r="L541" s="7">
        <v>95</v>
      </c>
      <c r="M541" s="7">
        <v>60</v>
      </c>
    </row>
    <row r="542" spans="1:13" x14ac:dyDescent="0.25">
      <c r="A542" s="4" t="s">
        <v>1317</v>
      </c>
      <c r="B542" s="5" t="s">
        <v>1261</v>
      </c>
      <c r="C542" s="6" t="s">
        <v>41</v>
      </c>
      <c r="D542" s="6"/>
      <c r="E542" s="6"/>
      <c r="G542" s="7">
        <f t="shared" si="15"/>
        <v>325</v>
      </c>
      <c r="H542" s="7">
        <v>55</v>
      </c>
      <c r="I542" s="7">
        <v>55</v>
      </c>
      <c r="J542" s="7">
        <v>50</v>
      </c>
      <c r="K542" s="7">
        <v>45</v>
      </c>
      <c r="L542" s="7">
        <v>65</v>
      </c>
      <c r="M542" s="7">
        <v>55</v>
      </c>
    </row>
    <row r="543" spans="1:13" x14ac:dyDescent="0.25">
      <c r="A543" s="4" t="s">
        <v>1318</v>
      </c>
      <c r="B543" s="5" t="s">
        <v>1262</v>
      </c>
      <c r="C543" s="6" t="s">
        <v>104</v>
      </c>
      <c r="D543" s="6" t="s">
        <v>26</v>
      </c>
      <c r="E543" s="6" t="s">
        <v>1140</v>
      </c>
      <c r="G543" s="7">
        <f t="shared" si="15"/>
        <v>615</v>
      </c>
      <c r="H543" s="7">
        <v>80</v>
      </c>
      <c r="I543" s="7">
        <v>135</v>
      </c>
      <c r="J543" s="7">
        <v>85</v>
      </c>
      <c r="K543" s="7">
        <v>70</v>
      </c>
      <c r="L543" s="7">
        <v>95</v>
      </c>
      <c r="M543" s="7">
        <v>150</v>
      </c>
    </row>
    <row r="544" spans="1:13" x14ac:dyDescent="0.25">
      <c r="A544" s="4" t="s">
        <v>1319</v>
      </c>
      <c r="B544" s="5" t="s">
        <v>1263</v>
      </c>
      <c r="C544" s="6" t="s">
        <v>92</v>
      </c>
      <c r="D544" s="6" t="s">
        <v>84</v>
      </c>
      <c r="E544" s="6" t="s">
        <v>622</v>
      </c>
      <c r="G544" s="7">
        <f t="shared" si="15"/>
        <v>780</v>
      </c>
      <c r="H544" s="7">
        <v>106</v>
      </c>
      <c r="I544" s="7">
        <v>190</v>
      </c>
      <c r="J544" s="7">
        <v>100</v>
      </c>
      <c r="K544" s="7">
        <v>154</v>
      </c>
      <c r="L544" s="7">
        <v>100</v>
      </c>
      <c r="M544" s="7">
        <v>130</v>
      </c>
    </row>
    <row r="545" spans="1:13" x14ac:dyDescent="0.25">
      <c r="A545" s="4" t="s">
        <v>1320</v>
      </c>
      <c r="B545" s="5" t="s">
        <v>1264</v>
      </c>
      <c r="C545" s="6" t="s">
        <v>92</v>
      </c>
      <c r="D545" s="6"/>
      <c r="E545" s="6" t="s">
        <v>582</v>
      </c>
      <c r="G545" s="7">
        <f t="shared" si="15"/>
        <v>780</v>
      </c>
      <c r="H545" s="7">
        <v>106</v>
      </c>
      <c r="I545" s="7">
        <v>150</v>
      </c>
      <c r="J545" s="7">
        <v>70</v>
      </c>
      <c r="K545" s="7">
        <v>194</v>
      </c>
      <c r="L545" s="7">
        <v>120</v>
      </c>
      <c r="M545" s="7">
        <v>140</v>
      </c>
    </row>
    <row r="546" spans="1:13" x14ac:dyDescent="0.25">
      <c r="A546" s="4" t="s">
        <v>1321</v>
      </c>
      <c r="B546" s="5" t="s">
        <v>1265</v>
      </c>
      <c r="C546" s="6" t="s">
        <v>51</v>
      </c>
      <c r="D546" s="6" t="s">
        <v>181</v>
      </c>
      <c r="E546" s="6" t="s">
        <v>599</v>
      </c>
      <c r="G546" s="7">
        <f t="shared" si="15"/>
        <v>610</v>
      </c>
      <c r="H546" s="7">
        <v>90</v>
      </c>
      <c r="I546" s="7">
        <v>95</v>
      </c>
      <c r="J546" s="7">
        <v>105</v>
      </c>
      <c r="K546" s="7">
        <v>165</v>
      </c>
      <c r="L546" s="7">
        <v>110</v>
      </c>
      <c r="M546" s="7">
        <v>45</v>
      </c>
    </row>
    <row r="547" spans="1:13" x14ac:dyDescent="0.25">
      <c r="A547" s="4" t="s">
        <v>1323</v>
      </c>
      <c r="B547" s="5" t="s">
        <v>1267</v>
      </c>
      <c r="C547" s="6" t="s">
        <v>34</v>
      </c>
      <c r="D547" s="6" t="s">
        <v>84</v>
      </c>
      <c r="E547" s="6" t="s">
        <v>580</v>
      </c>
      <c r="G547" s="7">
        <f t="shared" si="15"/>
        <v>600</v>
      </c>
      <c r="H547" s="7">
        <v>80</v>
      </c>
      <c r="I547" s="7">
        <v>185</v>
      </c>
      <c r="J547" s="7">
        <v>115</v>
      </c>
      <c r="K547" s="7">
        <v>40</v>
      </c>
      <c r="L547" s="7">
        <v>105</v>
      </c>
      <c r="M547" s="7">
        <v>75</v>
      </c>
    </row>
    <row r="548" spans="1:13" x14ac:dyDescent="0.25">
      <c r="A548" s="4" t="s">
        <v>1324</v>
      </c>
      <c r="B548" s="5" t="s">
        <v>1268</v>
      </c>
      <c r="C548" s="6" t="s">
        <v>21</v>
      </c>
      <c r="D548" s="6" t="s">
        <v>232</v>
      </c>
      <c r="E548" s="6" t="s">
        <v>611</v>
      </c>
      <c r="G548" s="7">
        <f t="shared" si="15"/>
        <v>600</v>
      </c>
      <c r="H548" s="7">
        <v>75</v>
      </c>
      <c r="I548" s="7">
        <v>90</v>
      </c>
      <c r="J548" s="7">
        <v>90</v>
      </c>
      <c r="K548" s="7">
        <v>140</v>
      </c>
      <c r="L548" s="7">
        <v>90</v>
      </c>
      <c r="M548" s="7">
        <v>115</v>
      </c>
    </row>
    <row r="549" spans="1:13" x14ac:dyDescent="0.25">
      <c r="A549" s="4" t="s">
        <v>1325</v>
      </c>
      <c r="B549" s="5" t="s">
        <v>1269</v>
      </c>
      <c r="C549" s="6" t="s">
        <v>104</v>
      </c>
      <c r="D549" s="6" t="s">
        <v>232</v>
      </c>
      <c r="E549" s="6" t="s">
        <v>623</v>
      </c>
      <c r="G549" s="7">
        <f t="shared" si="15"/>
        <v>700</v>
      </c>
      <c r="H549" s="7">
        <v>100</v>
      </c>
      <c r="I549" s="7">
        <v>164</v>
      </c>
      <c r="J549" s="7">
        <v>150</v>
      </c>
      <c r="K549" s="7">
        <v>95</v>
      </c>
      <c r="L549" s="7">
        <v>120</v>
      </c>
      <c r="M549" s="7">
        <v>71</v>
      </c>
    </row>
    <row r="550" spans="1:13" x14ac:dyDescent="0.25">
      <c r="A550" s="4" t="s">
        <v>1326</v>
      </c>
      <c r="B550" s="5" t="s">
        <v>1282</v>
      </c>
      <c r="C550" s="6" t="s">
        <v>14</v>
      </c>
      <c r="D550" s="6" t="s">
        <v>181</v>
      </c>
      <c r="E550" s="6" t="s">
        <v>586</v>
      </c>
      <c r="G550" s="7">
        <f t="shared" si="15"/>
        <v>630</v>
      </c>
      <c r="H550" s="7">
        <v>70</v>
      </c>
      <c r="I550" s="7">
        <v>110</v>
      </c>
      <c r="J550" s="7">
        <v>75</v>
      </c>
      <c r="K550" s="7">
        <v>145</v>
      </c>
      <c r="L550" s="7">
        <v>85</v>
      </c>
      <c r="M550" s="7">
        <v>145</v>
      </c>
    </row>
    <row r="551" spans="1:13" x14ac:dyDescent="0.25">
      <c r="A551" s="4" t="s">
        <v>1327</v>
      </c>
      <c r="B551" s="5" t="s">
        <v>1270</v>
      </c>
      <c r="C551" s="6" t="s">
        <v>21</v>
      </c>
      <c r="D551" s="6" t="s">
        <v>84</v>
      </c>
      <c r="E551" s="6" t="s">
        <v>612</v>
      </c>
      <c r="G551" s="7">
        <f t="shared" si="15"/>
        <v>630</v>
      </c>
      <c r="H551" s="7">
        <v>80</v>
      </c>
      <c r="I551" s="7">
        <v>160</v>
      </c>
      <c r="J551" s="7">
        <v>80</v>
      </c>
      <c r="K551" s="7">
        <v>130</v>
      </c>
      <c r="L551" s="7">
        <v>80</v>
      </c>
      <c r="M551" s="7">
        <v>100</v>
      </c>
    </row>
    <row r="552" spans="1:13" x14ac:dyDescent="0.25">
      <c r="A552" s="4" t="s">
        <v>1328</v>
      </c>
      <c r="B552" s="5" t="s">
        <v>1283</v>
      </c>
      <c r="C552" s="6" t="s">
        <v>28</v>
      </c>
      <c r="D552" s="6" t="s">
        <v>54</v>
      </c>
      <c r="E552" s="6" t="s">
        <v>594</v>
      </c>
      <c r="G552" s="7">
        <f t="shared" si="15"/>
        <v>635</v>
      </c>
      <c r="H552" s="7">
        <v>100</v>
      </c>
      <c r="I552" s="7">
        <v>150</v>
      </c>
      <c r="J552" s="7">
        <v>110</v>
      </c>
      <c r="K552" s="7">
        <v>95</v>
      </c>
      <c r="L552" s="7">
        <v>110</v>
      </c>
      <c r="M552" s="7">
        <v>70</v>
      </c>
    </row>
    <row r="553" spans="1:13" x14ac:dyDescent="0.25">
      <c r="A553" s="4" t="s">
        <v>1329</v>
      </c>
      <c r="B553" s="5" t="s">
        <v>1271</v>
      </c>
      <c r="C553" s="6" t="s">
        <v>92</v>
      </c>
      <c r="D553" s="6"/>
      <c r="E553" s="6" t="s">
        <v>1379</v>
      </c>
      <c r="G553" s="7">
        <f t="shared" si="15"/>
        <v>618</v>
      </c>
      <c r="H553" s="7">
        <v>68</v>
      </c>
      <c r="I553" s="7">
        <v>85</v>
      </c>
      <c r="J553" s="7">
        <v>65</v>
      </c>
      <c r="K553" s="7">
        <v>165</v>
      </c>
      <c r="L553" s="7">
        <v>135</v>
      </c>
      <c r="M553" s="7">
        <v>100</v>
      </c>
    </row>
    <row r="554" spans="1:13" x14ac:dyDescent="0.25">
      <c r="A554" s="4" t="s">
        <v>1330</v>
      </c>
      <c r="B554" s="5" t="s">
        <v>1285</v>
      </c>
      <c r="C554" s="6" t="s">
        <v>92</v>
      </c>
      <c r="D554" s="6" t="s">
        <v>84</v>
      </c>
      <c r="E554" s="6" t="s">
        <v>552</v>
      </c>
      <c r="G554" s="7">
        <f t="shared" si="15"/>
        <v>618</v>
      </c>
      <c r="H554" s="7">
        <v>68</v>
      </c>
      <c r="I554" s="7">
        <v>165</v>
      </c>
      <c r="J554" s="7">
        <v>95</v>
      </c>
      <c r="K554" s="7">
        <v>65</v>
      </c>
      <c r="L554" s="7">
        <v>115</v>
      </c>
      <c r="M554" s="7">
        <v>110</v>
      </c>
    </row>
    <row r="555" spans="1:13" x14ac:dyDescent="0.25">
      <c r="A555" s="4" t="s">
        <v>1331</v>
      </c>
      <c r="B555" s="5" t="s">
        <v>1284</v>
      </c>
      <c r="C555" s="6" t="s">
        <v>232</v>
      </c>
      <c r="D555" s="6" t="s">
        <v>125</v>
      </c>
      <c r="E555" s="6" t="s">
        <v>966</v>
      </c>
      <c r="G555" s="7">
        <f t="shared" si="15"/>
        <v>480</v>
      </c>
      <c r="H555" s="7">
        <v>50</v>
      </c>
      <c r="I555" s="7">
        <v>85</v>
      </c>
      <c r="J555" s="7">
        <v>125</v>
      </c>
      <c r="K555" s="7">
        <v>85</v>
      </c>
      <c r="L555" s="7">
        <v>115</v>
      </c>
      <c r="M555" s="7">
        <v>20</v>
      </c>
    </row>
    <row r="556" spans="1:13" x14ac:dyDescent="0.25">
      <c r="A556" s="4" t="s">
        <v>1332</v>
      </c>
      <c r="B556" s="5" t="s">
        <v>1272</v>
      </c>
      <c r="C556" s="6" t="s">
        <v>112</v>
      </c>
      <c r="D556" s="6"/>
      <c r="E556" s="6" t="s">
        <v>609</v>
      </c>
      <c r="G556" s="7">
        <f t="shared" si="15"/>
        <v>480</v>
      </c>
      <c r="H556" s="7">
        <v>50</v>
      </c>
      <c r="I556" s="7">
        <v>105</v>
      </c>
      <c r="J556" s="7">
        <v>125</v>
      </c>
      <c r="K556" s="7">
        <v>55</v>
      </c>
      <c r="L556" s="7">
        <v>95</v>
      </c>
      <c r="M556" s="7">
        <v>50</v>
      </c>
    </row>
    <row r="557" spans="1:13" x14ac:dyDescent="0.25">
      <c r="A557" s="4" t="s">
        <v>1333</v>
      </c>
      <c r="B557" s="5" t="s">
        <v>1273</v>
      </c>
      <c r="C557" s="6" t="s">
        <v>112</v>
      </c>
      <c r="D557" s="6"/>
      <c r="E557" s="6" t="s">
        <v>30</v>
      </c>
      <c r="G557" s="7">
        <f t="shared" si="15"/>
        <v>630</v>
      </c>
      <c r="H557" s="7">
        <v>70</v>
      </c>
      <c r="I557" s="7">
        <v>140</v>
      </c>
      <c r="J557" s="7">
        <v>230</v>
      </c>
      <c r="K557" s="7">
        <v>60</v>
      </c>
      <c r="L557" s="7">
        <v>80</v>
      </c>
      <c r="M557" s="7">
        <v>50</v>
      </c>
    </row>
    <row r="558" spans="1:13" x14ac:dyDescent="0.25">
      <c r="A558" s="4" t="s">
        <v>1334</v>
      </c>
      <c r="B558" s="5" t="s">
        <v>1274</v>
      </c>
      <c r="C558" s="6" t="s">
        <v>92</v>
      </c>
      <c r="D558" s="6" t="s">
        <v>84</v>
      </c>
      <c r="E558" s="6" t="s">
        <v>632</v>
      </c>
      <c r="G558" s="7">
        <f t="shared" si="15"/>
        <v>510</v>
      </c>
      <c r="H558" s="7">
        <v>60</v>
      </c>
      <c r="I558" s="7">
        <v>100</v>
      </c>
      <c r="J558" s="7">
        <v>85</v>
      </c>
      <c r="K558" s="7">
        <v>80</v>
      </c>
      <c r="L558" s="7">
        <v>85</v>
      </c>
      <c r="M558" s="7">
        <v>100</v>
      </c>
    </row>
    <row r="559" spans="1:13" x14ac:dyDescent="0.25">
      <c r="A559" s="4" t="s">
        <v>1337</v>
      </c>
      <c r="B559" s="5" t="s">
        <v>1286</v>
      </c>
      <c r="C559" s="6" t="s">
        <v>51</v>
      </c>
      <c r="D559" s="6"/>
      <c r="E559" s="6" t="s">
        <v>544</v>
      </c>
      <c r="G559" s="7">
        <f t="shared" si="15"/>
        <v>575</v>
      </c>
      <c r="H559" s="7">
        <v>70</v>
      </c>
      <c r="I559" s="7">
        <v>75</v>
      </c>
      <c r="J559" s="7">
        <v>80</v>
      </c>
      <c r="K559" s="7">
        <v>135</v>
      </c>
      <c r="L559" s="7">
        <v>80</v>
      </c>
      <c r="M559" s="7">
        <v>135</v>
      </c>
    </row>
    <row r="560" spans="1:13" x14ac:dyDescent="0.25">
      <c r="A560" s="4" t="s">
        <v>1335</v>
      </c>
      <c r="B560" s="5" t="s">
        <v>1287</v>
      </c>
      <c r="C560" s="6" t="s">
        <v>28</v>
      </c>
      <c r="D560" s="6" t="s">
        <v>232</v>
      </c>
      <c r="E560" s="6" t="s">
        <v>1233</v>
      </c>
      <c r="G560" s="7">
        <f t="shared" si="15"/>
        <v>560</v>
      </c>
      <c r="H560" s="7">
        <v>70</v>
      </c>
      <c r="I560" s="7">
        <v>140</v>
      </c>
      <c r="J560" s="7">
        <v>70</v>
      </c>
      <c r="K560" s="7">
        <v>110</v>
      </c>
      <c r="L560" s="7">
        <v>65</v>
      </c>
      <c r="M560" s="7">
        <v>105</v>
      </c>
    </row>
    <row r="561" spans="1:13" x14ac:dyDescent="0.25">
      <c r="A561" s="4" t="s">
        <v>1336</v>
      </c>
      <c r="B561" s="5" t="s">
        <v>1288</v>
      </c>
      <c r="C561" s="6" t="s">
        <v>21</v>
      </c>
      <c r="D561" s="6" t="s">
        <v>54</v>
      </c>
      <c r="E561" s="6" t="s">
        <v>843</v>
      </c>
      <c r="G561" s="7">
        <f t="shared" si="15"/>
        <v>560</v>
      </c>
      <c r="H561" s="7">
        <v>70</v>
      </c>
      <c r="I561" s="7">
        <v>120</v>
      </c>
      <c r="J561" s="7">
        <v>100</v>
      </c>
      <c r="K561" s="7">
        <v>145</v>
      </c>
      <c r="L561" s="7">
        <v>105</v>
      </c>
      <c r="M561" s="7">
        <v>20</v>
      </c>
    </row>
    <row r="562" spans="1:13" x14ac:dyDescent="0.25">
      <c r="A562" s="4" t="s">
        <v>1338</v>
      </c>
      <c r="B562" s="5" t="s">
        <v>1289</v>
      </c>
      <c r="C562" s="6" t="s">
        <v>181</v>
      </c>
      <c r="D562" s="6" t="s">
        <v>26</v>
      </c>
      <c r="E562" s="6" t="s">
        <v>1379</v>
      </c>
      <c r="G562" s="7">
        <f t="shared" si="15"/>
        <v>590</v>
      </c>
      <c r="H562" s="7">
        <v>75</v>
      </c>
      <c r="I562" s="7">
        <v>110</v>
      </c>
      <c r="J562" s="7">
        <v>110</v>
      </c>
      <c r="K562" s="7">
        <v>110</v>
      </c>
      <c r="L562" s="7">
        <v>105</v>
      </c>
      <c r="M562" s="7">
        <v>80</v>
      </c>
    </row>
    <row r="563" spans="1:13" x14ac:dyDescent="0.25">
      <c r="A563" s="4" t="s">
        <v>1339</v>
      </c>
      <c r="B563" s="5" t="s">
        <v>1275</v>
      </c>
      <c r="C563" s="6" t="s">
        <v>125</v>
      </c>
      <c r="D563" s="6"/>
      <c r="E563" s="6" t="s">
        <v>966</v>
      </c>
      <c r="G563" s="7">
        <f t="shared" si="15"/>
        <v>555</v>
      </c>
      <c r="H563" s="7">
        <v>64</v>
      </c>
      <c r="I563" s="7">
        <v>165</v>
      </c>
      <c r="J563" s="7">
        <v>75</v>
      </c>
      <c r="K563" s="7">
        <v>93</v>
      </c>
      <c r="L563" s="7">
        <v>83</v>
      </c>
      <c r="M563" s="7">
        <v>75</v>
      </c>
    </row>
    <row r="564" spans="1:13" x14ac:dyDescent="0.25">
      <c r="A564" s="4" t="s">
        <v>1340</v>
      </c>
      <c r="B564" s="5" t="s">
        <v>1276</v>
      </c>
      <c r="C564" s="6" t="s">
        <v>232</v>
      </c>
      <c r="D564" s="6"/>
      <c r="E564" s="6" t="s">
        <v>896</v>
      </c>
      <c r="G564" s="7">
        <f t="shared" si="15"/>
        <v>565</v>
      </c>
      <c r="H564" s="7">
        <v>65</v>
      </c>
      <c r="I564" s="7">
        <v>150</v>
      </c>
      <c r="J564" s="7">
        <v>60</v>
      </c>
      <c r="K564" s="7">
        <v>115</v>
      </c>
      <c r="L564" s="7">
        <v>60</v>
      </c>
      <c r="M564" s="7">
        <v>115</v>
      </c>
    </row>
    <row r="565" spans="1:13" x14ac:dyDescent="0.25">
      <c r="A565" s="4" t="s">
        <v>1341</v>
      </c>
      <c r="B565" s="5" t="s">
        <v>1290</v>
      </c>
      <c r="C565" s="6" t="s">
        <v>119</v>
      </c>
      <c r="D565" s="6" t="s">
        <v>112</v>
      </c>
      <c r="E565" s="6" t="s">
        <v>1243</v>
      </c>
      <c r="G565" s="7">
        <f t="shared" si="15"/>
        <v>580</v>
      </c>
      <c r="H565" s="7">
        <v>80</v>
      </c>
      <c r="I565" s="7">
        <v>120</v>
      </c>
      <c r="J565" s="7">
        <v>80</v>
      </c>
      <c r="K565" s="7">
        <v>120</v>
      </c>
      <c r="L565" s="7">
        <v>80</v>
      </c>
      <c r="M565" s="7">
        <v>100</v>
      </c>
    </row>
    <row r="566" spans="1:13" x14ac:dyDescent="0.25">
      <c r="A566" s="4" t="s">
        <v>1342</v>
      </c>
      <c r="B566" s="5" t="s">
        <v>1291</v>
      </c>
      <c r="C566" s="6" t="s">
        <v>181</v>
      </c>
      <c r="D566" s="6" t="s">
        <v>26</v>
      </c>
      <c r="E566" s="6" t="s">
        <v>886</v>
      </c>
      <c r="G566" s="7">
        <f t="shared" si="15"/>
        <v>700</v>
      </c>
      <c r="H566" s="7">
        <v>95</v>
      </c>
      <c r="I566" s="7">
        <v>145</v>
      </c>
      <c r="J566" s="7">
        <v>130</v>
      </c>
      <c r="K566" s="7">
        <v>120</v>
      </c>
      <c r="L566" s="7">
        <v>90</v>
      </c>
      <c r="M566" s="7">
        <v>120</v>
      </c>
    </row>
    <row r="567" spans="1:13" x14ac:dyDescent="0.25">
      <c r="A567" s="4" t="s">
        <v>1343</v>
      </c>
      <c r="B567" s="5" t="s">
        <v>1292</v>
      </c>
      <c r="C567" s="6" t="s">
        <v>112</v>
      </c>
      <c r="D567" s="6" t="s">
        <v>92</v>
      </c>
      <c r="E567" s="6" t="s">
        <v>1140</v>
      </c>
      <c r="G567" s="7">
        <f t="shared" si="15"/>
        <v>700</v>
      </c>
      <c r="H567" s="7">
        <v>80</v>
      </c>
      <c r="I567" s="7">
        <v>145</v>
      </c>
      <c r="J567" s="7">
        <v>150</v>
      </c>
      <c r="K567" s="7">
        <v>105</v>
      </c>
      <c r="L567" s="7">
        <v>110</v>
      </c>
      <c r="M567" s="7">
        <v>110</v>
      </c>
    </row>
    <row r="568" spans="1:13" x14ac:dyDescent="0.25">
      <c r="A568" s="4" t="s">
        <v>1344</v>
      </c>
      <c r="B568" s="5" t="s">
        <v>1277</v>
      </c>
      <c r="C568" s="6" t="s">
        <v>181</v>
      </c>
      <c r="D568" s="6" t="s">
        <v>92</v>
      </c>
      <c r="E568" s="6" t="s">
        <v>581</v>
      </c>
      <c r="G568" s="7">
        <f t="shared" si="15"/>
        <v>700</v>
      </c>
      <c r="H568" s="7">
        <v>80</v>
      </c>
      <c r="I568" s="7">
        <v>100</v>
      </c>
      <c r="J568" s="7">
        <v>120</v>
      </c>
      <c r="K568" s="7">
        <v>140</v>
      </c>
      <c r="L568" s="7">
        <v>150</v>
      </c>
      <c r="M568" s="7">
        <v>110</v>
      </c>
    </row>
    <row r="569" spans="1:13" x14ac:dyDescent="0.25">
      <c r="A569" s="4" t="s">
        <v>1345</v>
      </c>
      <c r="B569" s="5" t="s">
        <v>1278</v>
      </c>
      <c r="C569" s="6" t="s">
        <v>181</v>
      </c>
      <c r="D569" s="6" t="s">
        <v>92</v>
      </c>
      <c r="E569" s="6" t="s">
        <v>581</v>
      </c>
      <c r="G569" s="7">
        <f t="shared" si="15"/>
        <v>700</v>
      </c>
      <c r="H569" s="7">
        <v>80</v>
      </c>
      <c r="I569" s="7">
        <v>130</v>
      </c>
      <c r="J569" s="7">
        <v>100</v>
      </c>
      <c r="K569" s="7">
        <v>160</v>
      </c>
      <c r="L569" s="7">
        <v>120</v>
      </c>
      <c r="M569" s="7">
        <v>110</v>
      </c>
    </row>
    <row r="570" spans="1:13" x14ac:dyDescent="0.25">
      <c r="A570" s="4" t="s">
        <v>1346</v>
      </c>
      <c r="B570" s="5" t="s">
        <v>1297</v>
      </c>
      <c r="C570" s="6" t="s">
        <v>28</v>
      </c>
      <c r="D570" s="6"/>
      <c r="E570" s="6" t="s">
        <v>1381</v>
      </c>
      <c r="G570" s="7">
        <f t="shared" si="15"/>
        <v>779</v>
      </c>
      <c r="H570" s="7">
        <v>100</v>
      </c>
      <c r="I570" s="7">
        <v>150</v>
      </c>
      <c r="J570" s="7">
        <v>90</v>
      </c>
      <c r="K570" s="7">
        <v>180</v>
      </c>
      <c r="L570" s="7">
        <v>169</v>
      </c>
      <c r="M570" s="7">
        <v>90</v>
      </c>
    </row>
    <row r="571" spans="1:13" x14ac:dyDescent="0.25">
      <c r="A571" s="4" t="s">
        <v>1347</v>
      </c>
      <c r="B571" s="5" t="s">
        <v>1298</v>
      </c>
      <c r="C571" s="6" t="s">
        <v>54</v>
      </c>
      <c r="D571" s="6" t="s">
        <v>21</v>
      </c>
      <c r="E571" s="6" t="s">
        <v>1152</v>
      </c>
      <c r="G571" s="7">
        <f t="shared" si="15"/>
        <v>770</v>
      </c>
      <c r="H571" s="7">
        <v>100</v>
      </c>
      <c r="I571" s="7">
        <v>180</v>
      </c>
      <c r="J571" s="7">
        <v>160</v>
      </c>
      <c r="K571" s="7">
        <v>150</v>
      </c>
      <c r="L571" s="7">
        <v>90</v>
      </c>
      <c r="M571" s="7">
        <v>90</v>
      </c>
    </row>
    <row r="572" spans="1:13" x14ac:dyDescent="0.25">
      <c r="A572" s="4" t="s">
        <v>1348</v>
      </c>
      <c r="B572" s="5" t="s">
        <v>1299</v>
      </c>
      <c r="C572" s="6" t="s">
        <v>181</v>
      </c>
      <c r="D572" s="6"/>
      <c r="E572" s="6" t="s">
        <v>1382</v>
      </c>
      <c r="G572" s="7">
        <f t="shared" si="15"/>
        <v>780</v>
      </c>
      <c r="H572" s="7">
        <v>105</v>
      </c>
      <c r="I572" s="7">
        <v>180</v>
      </c>
      <c r="J572" s="7">
        <v>100</v>
      </c>
      <c r="K572" s="7">
        <v>180</v>
      </c>
      <c r="L572" s="7">
        <v>100</v>
      </c>
      <c r="M572" s="7">
        <v>115</v>
      </c>
    </row>
    <row r="573" spans="1:13" x14ac:dyDescent="0.25">
      <c r="A573" s="4" t="s">
        <v>1384</v>
      </c>
      <c r="B573" s="5" t="s">
        <v>1383</v>
      </c>
      <c r="C573" s="6" t="s">
        <v>41</v>
      </c>
      <c r="D573" s="6" t="s">
        <v>84</v>
      </c>
      <c r="E573" s="6" t="s">
        <v>593</v>
      </c>
      <c r="G573" s="7">
        <f t="shared" si="15"/>
        <v>580</v>
      </c>
      <c r="H573" s="7">
        <v>65</v>
      </c>
      <c r="I573" s="7">
        <v>136</v>
      </c>
      <c r="J573" s="7">
        <v>94</v>
      </c>
      <c r="K573" s="7">
        <v>54</v>
      </c>
      <c r="L573" s="7">
        <v>96</v>
      </c>
      <c r="M573" s="7">
        <v>135</v>
      </c>
    </row>
    <row r="574" spans="1:13" x14ac:dyDescent="0.25">
      <c r="A574" s="4" t="s">
        <v>1349</v>
      </c>
      <c r="B574" s="5" t="s">
        <v>1279</v>
      </c>
      <c r="C574" s="6" t="s">
        <v>181</v>
      </c>
      <c r="D574" s="6" t="s">
        <v>54</v>
      </c>
      <c r="E574" s="6" t="s">
        <v>1380</v>
      </c>
      <c r="G574" s="7">
        <f t="shared" si="15"/>
        <v>700</v>
      </c>
      <c r="H574" s="7">
        <v>108</v>
      </c>
      <c r="I574" s="7">
        <v>170</v>
      </c>
      <c r="J574" s="7">
        <v>115</v>
      </c>
      <c r="K574" s="7">
        <v>120</v>
      </c>
      <c r="L574" s="7">
        <v>95</v>
      </c>
      <c r="M574" s="7">
        <v>92</v>
      </c>
    </row>
    <row r="575" spans="1:13" x14ac:dyDescent="0.25">
      <c r="A575" s="4" t="s">
        <v>1350</v>
      </c>
      <c r="B575" s="5" t="s">
        <v>1280</v>
      </c>
      <c r="C575" s="6" t="s">
        <v>84</v>
      </c>
      <c r="D575" s="6" t="s">
        <v>112</v>
      </c>
      <c r="E575" s="6" t="s">
        <v>600</v>
      </c>
      <c r="G575" s="7">
        <f t="shared" si="15"/>
        <v>625</v>
      </c>
      <c r="H575" s="7">
        <v>70</v>
      </c>
      <c r="I575" s="7">
        <v>145</v>
      </c>
      <c r="J575" s="7">
        <v>88</v>
      </c>
      <c r="K575" s="7">
        <v>140</v>
      </c>
      <c r="L575" s="7">
        <v>70</v>
      </c>
      <c r="M575" s="7">
        <v>112</v>
      </c>
    </row>
    <row r="576" spans="1:13" x14ac:dyDescent="0.25">
      <c r="A576" s="4" t="s">
        <v>1351</v>
      </c>
      <c r="B576" s="5" t="s">
        <v>1281</v>
      </c>
      <c r="C576" s="6" t="s">
        <v>14</v>
      </c>
      <c r="D576" s="6" t="s">
        <v>119</v>
      </c>
      <c r="E576" s="6" t="s">
        <v>655</v>
      </c>
      <c r="G576" s="7">
        <f t="shared" si="15"/>
        <v>594</v>
      </c>
      <c r="H576" s="7">
        <v>90</v>
      </c>
      <c r="I576" s="7">
        <v>132</v>
      </c>
      <c r="J576" s="7">
        <v>105</v>
      </c>
      <c r="K576" s="7">
        <v>132</v>
      </c>
      <c r="L576" s="7">
        <v>105</v>
      </c>
      <c r="M576" s="7">
        <v>30</v>
      </c>
    </row>
  </sheetData>
  <conditionalFormatting sqref="A1:A1048576">
    <cfRule type="notContainsBlanks" dxfId="106" priority="237">
      <formula>LEN(TRIM(A1))&gt;0</formula>
    </cfRule>
  </conditionalFormatting>
  <conditionalFormatting sqref="B1:B1048576">
    <cfRule type="notContainsBlanks" dxfId="105" priority="19">
      <formula>LEN(TRIM(B1))&gt;0</formula>
    </cfRule>
  </conditionalFormatting>
  <conditionalFormatting sqref="C1:D245">
    <cfRule type="containsText" dxfId="104" priority="1" operator="containsText" text="Flying">
      <formula>NOT(ISERROR(SEARCH("Flying",C1)))</formula>
    </cfRule>
    <cfRule type="containsText" dxfId="103" priority="2" operator="containsText" text="Fairy">
      <formula>NOT(ISERROR(SEARCH("Fairy",C1)))</formula>
    </cfRule>
    <cfRule type="containsText" dxfId="102" priority="3" operator="containsText" text="Steel">
      <formula>NOT(ISERROR(SEARCH("Steel",C1)))</formula>
    </cfRule>
    <cfRule type="containsText" dxfId="101" priority="4" operator="containsText" text="Dark">
      <formula>NOT(ISERROR(SEARCH("Dark",C1)))</formula>
    </cfRule>
    <cfRule type="containsText" dxfId="100" priority="5" operator="containsText" text="Dragon">
      <formula>NOT(ISERROR(SEARCH("Dragon",C1)))</formula>
    </cfRule>
    <cfRule type="containsText" dxfId="99" priority="6" operator="containsText" text="Ghost">
      <formula>NOT(ISERROR(SEARCH("Ghost",C1)))</formula>
    </cfRule>
    <cfRule type="containsText" dxfId="98" priority="7" operator="containsText" text="Rock">
      <formula>NOT(ISERROR(SEARCH("Rock",C1)))</formula>
    </cfRule>
    <cfRule type="containsText" dxfId="97" priority="8" operator="containsText" text="Bug">
      <formula>NOT(ISERROR(SEARCH("Bug",C1)))</formula>
    </cfRule>
    <cfRule type="containsText" dxfId="96" priority="9" operator="containsText" text="Psychic">
      <formula>NOT(ISERROR(SEARCH("Psychic",C1)))</formula>
    </cfRule>
    <cfRule type="containsText" dxfId="95" priority="10" operator="containsText" text="Ground">
      <formula>NOT(ISERROR(SEARCH("Ground",C1)))</formula>
    </cfRule>
    <cfRule type="containsText" dxfId="94" priority="11" operator="containsText" text="Poison">
      <formula>NOT(ISERROR(SEARCH("Poison",C1)))</formula>
    </cfRule>
    <cfRule type="containsText" dxfId="93" priority="12" operator="containsText" text="Fighting">
      <formula>NOT(ISERROR(SEARCH("Fighting",C1)))</formula>
    </cfRule>
    <cfRule type="containsText" dxfId="92" priority="13" operator="containsText" text="Ice">
      <formula>NOT(ISERROR(SEARCH("Ice",C1)))</formula>
    </cfRule>
    <cfRule type="containsText" dxfId="91" priority="14" operator="containsText" text="Electric">
      <formula>NOT(ISERROR(SEARCH("Electric",C1)))</formula>
    </cfRule>
    <cfRule type="containsText" dxfId="90" priority="15" operator="containsText" text="Water">
      <formula>NOT(ISERROR(SEARCH("Water",C1)))</formula>
    </cfRule>
    <cfRule type="containsText" dxfId="89" priority="16" operator="containsText" text="Fire">
      <formula>NOT(ISERROR(SEARCH("Fire",C1)))</formula>
    </cfRule>
    <cfRule type="containsText" dxfId="88" priority="17" operator="containsText" text="Normal">
      <formula>NOT(ISERROR(SEARCH("Normal",C1)))</formula>
    </cfRule>
    <cfRule type="containsText" dxfId="87" priority="18" operator="containsText" text="Grass">
      <formula>NOT(ISERROR(SEARCH("Grass",C1)))</formula>
    </cfRule>
  </conditionalFormatting>
  <conditionalFormatting sqref="C246:D572 C574:D576">
    <cfRule type="containsText" dxfId="86" priority="105" operator="containsText" text="Dark">
      <formula>NOT(ISERROR(SEARCH("Dark",C246)))</formula>
    </cfRule>
    <cfRule type="containsText" dxfId="85" priority="106" operator="containsText" text="Dragon">
      <formula>NOT(ISERROR(SEARCH("Dragon",C246)))</formula>
    </cfRule>
    <cfRule type="containsText" dxfId="84" priority="107" operator="containsText" text="Ghost">
      <formula>NOT(ISERROR(SEARCH("Ghost",C246)))</formula>
    </cfRule>
    <cfRule type="containsText" dxfId="83" priority="108" operator="containsText" text="Rock">
      <formula>NOT(ISERROR(SEARCH("Rock",C246)))</formula>
    </cfRule>
    <cfRule type="containsText" dxfId="82" priority="109" operator="containsText" text="Bug">
      <formula>NOT(ISERROR(SEARCH("Bug",C246)))</formula>
    </cfRule>
    <cfRule type="containsText" dxfId="81" priority="110" operator="containsText" text="Psychic">
      <formula>NOT(ISERROR(SEARCH("Psychic",C246)))</formula>
    </cfRule>
    <cfRule type="containsText" dxfId="80" priority="111" operator="containsText" text="Ground">
      <formula>NOT(ISERROR(SEARCH("Ground",C246)))</formula>
    </cfRule>
    <cfRule type="containsText" dxfId="79" priority="112" operator="containsText" text="Poison">
      <formula>NOT(ISERROR(SEARCH("Poison",C246)))</formula>
    </cfRule>
    <cfRule type="containsText" dxfId="78" priority="113" operator="containsText" text="Fighting">
      <formula>NOT(ISERROR(SEARCH("Fighting",C246)))</formula>
    </cfRule>
    <cfRule type="containsText" dxfId="77" priority="114" operator="containsText" text="Ice">
      <formula>NOT(ISERROR(SEARCH("Ice",C246)))</formula>
    </cfRule>
    <cfRule type="containsText" dxfId="76" priority="115" operator="containsText" text="Electric">
      <formula>NOT(ISERROR(SEARCH("Electric",C246)))</formula>
    </cfRule>
    <cfRule type="containsText" dxfId="75" priority="116" operator="containsText" text="Water">
      <formula>NOT(ISERROR(SEARCH("Water",C246)))</formula>
    </cfRule>
    <cfRule type="containsText" dxfId="74" priority="117" operator="containsText" text="Fire">
      <formula>NOT(ISERROR(SEARCH("Fire",C246)))</formula>
    </cfRule>
    <cfRule type="containsText" dxfId="73" priority="118" operator="containsText" text="Normal">
      <formula>NOT(ISERROR(SEARCH("Normal",C246)))</formula>
    </cfRule>
    <cfRule type="containsText" dxfId="72" priority="119" operator="containsText" text="Grass">
      <formula>NOT(ISERROR(SEARCH("Grass",C246)))</formula>
    </cfRule>
  </conditionalFormatting>
  <conditionalFormatting sqref="C246:D1048576">
    <cfRule type="containsText" dxfId="71" priority="102" operator="containsText" text="Flying">
      <formula>NOT(ISERROR(SEARCH("Flying",C246)))</formula>
    </cfRule>
    <cfRule type="containsText" dxfId="70" priority="103" operator="containsText" text="Fairy">
      <formula>NOT(ISERROR(SEARCH("Fairy",C246)))</formula>
    </cfRule>
    <cfRule type="containsText" dxfId="69" priority="104" operator="containsText" text="Steel">
      <formula>NOT(ISERROR(SEARCH("Steel",C246)))</formula>
    </cfRule>
  </conditionalFormatting>
  <conditionalFormatting sqref="C573:D573">
    <cfRule type="containsText" dxfId="68" priority="55" operator="containsText" text="Dark">
      <formula>NOT(ISERROR(SEARCH("Dark",C573)))</formula>
    </cfRule>
    <cfRule type="containsText" dxfId="67" priority="56" operator="containsText" text="Dragon">
      <formula>NOT(ISERROR(SEARCH("Dragon",C573)))</formula>
    </cfRule>
    <cfRule type="containsText" dxfId="66" priority="57" operator="containsText" text="Ghost">
      <formula>NOT(ISERROR(SEARCH("Ghost",C573)))</formula>
    </cfRule>
    <cfRule type="containsText" dxfId="65" priority="58" operator="containsText" text="Rock">
      <formula>NOT(ISERROR(SEARCH("Rock",C573)))</formula>
    </cfRule>
    <cfRule type="containsText" dxfId="64" priority="59" operator="containsText" text="Bug">
      <formula>NOT(ISERROR(SEARCH("Bug",C573)))</formula>
    </cfRule>
    <cfRule type="containsText" dxfId="63" priority="60" operator="containsText" text="Psychic">
      <formula>NOT(ISERROR(SEARCH("Psychic",C573)))</formula>
    </cfRule>
    <cfRule type="containsText" dxfId="62" priority="61" operator="containsText" text="Ground">
      <formula>NOT(ISERROR(SEARCH("Ground",C573)))</formula>
    </cfRule>
    <cfRule type="containsText" dxfId="61" priority="62" operator="containsText" text="Poison">
      <formula>NOT(ISERROR(SEARCH("Poison",C573)))</formula>
    </cfRule>
    <cfRule type="containsText" dxfId="60" priority="63" operator="containsText" text="Fighting">
      <formula>NOT(ISERROR(SEARCH("Fighting",C573)))</formula>
    </cfRule>
    <cfRule type="containsText" dxfId="59" priority="64" operator="containsText" text="Ice">
      <formula>NOT(ISERROR(SEARCH("Ice",C573)))</formula>
    </cfRule>
    <cfRule type="containsText" dxfId="58" priority="65" operator="containsText" text="Electric">
      <formula>NOT(ISERROR(SEARCH("Electric",C573)))</formula>
    </cfRule>
    <cfRule type="containsText" dxfId="57" priority="66" operator="containsText" text="Water">
      <formula>NOT(ISERROR(SEARCH("Water",C573)))</formula>
    </cfRule>
    <cfRule type="containsText" dxfId="56" priority="67" operator="containsText" text="Fire">
      <formula>NOT(ISERROR(SEARCH("Fire",C573)))</formula>
    </cfRule>
    <cfRule type="containsText" dxfId="55" priority="68" operator="containsText" text="Normal">
      <formula>NOT(ISERROR(SEARCH("Normal",C573)))</formula>
    </cfRule>
    <cfRule type="containsText" dxfId="54" priority="69" operator="containsText" text="Grass">
      <formula>NOT(ISERROR(SEARCH("Grass",C573)))</formula>
    </cfRule>
  </conditionalFormatting>
  <conditionalFormatting sqref="C578:D1048576">
    <cfRule type="containsText" dxfId="53" priority="386" operator="containsText" text="Flying">
      <formula>NOT(ISERROR(SEARCH("Flying",C578)))</formula>
    </cfRule>
    <cfRule type="containsText" dxfId="52" priority="387" operator="containsText" text="Fairy">
      <formula>NOT(ISERROR(SEARCH("Fairy",C578)))</formula>
    </cfRule>
    <cfRule type="containsText" dxfId="51" priority="388" operator="containsText" text="Steel">
      <formula>NOT(ISERROR(SEARCH("Steel",C578)))</formula>
    </cfRule>
    <cfRule type="containsText" dxfId="50" priority="389" operator="containsText" text="Dark">
      <formula>NOT(ISERROR(SEARCH("Dark",C578)))</formula>
    </cfRule>
    <cfRule type="containsText" dxfId="49" priority="390" operator="containsText" text="Dragon">
      <formula>NOT(ISERROR(SEARCH("Dragon",C578)))</formula>
    </cfRule>
    <cfRule type="containsText" dxfId="48" priority="391" operator="containsText" text="Ghost">
      <formula>NOT(ISERROR(SEARCH("Ghost",C578)))</formula>
    </cfRule>
    <cfRule type="containsText" dxfId="47" priority="392" operator="containsText" text="Rock">
      <formula>NOT(ISERROR(SEARCH("Rock",C578)))</formula>
    </cfRule>
    <cfRule type="containsText" dxfId="46" priority="393" operator="containsText" text="Bug">
      <formula>NOT(ISERROR(SEARCH("Bug",C578)))</formula>
    </cfRule>
    <cfRule type="containsText" dxfId="45" priority="394" operator="containsText" text="Psychic">
      <formula>NOT(ISERROR(SEARCH("Psychic",C578)))</formula>
    </cfRule>
    <cfRule type="containsText" dxfId="44" priority="395" operator="containsText" text="Ground">
      <formula>NOT(ISERROR(SEARCH("Ground",C578)))</formula>
    </cfRule>
    <cfRule type="containsText" dxfId="43" priority="396" operator="containsText" text="Poison">
      <formula>NOT(ISERROR(SEARCH("Poison",C578)))</formula>
    </cfRule>
    <cfRule type="containsText" dxfId="42" priority="397" operator="containsText" text="Fighting">
      <formula>NOT(ISERROR(SEARCH("Fighting",C578)))</formula>
    </cfRule>
    <cfRule type="containsText" dxfId="41" priority="398" operator="containsText" text="Ice">
      <formula>NOT(ISERROR(SEARCH("Ice",C578)))</formula>
    </cfRule>
    <cfRule type="containsText" dxfId="40" priority="399" operator="containsText" text="Electric">
      <formula>NOT(ISERROR(SEARCH("Electric",C578)))</formula>
    </cfRule>
    <cfRule type="containsText" dxfId="39" priority="400" operator="containsText" text="Water">
      <formula>NOT(ISERROR(SEARCH("Water",C578)))</formula>
    </cfRule>
    <cfRule type="containsText" dxfId="38" priority="401" operator="containsText" text="Fire">
      <formula>NOT(ISERROR(SEARCH("Fire",C578)))</formula>
    </cfRule>
    <cfRule type="containsText" dxfId="37" priority="402" operator="containsText" text="Normal">
      <formula>NOT(ISERROR(SEARCH("Normal",C578)))</formula>
    </cfRule>
    <cfRule type="containsText" dxfId="36" priority="403" operator="containsText" text="Grass">
      <formula>NOT(ISERROR(SEARCH("Grass",C578)))</formula>
    </cfRule>
  </conditionalFormatting>
  <conditionalFormatting sqref="E1:F1048576">
    <cfRule type="notContainsBlanks" dxfId="35" priority="25">
      <formula>LEN(TRIM(E1))&gt;0</formula>
    </cfRule>
  </conditionalFormatting>
  <conditionalFormatting sqref="G1:G600">
    <cfRule type="notContainsBlanks" dxfId="34" priority="23">
      <formula>LEN(TRIM(G1))&gt;0</formula>
    </cfRule>
  </conditionalFormatting>
  <conditionalFormatting sqref="H1:H1048576">
    <cfRule type="notContainsBlanks" dxfId="33" priority="26">
      <formula>LEN(TRIM(H1))&gt;0</formula>
    </cfRule>
  </conditionalFormatting>
  <conditionalFormatting sqref="I1:I1048576">
    <cfRule type="notContainsBlanks" dxfId="32" priority="21">
      <formula>LEN(TRIM(I1))&gt;0</formula>
    </cfRule>
  </conditionalFormatting>
  <conditionalFormatting sqref="J1:J1048576">
    <cfRule type="notContainsBlanks" dxfId="31" priority="24">
      <formula>LEN(TRIM(J1))&gt;0</formula>
    </cfRule>
  </conditionalFormatting>
  <conditionalFormatting sqref="K1:K1048576">
    <cfRule type="notContainsBlanks" dxfId="30" priority="22">
      <formula>LEN(TRIM(K1))&gt;0</formula>
    </cfRule>
  </conditionalFormatting>
  <conditionalFormatting sqref="L1:L1048576">
    <cfRule type="notContainsBlanks" dxfId="29" priority="27">
      <formula>LEN(TRIM(L1))&gt;0</formula>
    </cfRule>
  </conditionalFormatting>
  <conditionalFormatting sqref="M1:M1048576">
    <cfRule type="notContainsBlanks" dxfId="28" priority="20">
      <formula>LEN(TRIM(M1))&gt;0</formula>
    </cfRule>
  </conditionalFormatting>
  <conditionalFormatting sqref="N244">
    <cfRule type="notContainsBlanks" dxfId="27" priority="46">
      <formula>LEN(TRIM(N244))&gt;0</formula>
    </cfRule>
  </conditionalFormatting>
  <conditionalFormatting sqref="O244:P244">
    <cfRule type="containsText" dxfId="26" priority="28" operator="containsText" text="Flying">
      <formula>NOT(ISERROR(SEARCH("Flying",O244)))</formula>
    </cfRule>
    <cfRule type="containsText" dxfId="25" priority="29" operator="containsText" text="Fairy">
      <formula>NOT(ISERROR(SEARCH("Fairy",O244)))</formula>
    </cfRule>
    <cfRule type="containsText" dxfId="24" priority="30" operator="containsText" text="Steel">
      <formula>NOT(ISERROR(SEARCH("Steel",O244)))</formula>
    </cfRule>
    <cfRule type="containsText" dxfId="23" priority="31" operator="containsText" text="Dark">
      <formula>NOT(ISERROR(SEARCH("Dark",O244)))</formula>
    </cfRule>
    <cfRule type="containsText" dxfId="22" priority="32" operator="containsText" text="Dragon">
      <formula>NOT(ISERROR(SEARCH("Dragon",O244)))</formula>
    </cfRule>
    <cfRule type="containsText" dxfId="21" priority="33" operator="containsText" text="Ghost">
      <formula>NOT(ISERROR(SEARCH("Ghost",O244)))</formula>
    </cfRule>
    <cfRule type="containsText" dxfId="20" priority="34" operator="containsText" text="Rock">
      <formula>NOT(ISERROR(SEARCH("Rock",O244)))</formula>
    </cfRule>
    <cfRule type="containsText" dxfId="19" priority="35" operator="containsText" text="Bug">
      <formula>NOT(ISERROR(SEARCH("Bug",O244)))</formula>
    </cfRule>
    <cfRule type="containsText" dxfId="18" priority="36" operator="containsText" text="Psychic">
      <formula>NOT(ISERROR(SEARCH("Psychic",O244)))</formula>
    </cfRule>
    <cfRule type="containsText" dxfId="17" priority="37" operator="containsText" text="Ground">
      <formula>NOT(ISERROR(SEARCH("Ground",O244)))</formula>
    </cfRule>
    <cfRule type="containsText" dxfId="16" priority="38" operator="containsText" text="Poison">
      <formula>NOT(ISERROR(SEARCH("Poison",O244)))</formula>
    </cfRule>
    <cfRule type="containsText" dxfId="15" priority="39" operator="containsText" text="Fighting">
      <formula>NOT(ISERROR(SEARCH("Fighting",O244)))</formula>
    </cfRule>
    <cfRule type="containsText" dxfId="14" priority="40" operator="containsText" text="Ice">
      <formula>NOT(ISERROR(SEARCH("Ice",O244)))</formula>
    </cfRule>
    <cfRule type="containsText" dxfId="13" priority="41" operator="containsText" text="Electric">
      <formula>NOT(ISERROR(SEARCH("Electric",O244)))</formula>
    </cfRule>
    <cfRule type="containsText" dxfId="12" priority="42" operator="containsText" text="Water">
      <formula>NOT(ISERROR(SEARCH("Water",O244)))</formula>
    </cfRule>
    <cfRule type="containsText" dxfId="11" priority="43" operator="containsText" text="Fire">
      <formula>NOT(ISERROR(SEARCH("Fire",O244)))</formula>
    </cfRule>
    <cfRule type="containsText" dxfId="10" priority="44" operator="containsText" text="Normal">
      <formula>NOT(ISERROR(SEARCH("Normal",O244)))</formula>
    </cfRule>
    <cfRule type="containsText" dxfId="9" priority="45" operator="containsText" text="Grass">
      <formula>NOT(ISERROR(SEARCH("Grass",O244)))</formula>
    </cfRule>
  </conditionalFormatting>
  <conditionalFormatting sqref="Q244:R244">
    <cfRule type="notContainsBlanks" dxfId="8" priority="52">
      <formula>LEN(TRIM(Q244))&gt;0</formula>
    </cfRule>
  </conditionalFormatting>
  <conditionalFormatting sqref="S244">
    <cfRule type="notContainsBlanks" dxfId="7" priority="50">
      <formula>LEN(TRIM(S244))&gt;0</formula>
    </cfRule>
  </conditionalFormatting>
  <conditionalFormatting sqref="T244">
    <cfRule type="notContainsBlanks" dxfId="6" priority="53">
      <formula>LEN(TRIM(T244))&gt;0</formula>
    </cfRule>
  </conditionalFormatting>
  <conditionalFormatting sqref="U244">
    <cfRule type="notContainsBlanks" dxfId="5" priority="48">
      <formula>LEN(TRIM(U244))&gt;0</formula>
    </cfRule>
  </conditionalFormatting>
  <conditionalFormatting sqref="V244">
    <cfRule type="notContainsBlanks" dxfId="4" priority="51">
      <formula>LEN(TRIM(V244))&gt;0</formula>
    </cfRule>
  </conditionalFormatting>
  <conditionalFormatting sqref="W244">
    <cfRule type="notContainsBlanks" dxfId="3" priority="49">
      <formula>LEN(TRIM(W244))&gt;0</formula>
    </cfRule>
  </conditionalFormatting>
  <conditionalFormatting sqref="X244">
    <cfRule type="notContainsBlanks" dxfId="2" priority="54">
      <formula>LEN(TRIM(X244))&gt;0</formula>
    </cfRule>
  </conditionalFormatting>
  <conditionalFormatting sqref="Y244">
    <cfRule type="notContainsBlanks" dxfId="1" priority="47">
      <formula>LEN(TRIM(Y244))&gt;0</formula>
    </cfRule>
  </conditionalFormatting>
  <hyperlinks>
    <hyperlink ref="W3" r:id="rId1" xr:uid="{8CE430D7-C200-4D81-897A-1169F3315532}"/>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Pokédex</vt:lpstr>
      <vt:lpstr>Evolution</vt:lpstr>
      <vt:lpstr>Learnset</vt:lpstr>
      <vt:lpstr>Boss Fights</vt:lpstr>
      <vt:lpstr>Trainer Fights</vt:lpstr>
      <vt:lpstr>Encounters</vt:lpstr>
      <vt:lpstr>Moves</vt:lpstr>
      <vt:lpstr>Items</vt:lpstr>
      <vt:lpstr>Abilities</vt:lpstr>
      <vt:lpstr>TMs</vt:lpstr>
      <vt:lpstr>Other</vt:lpstr>
      <vt:lpstr>Type Chart</vt:lpstr>
      <vt:lpstr>IP</vt:lpstr>
      <vt:lpstr>Changed</vt:lpstr>
      <vt:lpstr>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Jake</dc:creator>
  <cp:lastModifiedBy>Jake Lott</cp:lastModifiedBy>
  <dcterms:created xsi:type="dcterms:W3CDTF">2024-05-23T18:13:41Z</dcterms:created>
  <dcterms:modified xsi:type="dcterms:W3CDTF">2026-04-15T00:00:12Z</dcterms:modified>
</cp:coreProperties>
</file>